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/>
  <mc:AlternateContent xmlns:mc="http://schemas.openxmlformats.org/markup-compatibility/2006">
    <mc:Choice Requires="x15">
      <x15ac:absPath xmlns:x15ac="http://schemas.microsoft.com/office/spreadsheetml/2010/11/ac" url="E:\Excelr\Project 2\"/>
    </mc:Choice>
  </mc:AlternateContent>
  <xr:revisionPtr revIDLastSave="0" documentId="13_ncr:1_{D69C2439-C76B-486D-9D0D-7C141014A859}" xr6:coauthVersionLast="47" xr6:coauthVersionMax="47" xr10:uidLastSave="{00000000-0000-0000-0000-000000000000}"/>
  <bookViews>
    <workbookView xWindow="-120" yWindow="-120" windowWidth="20730" windowHeight="11310" firstSheet="3" activeTab="6" xr2:uid="{00000000-000D-0000-FFFF-FFFF00000000}"/>
  </bookViews>
  <sheets>
    <sheet name="Supply Chain" sheetId="1" r:id="rId1"/>
    <sheet name="Order &amp; Sales KPIs" sheetId="2" r:id="rId2"/>
    <sheet name="Inventory &amp; Stock KPIs" sheetId="3" r:id="rId3"/>
    <sheet name="Procurement &amp; Cost KPIs" sheetId="4" r:id="rId4"/>
    <sheet name="Logistics &amp; Delivery KPIs" sheetId="5" r:id="rId5"/>
    <sheet name="Demand &amp; Fulfillment KPIs" sheetId="6" r:id="rId6"/>
    <sheet name="Dashboard" sheetId="8" r:id="rId7"/>
  </sheets>
  <calcPr calcId="191029"/>
  <pivotCaches>
    <pivotCache cacheId="0" r:id="rId8"/>
  </pivotCaches>
  <fileRecoveryPr repairLoad="1"/>
</workbook>
</file>

<file path=xl/calcChain.xml><?xml version="1.0" encoding="utf-8"?>
<calcChain xmlns="http://schemas.openxmlformats.org/spreadsheetml/2006/main">
  <c r="D11" i="2" l="1"/>
  <c r="C7" i="6"/>
  <c r="C6" i="6"/>
  <c r="F27" i="5"/>
  <c r="AH3" i="1"/>
  <c r="D7" i="5"/>
  <c r="D13" i="4"/>
  <c r="E12" i="4"/>
  <c r="D12" i="4"/>
  <c r="D9" i="4"/>
  <c r="D7" i="4"/>
  <c r="D5" i="4"/>
  <c r="D15" i="3"/>
  <c r="E14" i="3"/>
  <c r="D14" i="3"/>
  <c r="D10" i="3"/>
  <c r="D6" i="3"/>
  <c r="F10" i="2"/>
  <c r="E10" i="2"/>
  <c r="D10" i="2"/>
  <c r="E8" i="2"/>
  <c r="D8" i="2"/>
  <c r="D5" i="2"/>
  <c r="F8" i="2" l="1"/>
</calcChain>
</file>

<file path=xl/sharedStrings.xml><?xml version="1.0" encoding="utf-8"?>
<sst xmlns="http://schemas.openxmlformats.org/spreadsheetml/2006/main" count="17080" uniqueCount="4710">
  <si>
    <t>Order_ID</t>
  </si>
  <si>
    <t>Customer_ID</t>
  </si>
  <si>
    <t>Order_Date</t>
  </si>
  <si>
    <t>Ship_Date</t>
  </si>
  <si>
    <t>Ship_Mode</t>
  </si>
  <si>
    <t>Region</t>
  </si>
  <si>
    <t>Country</t>
  </si>
  <si>
    <t>City</t>
  </si>
  <si>
    <t>Product_ID</t>
  </si>
  <si>
    <t>Category</t>
  </si>
  <si>
    <t>Sub_Category</t>
  </si>
  <si>
    <t>Product_Name</t>
  </si>
  <si>
    <t>Unit_Price</t>
  </si>
  <si>
    <t>Quantity</t>
  </si>
  <si>
    <t>Supplier_ID</t>
  </si>
  <si>
    <t>Supplier_Name</t>
  </si>
  <si>
    <t>Warehouse_ID</t>
  </si>
  <si>
    <t>Transport_Mode</t>
  </si>
  <si>
    <t>Carrier</t>
  </si>
  <si>
    <t>Route</t>
  </si>
  <si>
    <t>Stock_On_Hand</t>
  </si>
  <si>
    <t>Reorder_Level</t>
  </si>
  <si>
    <t>Lead_Time_Days</t>
  </si>
  <si>
    <t>Procurement_Cost</t>
  </si>
  <si>
    <t>Transportation_Cost</t>
  </si>
  <si>
    <t>Total_Cost</t>
  </si>
  <si>
    <t>Delivery_Status</t>
  </si>
  <si>
    <t>Delay_Days</t>
  </si>
  <si>
    <t>Fill_Rate</t>
  </si>
  <si>
    <t>Forecast_Demand</t>
  </si>
  <si>
    <t>Actual_Demand</t>
  </si>
  <si>
    <t>O1000000</t>
  </si>
  <si>
    <t>C6915</t>
  </si>
  <si>
    <t>Same-day</t>
  </si>
  <si>
    <t>Asia</t>
  </si>
  <si>
    <t>USA</t>
  </si>
  <si>
    <t>New York</t>
  </si>
  <si>
    <t>P11470</t>
  </si>
  <si>
    <t>Electronics</t>
  </si>
  <si>
    <t>Snacks</t>
  </si>
  <si>
    <t>Product_2649</t>
  </si>
  <si>
    <t>S933</t>
  </si>
  <si>
    <t>Alpha Corp</t>
  </si>
  <si>
    <t>W10</t>
  </si>
  <si>
    <t>Air</t>
  </si>
  <si>
    <t>FedEx</t>
  </si>
  <si>
    <t>Beijing-New York</t>
  </si>
  <si>
    <t>Delayed</t>
  </si>
  <si>
    <t>O1000001</t>
  </si>
  <si>
    <t>C5679</t>
  </si>
  <si>
    <t>Express</t>
  </si>
  <si>
    <t>North America</t>
  </si>
  <si>
    <t>India</t>
  </si>
  <si>
    <t>Berlin</t>
  </si>
  <si>
    <t>P31237</t>
  </si>
  <si>
    <t>Food</t>
  </si>
  <si>
    <t>Medicines</t>
  </si>
  <si>
    <t>Product_5052</t>
  </si>
  <si>
    <t>S987</t>
  </si>
  <si>
    <t>Delta Traders</t>
  </si>
  <si>
    <t>W49</t>
  </si>
  <si>
    <t>Road</t>
  </si>
  <si>
    <t>Toronto-Cape Town</t>
  </si>
  <si>
    <t>On-time</t>
  </si>
  <si>
    <t>O1000002</t>
  </si>
  <si>
    <t>C3498</t>
  </si>
  <si>
    <t>Standard</t>
  </si>
  <si>
    <t>Canada</t>
  </si>
  <si>
    <t>Mumbai</t>
  </si>
  <si>
    <t>P97172</t>
  </si>
  <si>
    <t>Laptop</t>
  </si>
  <si>
    <t>Product_3438</t>
  </si>
  <si>
    <t>S822</t>
  </si>
  <si>
    <t>W38</t>
  </si>
  <si>
    <t>DHL</t>
  </si>
  <si>
    <t>São Paulo-Cape Town</t>
  </si>
  <si>
    <t>O1000003</t>
  </si>
  <si>
    <t>C8748</t>
  </si>
  <si>
    <t>South America</t>
  </si>
  <si>
    <t>China</t>
  </si>
  <si>
    <t>Toronto</t>
  </si>
  <si>
    <t>P95052</t>
  </si>
  <si>
    <t>Apparel</t>
  </si>
  <si>
    <t>Chair</t>
  </si>
  <si>
    <t>Product_1125</t>
  </si>
  <si>
    <t>S114</t>
  </si>
  <si>
    <t>Gamma Inc</t>
  </si>
  <si>
    <t>W45</t>
  </si>
  <si>
    <t>Rail</t>
  </si>
  <si>
    <t>Maersk</t>
  </si>
  <si>
    <t>Cape Town-Toronto</t>
  </si>
  <si>
    <t>O1000004</t>
  </si>
  <si>
    <t>C7620</t>
  </si>
  <si>
    <t>Africa</t>
  </si>
  <si>
    <t>UK</t>
  </si>
  <si>
    <t>P76170</t>
  </si>
  <si>
    <t>Pharma</t>
  </si>
  <si>
    <t>Shirt</t>
  </si>
  <si>
    <t>Product_7942</t>
  </si>
  <si>
    <t>S554</t>
  </si>
  <si>
    <t>W16</t>
  </si>
  <si>
    <t>BlueDart</t>
  </si>
  <si>
    <t>Berlin-São Paulo</t>
  </si>
  <si>
    <t>O1000005</t>
  </si>
  <si>
    <t>C2078</t>
  </si>
  <si>
    <t>Germany</t>
  </si>
  <si>
    <t>P74006</t>
  </si>
  <si>
    <t>Furniture</t>
  </si>
  <si>
    <t>Product_5026</t>
  </si>
  <si>
    <t>S135</t>
  </si>
  <si>
    <t>Epsilon LLC</t>
  </si>
  <si>
    <t>W15</t>
  </si>
  <si>
    <t>Toronto-Toronto</t>
  </si>
  <si>
    <t>O1000006</t>
  </si>
  <si>
    <t>C6228</t>
  </si>
  <si>
    <t>South Africa</t>
  </si>
  <si>
    <t>São Paulo</t>
  </si>
  <si>
    <t>P48808</t>
  </si>
  <si>
    <t>Product_3099</t>
  </si>
  <si>
    <t>S974</t>
  </si>
  <si>
    <t>W34</t>
  </si>
  <si>
    <t>Cape Town-São Paulo</t>
  </si>
  <si>
    <t>O1000007</t>
  </si>
  <si>
    <t>C7718</t>
  </si>
  <si>
    <t>P44869</t>
  </si>
  <si>
    <t>Product_9956</t>
  </si>
  <si>
    <t>S154</t>
  </si>
  <si>
    <t>W6</t>
  </si>
  <si>
    <t>UPS</t>
  </si>
  <si>
    <t>Berlin-New York</t>
  </si>
  <si>
    <t>O1000008</t>
  </si>
  <si>
    <t>C3973</t>
  </si>
  <si>
    <t>P71314</t>
  </si>
  <si>
    <t>Product_8108</t>
  </si>
  <si>
    <t>S357</t>
  </si>
  <si>
    <t>W25</t>
  </si>
  <si>
    <t>New York-Beijing</t>
  </si>
  <si>
    <t>O1000009</t>
  </si>
  <si>
    <t>C1323</t>
  </si>
  <si>
    <t>P89439</t>
  </si>
  <si>
    <t>Product_6620</t>
  </si>
  <si>
    <t>S160</t>
  </si>
  <si>
    <t>Beta Ltd</t>
  </si>
  <si>
    <t>W5</t>
  </si>
  <si>
    <t>London-Berlin</t>
  </si>
  <si>
    <t>O1000010</t>
  </si>
  <si>
    <t>C3178</t>
  </si>
  <si>
    <t>Europe</t>
  </si>
  <si>
    <t>Beijing</t>
  </si>
  <si>
    <t>P30947</t>
  </si>
  <si>
    <t>Product_2942</t>
  </si>
  <si>
    <t>S132</t>
  </si>
  <si>
    <t>W4</t>
  </si>
  <si>
    <t>Sea</t>
  </si>
  <si>
    <t>Mumbai-Cape Town</t>
  </si>
  <si>
    <t>O1000011</t>
  </si>
  <si>
    <t>C3505</t>
  </si>
  <si>
    <t>P88708</t>
  </si>
  <si>
    <t>Product_7793</t>
  </si>
  <si>
    <t>S546</t>
  </si>
  <si>
    <t>W47</t>
  </si>
  <si>
    <t>Cape Town-Mumbai</t>
  </si>
  <si>
    <t>O1000012</t>
  </si>
  <si>
    <t>C4735</t>
  </si>
  <si>
    <t>Cape Town</t>
  </si>
  <si>
    <t>P83879</t>
  </si>
  <si>
    <t>Product_5247</t>
  </si>
  <si>
    <t>S468</t>
  </si>
  <si>
    <t>W29</t>
  </si>
  <si>
    <t>Beijing-London</t>
  </si>
  <si>
    <t>O1000013</t>
  </si>
  <si>
    <t>C1316</t>
  </si>
  <si>
    <t>P57583</t>
  </si>
  <si>
    <t>Product_5819</t>
  </si>
  <si>
    <t>S674</t>
  </si>
  <si>
    <t>W1</t>
  </si>
  <si>
    <t>Berlin-Cape Town</t>
  </si>
  <si>
    <t>O1000014</t>
  </si>
  <si>
    <t>C8897</t>
  </si>
  <si>
    <t>P41902</t>
  </si>
  <si>
    <t>Product_9575</t>
  </si>
  <si>
    <t>S777</t>
  </si>
  <si>
    <t>W40</t>
  </si>
  <si>
    <t>Beijing-Cape Town</t>
  </si>
  <si>
    <t>O1000015</t>
  </si>
  <si>
    <t>C9273</t>
  </si>
  <si>
    <t>P60450</t>
  </si>
  <si>
    <t>Product_6493</t>
  </si>
  <si>
    <t>S303</t>
  </si>
  <si>
    <t>W9</t>
  </si>
  <si>
    <t>Berlin-Beijing</t>
  </si>
  <si>
    <t>O1000016</t>
  </si>
  <si>
    <t>C8456</t>
  </si>
  <si>
    <t>P55882</t>
  </si>
  <si>
    <t>Product_7962</t>
  </si>
  <si>
    <t>S613</t>
  </si>
  <si>
    <t>Mumbai-New York</t>
  </si>
  <si>
    <t>O1000017</t>
  </si>
  <si>
    <t>C2608</t>
  </si>
  <si>
    <t>P80701</t>
  </si>
  <si>
    <t>Product_1835</t>
  </si>
  <si>
    <t>S227</t>
  </si>
  <si>
    <t>W3</t>
  </si>
  <si>
    <t>New York-Cape Town</t>
  </si>
  <si>
    <t>O1000018</t>
  </si>
  <si>
    <t>C3534</t>
  </si>
  <si>
    <t>P73290</t>
  </si>
  <si>
    <t>Product_4581</t>
  </si>
  <si>
    <t>S665</t>
  </si>
  <si>
    <t>O1000019</t>
  </si>
  <si>
    <t>C6902</t>
  </si>
  <si>
    <t>P73074</t>
  </si>
  <si>
    <t>Product_5496</t>
  </si>
  <si>
    <t>S742</t>
  </si>
  <si>
    <t>W28</t>
  </si>
  <si>
    <t>Cape Town-New York</t>
  </si>
  <si>
    <t>O1000020</t>
  </si>
  <si>
    <t>C9827</t>
  </si>
  <si>
    <t>London</t>
  </si>
  <si>
    <t>P76655</t>
  </si>
  <si>
    <t>Product_9273</t>
  </si>
  <si>
    <t>S752</t>
  </si>
  <si>
    <t>Mumbai-São Paulo</t>
  </si>
  <si>
    <t>O1000021</t>
  </si>
  <si>
    <t>C4756</t>
  </si>
  <si>
    <t>P33615</t>
  </si>
  <si>
    <t>Product_2246</t>
  </si>
  <si>
    <t>S448</t>
  </si>
  <si>
    <t>W26</t>
  </si>
  <si>
    <t>O1000022</t>
  </si>
  <si>
    <t>C6997</t>
  </si>
  <si>
    <t>P63903</t>
  </si>
  <si>
    <t>Product_3631</t>
  </si>
  <si>
    <t>S825</t>
  </si>
  <si>
    <t>W44</t>
  </si>
  <si>
    <t>Cape Town-London</t>
  </si>
  <si>
    <t>O1000023</t>
  </si>
  <si>
    <t>C1028</t>
  </si>
  <si>
    <t>P73032</t>
  </si>
  <si>
    <t>Product_4249</t>
  </si>
  <si>
    <t>S576</t>
  </si>
  <si>
    <t>W8</t>
  </si>
  <si>
    <t>London-São Paulo</t>
  </si>
  <si>
    <t>O1000024</t>
  </si>
  <si>
    <t>C4401</t>
  </si>
  <si>
    <t>P81838</t>
  </si>
  <si>
    <t>Product_7998</t>
  </si>
  <si>
    <t>S412</t>
  </si>
  <si>
    <t>W30</t>
  </si>
  <si>
    <t>London-Toronto</t>
  </si>
  <si>
    <t>O1000025</t>
  </si>
  <si>
    <t>C4979</t>
  </si>
  <si>
    <t>P19545</t>
  </si>
  <si>
    <t>Product_1951</t>
  </si>
  <si>
    <t>S664</t>
  </si>
  <si>
    <t>Berlin-Toronto</t>
  </si>
  <si>
    <t>O1000026</t>
  </si>
  <si>
    <t>C9865</t>
  </si>
  <si>
    <t>P41769</t>
  </si>
  <si>
    <t>Product_8270</t>
  </si>
  <si>
    <t>S710</t>
  </si>
  <si>
    <t>W7</t>
  </si>
  <si>
    <t>New York-São Paulo</t>
  </si>
  <si>
    <t>O1000027</t>
  </si>
  <si>
    <t>C4004</t>
  </si>
  <si>
    <t>P80089</t>
  </si>
  <si>
    <t>Product_6190</t>
  </si>
  <si>
    <t>S764</t>
  </si>
  <si>
    <t>O1000028</t>
  </si>
  <si>
    <t>C6243</t>
  </si>
  <si>
    <t>P51876</t>
  </si>
  <si>
    <t>Product_8864</t>
  </si>
  <si>
    <t>S306</t>
  </si>
  <si>
    <t>São Paulo-London</t>
  </si>
  <si>
    <t>O1000029</t>
  </si>
  <si>
    <t>C4550</t>
  </si>
  <si>
    <t>P14179</t>
  </si>
  <si>
    <t>Product_5050</t>
  </si>
  <si>
    <t>S936</t>
  </si>
  <si>
    <t>Beijing-Berlin</t>
  </si>
  <si>
    <t>O1000030</t>
  </si>
  <si>
    <t>C4586</t>
  </si>
  <si>
    <t>P88270</t>
  </si>
  <si>
    <t>Product_5914</t>
  </si>
  <si>
    <t>S366</t>
  </si>
  <si>
    <t>O1000031</t>
  </si>
  <si>
    <t>C1027</t>
  </si>
  <si>
    <t>P33413</t>
  </si>
  <si>
    <t>Product_4375</t>
  </si>
  <si>
    <t>S203</t>
  </si>
  <si>
    <t>W13</t>
  </si>
  <si>
    <t>São Paulo-Mumbai</t>
  </si>
  <si>
    <t>O1000032</t>
  </si>
  <si>
    <t>C9007</t>
  </si>
  <si>
    <t>P20293</t>
  </si>
  <si>
    <t>Product_3138</t>
  </si>
  <si>
    <t>S104</t>
  </si>
  <si>
    <t>Mumbai-Mumbai</t>
  </si>
  <si>
    <t>O1000033</t>
  </si>
  <si>
    <t>C5653</t>
  </si>
  <si>
    <t>P14009</t>
  </si>
  <si>
    <t>Product_9358</t>
  </si>
  <si>
    <t>S156</t>
  </si>
  <si>
    <t>London-Cape Town</t>
  </si>
  <si>
    <t>O1000034</t>
  </si>
  <si>
    <t>C1669</t>
  </si>
  <si>
    <t>P72467</t>
  </si>
  <si>
    <t>Product_2436</t>
  </si>
  <si>
    <t>S386</t>
  </si>
  <si>
    <t>Beijing-Beijing</t>
  </si>
  <si>
    <t>O1000035</t>
  </si>
  <si>
    <t>C7631</t>
  </si>
  <si>
    <t>P41996</t>
  </si>
  <si>
    <t>Product_2400</t>
  </si>
  <si>
    <t>S148</t>
  </si>
  <si>
    <t>W37</t>
  </si>
  <si>
    <t>Cape Town-Berlin</t>
  </si>
  <si>
    <t>O1000036</t>
  </si>
  <si>
    <t>C3771</t>
  </si>
  <si>
    <t>P83068</t>
  </si>
  <si>
    <t>Product_8341</t>
  </si>
  <si>
    <t>S525</t>
  </si>
  <si>
    <t>W14</t>
  </si>
  <si>
    <t>O1000037</t>
  </si>
  <si>
    <t>C9325</t>
  </si>
  <si>
    <t>P32637</t>
  </si>
  <si>
    <t>Product_6247</t>
  </si>
  <si>
    <t>S845</t>
  </si>
  <si>
    <t>W23</t>
  </si>
  <si>
    <t>Berlin-Mumbai</t>
  </si>
  <si>
    <t>O1000038</t>
  </si>
  <si>
    <t>C9195</t>
  </si>
  <si>
    <t>P85329</t>
  </si>
  <si>
    <t>Product_4233</t>
  </si>
  <si>
    <t>S139</t>
  </si>
  <si>
    <t>O1000039</t>
  </si>
  <si>
    <t>C4804</t>
  </si>
  <si>
    <t>Brazil</t>
  </si>
  <si>
    <t>P34699</t>
  </si>
  <si>
    <t>Product_8882</t>
  </si>
  <si>
    <t>W46</t>
  </si>
  <si>
    <t>Toronto-London</t>
  </si>
  <si>
    <t>O1000040</t>
  </si>
  <si>
    <t>C8013</t>
  </si>
  <si>
    <t>P58551</t>
  </si>
  <si>
    <t>Product_3985</t>
  </si>
  <si>
    <t>S990</t>
  </si>
  <si>
    <t>W35</t>
  </si>
  <si>
    <t>O1000041</t>
  </si>
  <si>
    <t>C6886</t>
  </si>
  <si>
    <t>P20658</t>
  </si>
  <si>
    <t>Product_3326</t>
  </si>
  <si>
    <t>S112</t>
  </si>
  <si>
    <t>São Paulo-Beijing</t>
  </si>
  <si>
    <t>O1000042</t>
  </si>
  <si>
    <t>C8484</t>
  </si>
  <si>
    <t>P55047</t>
  </si>
  <si>
    <t>Product_5447</t>
  </si>
  <si>
    <t>S370</t>
  </si>
  <si>
    <t>O1000043</t>
  </si>
  <si>
    <t>C2385</t>
  </si>
  <si>
    <t>P53263</t>
  </si>
  <si>
    <t>Product_6034</t>
  </si>
  <si>
    <t>S505</t>
  </si>
  <si>
    <t>W39</t>
  </si>
  <si>
    <t>Toronto-São Paulo</t>
  </si>
  <si>
    <t>O1000044</t>
  </si>
  <si>
    <t>C2707</t>
  </si>
  <si>
    <t>P47052</t>
  </si>
  <si>
    <t>Product_7968</t>
  </si>
  <si>
    <t>S602</t>
  </si>
  <si>
    <t>W48</t>
  </si>
  <si>
    <t>Beijing-São Paulo</t>
  </si>
  <si>
    <t>O1000045</t>
  </si>
  <si>
    <t>C9057</t>
  </si>
  <si>
    <t>P76368</t>
  </si>
  <si>
    <t>Product_1373</t>
  </si>
  <si>
    <t>S598</t>
  </si>
  <si>
    <t>O1000046</t>
  </si>
  <si>
    <t>C1719</t>
  </si>
  <si>
    <t>P41061</t>
  </si>
  <si>
    <t>Product_9373</t>
  </si>
  <si>
    <t>S272</t>
  </si>
  <si>
    <t>W24</t>
  </si>
  <si>
    <t>O1000047</t>
  </si>
  <si>
    <t>C1158</t>
  </si>
  <si>
    <t>P13433</t>
  </si>
  <si>
    <t>Product_8058</t>
  </si>
  <si>
    <t>S953</t>
  </si>
  <si>
    <t>O1000048</t>
  </si>
  <si>
    <t>C4222</t>
  </si>
  <si>
    <t>P24556</t>
  </si>
  <si>
    <t>Product_2099</t>
  </si>
  <si>
    <t>S958</t>
  </si>
  <si>
    <t>O1000049</t>
  </si>
  <si>
    <t>C8957</t>
  </si>
  <si>
    <t>P61719</t>
  </si>
  <si>
    <t>Product_2368</t>
  </si>
  <si>
    <t>S392</t>
  </si>
  <si>
    <t>O1000050</t>
  </si>
  <si>
    <t>C7555</t>
  </si>
  <si>
    <t>P44863</t>
  </si>
  <si>
    <t>Product_9770</t>
  </si>
  <si>
    <t>S837</t>
  </si>
  <si>
    <t>W17</t>
  </si>
  <si>
    <t>São Paulo-New York</t>
  </si>
  <si>
    <t>O1000051</t>
  </si>
  <si>
    <t>C1034</t>
  </si>
  <si>
    <t>P73483</t>
  </si>
  <si>
    <t>Product_2037</t>
  </si>
  <si>
    <t>S814</t>
  </si>
  <si>
    <t>O1000052</t>
  </si>
  <si>
    <t>C4232</t>
  </si>
  <si>
    <t>P86055</t>
  </si>
  <si>
    <t>Product_4427</t>
  </si>
  <si>
    <t>New York-New York</t>
  </si>
  <si>
    <t>O1000053</t>
  </si>
  <si>
    <t>C7882</t>
  </si>
  <si>
    <t>P85062</t>
  </si>
  <si>
    <t>Product_6588</t>
  </si>
  <si>
    <t>S278</t>
  </si>
  <si>
    <t>W21</t>
  </si>
  <si>
    <t>London-Mumbai</t>
  </si>
  <si>
    <t>O1000054</t>
  </si>
  <si>
    <t>C7862</t>
  </si>
  <si>
    <t>P74656</t>
  </si>
  <si>
    <t>Product_9393</t>
  </si>
  <si>
    <t>S157</t>
  </si>
  <si>
    <t>W20</t>
  </si>
  <si>
    <t>O1000055</t>
  </si>
  <si>
    <t>C9281</t>
  </si>
  <si>
    <t>P72885</t>
  </si>
  <si>
    <t>Product_1945</t>
  </si>
  <si>
    <t>S763</t>
  </si>
  <si>
    <t>Toronto-Mumbai</t>
  </si>
  <si>
    <t>O1000056</t>
  </si>
  <si>
    <t>C5357</t>
  </si>
  <si>
    <t>P57269</t>
  </si>
  <si>
    <t>Product_1181</t>
  </si>
  <si>
    <t>S919</t>
  </si>
  <si>
    <t>O1000057</t>
  </si>
  <si>
    <t>C3108</t>
  </si>
  <si>
    <t>P30310</t>
  </si>
  <si>
    <t>Product_3264</t>
  </si>
  <si>
    <t>Mumbai-Berlin</t>
  </si>
  <si>
    <t>O1000058</t>
  </si>
  <si>
    <t>C3864</t>
  </si>
  <si>
    <t>P99548</t>
  </si>
  <si>
    <t>Product_7680</t>
  </si>
  <si>
    <t>S538</t>
  </si>
  <si>
    <t>O1000059</t>
  </si>
  <si>
    <t>C4873</t>
  </si>
  <si>
    <t>P46722</t>
  </si>
  <si>
    <t>Product_1076</t>
  </si>
  <si>
    <t>S285</t>
  </si>
  <si>
    <t>W11</t>
  </si>
  <si>
    <t>O1000060</t>
  </si>
  <si>
    <t>C2688</t>
  </si>
  <si>
    <t>P55582</t>
  </si>
  <si>
    <t>Product_5235</t>
  </si>
  <si>
    <t>S930</t>
  </si>
  <si>
    <t>W31</t>
  </si>
  <si>
    <t>O1000061</t>
  </si>
  <si>
    <t>C6903</t>
  </si>
  <si>
    <t>P39446</t>
  </si>
  <si>
    <t>Product_5427</t>
  </si>
  <si>
    <t>S198</t>
  </si>
  <si>
    <t>São Paulo-Toronto</t>
  </si>
  <si>
    <t>O1000062</t>
  </si>
  <si>
    <t>C2104</t>
  </si>
  <si>
    <t>P83264</t>
  </si>
  <si>
    <t>Product_7891</t>
  </si>
  <si>
    <t>S968</t>
  </si>
  <si>
    <t>O1000063</t>
  </si>
  <si>
    <t>C1767</t>
  </si>
  <si>
    <t>P15139</t>
  </si>
  <si>
    <t>Product_2405</t>
  </si>
  <si>
    <t>S379</t>
  </si>
  <si>
    <t>Berlin-Berlin</t>
  </si>
  <si>
    <t>O1000064</t>
  </si>
  <si>
    <t>C5982</t>
  </si>
  <si>
    <t>P37343</t>
  </si>
  <si>
    <t>Product_8025</t>
  </si>
  <si>
    <t>O1000065</t>
  </si>
  <si>
    <t>C6311</t>
  </si>
  <si>
    <t>P41976</t>
  </si>
  <si>
    <t>Product_4279</t>
  </si>
  <si>
    <t>S440</t>
  </si>
  <si>
    <t>W19</t>
  </si>
  <si>
    <t>O1000066</t>
  </si>
  <si>
    <t>C3432</t>
  </si>
  <si>
    <t>P86265</t>
  </si>
  <si>
    <t>Product_2952</t>
  </si>
  <si>
    <t>O1000067</t>
  </si>
  <si>
    <t>C8169</t>
  </si>
  <si>
    <t>P21746</t>
  </si>
  <si>
    <t>Product_2551</t>
  </si>
  <si>
    <t>S557</t>
  </si>
  <si>
    <t>O1000068</t>
  </si>
  <si>
    <t>C5354</t>
  </si>
  <si>
    <t>P67037</t>
  </si>
  <si>
    <t>Product_2494</t>
  </si>
  <si>
    <t>S518</t>
  </si>
  <si>
    <t>O1000069</t>
  </si>
  <si>
    <t>C1433</t>
  </si>
  <si>
    <t>P95486</t>
  </si>
  <si>
    <t>Product_3428</t>
  </si>
  <si>
    <t>S529</t>
  </si>
  <si>
    <t>Beijing-Toronto</t>
  </si>
  <si>
    <t>O1000070</t>
  </si>
  <si>
    <t>C9862</t>
  </si>
  <si>
    <t>P90795</t>
  </si>
  <si>
    <t>Product_8719</t>
  </si>
  <si>
    <t>S426</t>
  </si>
  <si>
    <t>W12</t>
  </si>
  <si>
    <t>O1000071</t>
  </si>
  <si>
    <t>C2478</t>
  </si>
  <si>
    <t>P92524</t>
  </si>
  <si>
    <t>Product_3468</t>
  </si>
  <si>
    <t>S943</t>
  </si>
  <si>
    <t>O1000072</t>
  </si>
  <si>
    <t>C2586</t>
  </si>
  <si>
    <t>P61564</t>
  </si>
  <si>
    <t>Product_5349</t>
  </si>
  <si>
    <t>S333</t>
  </si>
  <si>
    <t>O1000073</t>
  </si>
  <si>
    <t>C9473</t>
  </si>
  <si>
    <t>P57305</t>
  </si>
  <si>
    <t>Product_4335</t>
  </si>
  <si>
    <t>W27</t>
  </si>
  <si>
    <t>Mumbai-Toronto</t>
  </si>
  <si>
    <t>O1000074</t>
  </si>
  <si>
    <t>C1081</t>
  </si>
  <si>
    <t>P82940</t>
  </si>
  <si>
    <t>Product_7949</t>
  </si>
  <si>
    <t>S243</t>
  </si>
  <si>
    <t>O1000075</t>
  </si>
  <si>
    <t>C5251</t>
  </si>
  <si>
    <t>P64802</t>
  </si>
  <si>
    <t>Product_5057</t>
  </si>
  <si>
    <t>S159</t>
  </si>
  <si>
    <t>W43</t>
  </si>
  <si>
    <t>Toronto-Beijing</t>
  </si>
  <si>
    <t>O1000076</t>
  </si>
  <si>
    <t>C6830</t>
  </si>
  <si>
    <t>P97281</t>
  </si>
  <si>
    <t>Product_9140</t>
  </si>
  <si>
    <t>S687</t>
  </si>
  <si>
    <t>O1000077</t>
  </si>
  <si>
    <t>C5957</t>
  </si>
  <si>
    <t>P68363</t>
  </si>
  <si>
    <t>Product_4015</t>
  </si>
  <si>
    <t>S107</t>
  </si>
  <si>
    <t>O1000078</t>
  </si>
  <si>
    <t>C1883</t>
  </si>
  <si>
    <t>P88870</t>
  </si>
  <si>
    <t>Product_3258</t>
  </si>
  <si>
    <t>S542</t>
  </si>
  <si>
    <t>W32</t>
  </si>
  <si>
    <t>London-Beijing</t>
  </si>
  <si>
    <t>O1000079</t>
  </si>
  <si>
    <t>C6759</t>
  </si>
  <si>
    <t>P64821</t>
  </si>
  <si>
    <t>Product_9580</t>
  </si>
  <si>
    <t>S253</t>
  </si>
  <si>
    <t>O1000080</t>
  </si>
  <si>
    <t>C2813</t>
  </si>
  <si>
    <t>P49725</t>
  </si>
  <si>
    <t>Product_2052</t>
  </si>
  <si>
    <t>S162</t>
  </si>
  <si>
    <t>O1000081</t>
  </si>
  <si>
    <t>C9596</t>
  </si>
  <si>
    <t>P98544</t>
  </si>
  <si>
    <t>Product_5309</t>
  </si>
  <si>
    <t>S565</t>
  </si>
  <si>
    <t>O1000082</t>
  </si>
  <si>
    <t>C3541</t>
  </si>
  <si>
    <t>P29986</t>
  </si>
  <si>
    <t>Product_9262</t>
  </si>
  <si>
    <t>O1000083</t>
  </si>
  <si>
    <t>C9877</t>
  </si>
  <si>
    <t>P61253</t>
  </si>
  <si>
    <t>Product_7232</t>
  </si>
  <si>
    <t>S897</t>
  </si>
  <si>
    <t>O1000084</t>
  </si>
  <si>
    <t>C4954</t>
  </si>
  <si>
    <t>P96856</t>
  </si>
  <si>
    <t>Product_7480</t>
  </si>
  <si>
    <t>S393</t>
  </si>
  <si>
    <t>O1000085</t>
  </si>
  <si>
    <t>C1507</t>
  </si>
  <si>
    <t>P71204</t>
  </si>
  <si>
    <t>Product_4267</t>
  </si>
  <si>
    <t>S369</t>
  </si>
  <si>
    <t>O1000086</t>
  </si>
  <si>
    <t>C8854</t>
  </si>
  <si>
    <t>P68489</t>
  </si>
  <si>
    <t>Product_8424</t>
  </si>
  <si>
    <t>S988</t>
  </si>
  <si>
    <t>O1000087</t>
  </si>
  <si>
    <t>C5795</t>
  </si>
  <si>
    <t>P58116</t>
  </si>
  <si>
    <t>Product_6861</t>
  </si>
  <si>
    <t>S522</t>
  </si>
  <si>
    <t>O1000088</t>
  </si>
  <si>
    <t>C3846</t>
  </si>
  <si>
    <t>P27693</t>
  </si>
  <si>
    <t>Product_9447</t>
  </si>
  <si>
    <t>S995</t>
  </si>
  <si>
    <t>W41</t>
  </si>
  <si>
    <t>O1000089</t>
  </si>
  <si>
    <t>C3309</t>
  </si>
  <si>
    <t>P53138</t>
  </si>
  <si>
    <t>Product_9835</t>
  </si>
  <si>
    <t>S801</t>
  </si>
  <si>
    <t>O1000090</t>
  </si>
  <si>
    <t>C3502</t>
  </si>
  <si>
    <t>P93858</t>
  </si>
  <si>
    <t>Product_7956</t>
  </si>
  <si>
    <t>S312</t>
  </si>
  <si>
    <t>O1000091</t>
  </si>
  <si>
    <t>C1182</t>
  </si>
  <si>
    <t>P74228</t>
  </si>
  <si>
    <t>Product_6008</t>
  </si>
  <si>
    <t>S310</t>
  </si>
  <si>
    <t>Cape Town-Beijing</t>
  </si>
  <si>
    <t>O1000092</t>
  </si>
  <si>
    <t>C5319</t>
  </si>
  <si>
    <t>P57851</t>
  </si>
  <si>
    <t>Product_7329</t>
  </si>
  <si>
    <t>S550</t>
  </si>
  <si>
    <t>O1000093</t>
  </si>
  <si>
    <t>C5567</t>
  </si>
  <si>
    <t>P87884</t>
  </si>
  <si>
    <t>Product_4722</t>
  </si>
  <si>
    <t>S166</t>
  </si>
  <si>
    <t>New York-Toronto</t>
  </si>
  <si>
    <t>O1000094</t>
  </si>
  <si>
    <t>C4479</t>
  </si>
  <si>
    <t>P53001</t>
  </si>
  <si>
    <t>Product_9786</t>
  </si>
  <si>
    <t>S254</t>
  </si>
  <si>
    <t>New York-Mumbai</t>
  </si>
  <si>
    <t>O1000095</t>
  </si>
  <si>
    <t>C3143</t>
  </si>
  <si>
    <t>P88474</t>
  </si>
  <si>
    <t>Product_3472</t>
  </si>
  <si>
    <t>S690</t>
  </si>
  <si>
    <t>O1000096</t>
  </si>
  <si>
    <t>C3261</t>
  </si>
  <si>
    <t>P55479</t>
  </si>
  <si>
    <t>Product_4954</t>
  </si>
  <si>
    <t>London-London</t>
  </si>
  <si>
    <t>O1000097</t>
  </si>
  <si>
    <t>C3141</t>
  </si>
  <si>
    <t>P43981</t>
  </si>
  <si>
    <t>Product_3272</t>
  </si>
  <si>
    <t>S349</t>
  </si>
  <si>
    <t>O1000098</t>
  </si>
  <si>
    <t>C4662</t>
  </si>
  <si>
    <t>P18922</t>
  </si>
  <si>
    <t>Product_8439</t>
  </si>
  <si>
    <t>S347</t>
  </si>
  <si>
    <t>O1000099</t>
  </si>
  <si>
    <t>C1633</t>
  </si>
  <si>
    <t>P58658</t>
  </si>
  <si>
    <t>Product_1984</t>
  </si>
  <si>
    <t>S438</t>
  </si>
  <si>
    <t>O1000100</t>
  </si>
  <si>
    <t>C3638</t>
  </si>
  <si>
    <t>P29894</t>
  </si>
  <si>
    <t>Product_5689</t>
  </si>
  <si>
    <t>S558</t>
  </si>
  <si>
    <t>Cape Town-Cape Town</t>
  </si>
  <si>
    <t>O1000101</t>
  </si>
  <si>
    <t>C1912</t>
  </si>
  <si>
    <t>P39846</t>
  </si>
  <si>
    <t>Product_5225</t>
  </si>
  <si>
    <t>S176</t>
  </si>
  <si>
    <t>O1000102</t>
  </si>
  <si>
    <t>C6462</t>
  </si>
  <si>
    <t>P63183</t>
  </si>
  <si>
    <t>Product_2268</t>
  </si>
  <si>
    <t>S594</t>
  </si>
  <si>
    <t>W42</t>
  </si>
  <si>
    <t>O1000103</t>
  </si>
  <si>
    <t>C2679</t>
  </si>
  <si>
    <t>P97033</t>
  </si>
  <si>
    <t>Product_1121</t>
  </si>
  <si>
    <t>S678</t>
  </si>
  <si>
    <t>O1000104</t>
  </si>
  <si>
    <t>C1468</t>
  </si>
  <si>
    <t>P33196</t>
  </si>
  <si>
    <t>Product_5328</t>
  </si>
  <si>
    <t>S820</t>
  </si>
  <si>
    <t>O1000105</t>
  </si>
  <si>
    <t>C6118</t>
  </si>
  <si>
    <t>P51661</t>
  </si>
  <si>
    <t>Product_2647</t>
  </si>
  <si>
    <t>S302</t>
  </si>
  <si>
    <t>W33</t>
  </si>
  <si>
    <t>O1000106</t>
  </si>
  <si>
    <t>C3637</t>
  </si>
  <si>
    <t>P60842</t>
  </si>
  <si>
    <t>Product_4529</t>
  </si>
  <si>
    <t>S563</t>
  </si>
  <si>
    <t>W18</t>
  </si>
  <si>
    <t>O1000107</t>
  </si>
  <si>
    <t>C1558</t>
  </si>
  <si>
    <t>P39268</t>
  </si>
  <si>
    <t>Product_8678</t>
  </si>
  <si>
    <t>S803</t>
  </si>
  <si>
    <t>O1000108</t>
  </si>
  <si>
    <t>C1894</t>
  </si>
  <si>
    <t>P25820</t>
  </si>
  <si>
    <t>Product_7545</t>
  </si>
  <si>
    <t>S150</t>
  </si>
  <si>
    <t>O1000109</t>
  </si>
  <si>
    <t>C8742</t>
  </si>
  <si>
    <t>P48479</t>
  </si>
  <si>
    <t>Product_7507</t>
  </si>
  <si>
    <t>Beijing-Mumbai</t>
  </si>
  <si>
    <t>O1000110</t>
  </si>
  <si>
    <t>C1627</t>
  </si>
  <si>
    <t>P21428</t>
  </si>
  <si>
    <t>Product_7189</t>
  </si>
  <si>
    <t>S789</t>
  </si>
  <si>
    <t>O1000111</t>
  </si>
  <si>
    <t>C9044</t>
  </si>
  <si>
    <t>P27596</t>
  </si>
  <si>
    <t>Product_7683</t>
  </si>
  <si>
    <t>S909</t>
  </si>
  <si>
    <t>O1000112</t>
  </si>
  <si>
    <t>C1734</t>
  </si>
  <si>
    <t>P91054</t>
  </si>
  <si>
    <t>Product_1343</t>
  </si>
  <si>
    <t>S625</t>
  </si>
  <si>
    <t>Toronto-New York</t>
  </si>
  <si>
    <t>O1000113</t>
  </si>
  <si>
    <t>C7151</t>
  </si>
  <si>
    <t>P75802</t>
  </si>
  <si>
    <t>Product_9998</t>
  </si>
  <si>
    <t>S809</t>
  </si>
  <si>
    <t>O1000114</t>
  </si>
  <si>
    <t>C8759</t>
  </si>
  <si>
    <t>P16332</t>
  </si>
  <si>
    <t>Product_2982</t>
  </si>
  <si>
    <t>S297</t>
  </si>
  <si>
    <t>O1000115</t>
  </si>
  <si>
    <t>C7231</t>
  </si>
  <si>
    <t>P85662</t>
  </si>
  <si>
    <t>Product_5911</t>
  </si>
  <si>
    <t>O1000116</t>
  </si>
  <si>
    <t>C1888</t>
  </si>
  <si>
    <t>P71673</t>
  </si>
  <si>
    <t>Product_9067</t>
  </si>
  <si>
    <t>S362</t>
  </si>
  <si>
    <t>O1000117</t>
  </si>
  <si>
    <t>C6371</t>
  </si>
  <si>
    <t>P24328</t>
  </si>
  <si>
    <t>Product_1410</t>
  </si>
  <si>
    <t>S499</t>
  </si>
  <si>
    <t>O1000118</t>
  </si>
  <si>
    <t>C8386</t>
  </si>
  <si>
    <t>P92720</t>
  </si>
  <si>
    <t>Product_8155</t>
  </si>
  <si>
    <t>O1000119</t>
  </si>
  <si>
    <t>C2163</t>
  </si>
  <si>
    <t>P95255</t>
  </si>
  <si>
    <t>Product_8553</t>
  </si>
  <si>
    <t>S152</t>
  </si>
  <si>
    <t>O1000120</t>
  </si>
  <si>
    <t>C6193</t>
  </si>
  <si>
    <t>P59476</t>
  </si>
  <si>
    <t>Product_5969</t>
  </si>
  <si>
    <t>S142</t>
  </si>
  <si>
    <t>O1000121</t>
  </si>
  <si>
    <t>C4126</t>
  </si>
  <si>
    <t>P95137</t>
  </si>
  <si>
    <t>Product_7871</t>
  </si>
  <si>
    <t>S886</t>
  </si>
  <si>
    <t>O1000122</t>
  </si>
  <si>
    <t>C9218</t>
  </si>
  <si>
    <t>P78734</t>
  </si>
  <si>
    <t>Product_5722</t>
  </si>
  <si>
    <t>S378</t>
  </si>
  <si>
    <t>O1000123</t>
  </si>
  <si>
    <t>C5646</t>
  </si>
  <si>
    <t>P46263</t>
  </si>
  <si>
    <t>Product_5242</t>
  </si>
  <si>
    <t>S414</t>
  </si>
  <si>
    <t>O1000124</t>
  </si>
  <si>
    <t>C4902</t>
  </si>
  <si>
    <t>P63763</t>
  </si>
  <si>
    <t>Product_1420</t>
  </si>
  <si>
    <t>O1000125</t>
  </si>
  <si>
    <t>C7267</t>
  </si>
  <si>
    <t>P47390</t>
  </si>
  <si>
    <t>Product_4755</t>
  </si>
  <si>
    <t>S823</t>
  </si>
  <si>
    <t>O1000126</t>
  </si>
  <si>
    <t>C3614</t>
  </si>
  <si>
    <t>P48896</t>
  </si>
  <si>
    <t>Product_9340</t>
  </si>
  <si>
    <t>S513</t>
  </si>
  <si>
    <t>O1000127</t>
  </si>
  <si>
    <t>C6328</t>
  </si>
  <si>
    <t>P34958</t>
  </si>
  <si>
    <t>Product_9318</t>
  </si>
  <si>
    <t>S866</t>
  </si>
  <si>
    <t>O1000128</t>
  </si>
  <si>
    <t>C6034</t>
  </si>
  <si>
    <t>P35893</t>
  </si>
  <si>
    <t>Product_2903</t>
  </si>
  <si>
    <t>S277</t>
  </si>
  <si>
    <t>Mumbai-Beijing</t>
  </si>
  <si>
    <t>O1000129</t>
  </si>
  <si>
    <t>C6764</t>
  </si>
  <si>
    <t>P28212</t>
  </si>
  <si>
    <t>Product_3634</t>
  </si>
  <si>
    <t>S465</t>
  </si>
  <si>
    <t>O1000130</t>
  </si>
  <si>
    <t>C3009</t>
  </si>
  <si>
    <t>P78748</t>
  </si>
  <si>
    <t>Product_9158</t>
  </si>
  <si>
    <t>S472</t>
  </si>
  <si>
    <t>O1000131</t>
  </si>
  <si>
    <t>C1147</t>
  </si>
  <si>
    <t>P29302</t>
  </si>
  <si>
    <t>Product_8739</t>
  </si>
  <si>
    <t>O1000132</t>
  </si>
  <si>
    <t>C3712</t>
  </si>
  <si>
    <t>P28733</t>
  </si>
  <si>
    <t>Product_7943</t>
  </si>
  <si>
    <t>S873</t>
  </si>
  <si>
    <t>O1000133</t>
  </si>
  <si>
    <t>C3278</t>
  </si>
  <si>
    <t>P30997</t>
  </si>
  <si>
    <t>Product_4275</t>
  </si>
  <si>
    <t>S553</t>
  </si>
  <si>
    <t>O1000134</t>
  </si>
  <si>
    <t>C8152</t>
  </si>
  <si>
    <t>P28790</t>
  </si>
  <si>
    <t>Product_2810</t>
  </si>
  <si>
    <t>S161</t>
  </si>
  <si>
    <t>O1000135</t>
  </si>
  <si>
    <t>C7943</t>
  </si>
  <si>
    <t>P95072</t>
  </si>
  <si>
    <t>Product_5464</t>
  </si>
  <si>
    <t>S759</t>
  </si>
  <si>
    <t>O1000136</t>
  </si>
  <si>
    <t>C4204</t>
  </si>
  <si>
    <t>P59417</t>
  </si>
  <si>
    <t>Product_3666</t>
  </si>
  <si>
    <t>S363</t>
  </si>
  <si>
    <t>O1000137</t>
  </si>
  <si>
    <t>C3995</t>
  </si>
  <si>
    <t>P55157</t>
  </si>
  <si>
    <t>Product_9833</t>
  </si>
  <si>
    <t>S663</t>
  </si>
  <si>
    <t>O1000138</t>
  </si>
  <si>
    <t>C6341</t>
  </si>
  <si>
    <t>P16125</t>
  </si>
  <si>
    <t>Product_8174</t>
  </si>
  <si>
    <t>S927</t>
  </si>
  <si>
    <t>O1000139</t>
  </si>
  <si>
    <t>C5152</t>
  </si>
  <si>
    <t>P23133</t>
  </si>
  <si>
    <t>Product_3839</t>
  </si>
  <si>
    <t>O1000140</t>
  </si>
  <si>
    <t>C8874</t>
  </si>
  <si>
    <t>P51256</t>
  </si>
  <si>
    <t>Product_9235</t>
  </si>
  <si>
    <t>S692</t>
  </si>
  <si>
    <t>O1000141</t>
  </si>
  <si>
    <t>C6014</t>
  </si>
  <si>
    <t>P10333</t>
  </si>
  <si>
    <t>Product_6387</t>
  </si>
  <si>
    <t>S555</t>
  </si>
  <si>
    <t>O1000142</t>
  </si>
  <si>
    <t>C4606</t>
  </si>
  <si>
    <t>P18307</t>
  </si>
  <si>
    <t>Product_3696</t>
  </si>
  <si>
    <t>S293</t>
  </si>
  <si>
    <t>O1000143</t>
  </si>
  <si>
    <t>C2277</t>
  </si>
  <si>
    <t>P50922</t>
  </si>
  <si>
    <t>Product_6622</t>
  </si>
  <si>
    <t>S940</t>
  </si>
  <si>
    <t>O1000144</t>
  </si>
  <si>
    <t>C5012</t>
  </si>
  <si>
    <t>P56206</t>
  </si>
  <si>
    <t>Product_2254</t>
  </si>
  <si>
    <t>O1000145</t>
  </si>
  <si>
    <t>C7436</t>
  </si>
  <si>
    <t>P73170</t>
  </si>
  <si>
    <t>Product_2824</t>
  </si>
  <si>
    <t>S787</t>
  </si>
  <si>
    <t>O1000146</t>
  </si>
  <si>
    <t>C6185</t>
  </si>
  <si>
    <t>P69958</t>
  </si>
  <si>
    <t>Product_3436</t>
  </si>
  <si>
    <t>S738</t>
  </si>
  <si>
    <t>O1000147</t>
  </si>
  <si>
    <t>C5097</t>
  </si>
  <si>
    <t>P90899</t>
  </si>
  <si>
    <t>Product_3930</t>
  </si>
  <si>
    <t>O1000148</t>
  </si>
  <si>
    <t>C2807</t>
  </si>
  <si>
    <t>P93436</t>
  </si>
  <si>
    <t>Product_3685</t>
  </si>
  <si>
    <t>S242</t>
  </si>
  <si>
    <t>O1000149</t>
  </si>
  <si>
    <t>C9966</t>
  </si>
  <si>
    <t>P69989</t>
  </si>
  <si>
    <t>Product_7379</t>
  </si>
  <si>
    <t>O1000150</t>
  </si>
  <si>
    <t>C9666</t>
  </si>
  <si>
    <t>P37951</t>
  </si>
  <si>
    <t>Product_5232</t>
  </si>
  <si>
    <t>S248</t>
  </si>
  <si>
    <t>O1000151</t>
  </si>
  <si>
    <t>C1806</t>
  </si>
  <si>
    <t>P82618</t>
  </si>
  <si>
    <t>Product_8157</t>
  </si>
  <si>
    <t>S241</t>
  </si>
  <si>
    <t>W22</t>
  </si>
  <si>
    <t>São Paulo-Berlin</t>
  </si>
  <si>
    <t>O1000152</t>
  </si>
  <si>
    <t>C6451</t>
  </si>
  <si>
    <t>P41773</t>
  </si>
  <si>
    <t>Product_4242</t>
  </si>
  <si>
    <t>S996</t>
  </si>
  <si>
    <t>São Paulo-São Paulo</t>
  </si>
  <si>
    <t>O1000153</t>
  </si>
  <si>
    <t>C4076</t>
  </si>
  <si>
    <t>P58067</t>
  </si>
  <si>
    <t>Product_1774</t>
  </si>
  <si>
    <t>S360</t>
  </si>
  <si>
    <t>London-New York</t>
  </si>
  <si>
    <t>O1000154</t>
  </si>
  <si>
    <t>C7031</t>
  </si>
  <si>
    <t>P93211</t>
  </si>
  <si>
    <t>Product_1552</t>
  </si>
  <si>
    <t>O1000155</t>
  </si>
  <si>
    <t>C4633</t>
  </si>
  <si>
    <t>P17292</t>
  </si>
  <si>
    <t>Product_1935</t>
  </si>
  <si>
    <t>S315</t>
  </si>
  <si>
    <t>O1000156</t>
  </si>
  <si>
    <t>C9506</t>
  </si>
  <si>
    <t>P40168</t>
  </si>
  <si>
    <t>Product_9676</t>
  </si>
  <si>
    <t>O1000157</t>
  </si>
  <si>
    <t>C9445</t>
  </si>
  <si>
    <t>P54538</t>
  </si>
  <si>
    <t>Product_4671</t>
  </si>
  <si>
    <t>S582</t>
  </si>
  <si>
    <t>O1000158</t>
  </si>
  <si>
    <t>C8068</t>
  </si>
  <si>
    <t>P35806</t>
  </si>
  <si>
    <t>Product_4547</t>
  </si>
  <si>
    <t>S460</t>
  </si>
  <si>
    <t>O1000159</t>
  </si>
  <si>
    <t>C3156</t>
  </si>
  <si>
    <t>P80790</t>
  </si>
  <si>
    <t>Product_7812</t>
  </si>
  <si>
    <t>S863</t>
  </si>
  <si>
    <t>O1000160</t>
  </si>
  <si>
    <t>C5125</t>
  </si>
  <si>
    <t>P74868</t>
  </si>
  <si>
    <t>Product_7715</t>
  </si>
  <si>
    <t>S189</t>
  </si>
  <si>
    <t>O1000161</t>
  </si>
  <si>
    <t>C9529</t>
  </si>
  <si>
    <t>P83693</t>
  </si>
  <si>
    <t>Product_9069</t>
  </si>
  <si>
    <t>S124</t>
  </si>
  <si>
    <t>O1000162</t>
  </si>
  <si>
    <t>C8244</t>
  </si>
  <si>
    <t>P96738</t>
  </si>
  <si>
    <t>Product_7852</t>
  </si>
  <si>
    <t>S464</t>
  </si>
  <si>
    <t>O1000163</t>
  </si>
  <si>
    <t>C5385</t>
  </si>
  <si>
    <t>P68514</t>
  </si>
  <si>
    <t>Product_4341</t>
  </si>
  <si>
    <t>S900</t>
  </si>
  <si>
    <t>O1000164</t>
  </si>
  <si>
    <t>C3901</t>
  </si>
  <si>
    <t>P83079</t>
  </si>
  <si>
    <t>Product_3759</t>
  </si>
  <si>
    <t>O1000165</t>
  </si>
  <si>
    <t>C9813</t>
  </si>
  <si>
    <t>P54248</t>
  </si>
  <si>
    <t>Product_5626</t>
  </si>
  <si>
    <t>S749</t>
  </si>
  <si>
    <t>W36</t>
  </si>
  <si>
    <t>O1000166</t>
  </si>
  <si>
    <t>C8892</t>
  </si>
  <si>
    <t>P45463</t>
  </si>
  <si>
    <t>Product_9721</t>
  </si>
  <si>
    <t>S467</t>
  </si>
  <si>
    <t>O1000167</t>
  </si>
  <si>
    <t>C6672</t>
  </si>
  <si>
    <t>P64135</t>
  </si>
  <si>
    <t>Product_8641</t>
  </si>
  <si>
    <t>S103</t>
  </si>
  <si>
    <t>O1000168</t>
  </si>
  <si>
    <t>C5809</t>
  </si>
  <si>
    <t>P10940</t>
  </si>
  <si>
    <t>Product_7859</t>
  </si>
  <si>
    <t>S771</t>
  </si>
  <si>
    <t>O1000169</t>
  </si>
  <si>
    <t>C2094</t>
  </si>
  <si>
    <t>P37436</t>
  </si>
  <si>
    <t>Product_2916</t>
  </si>
  <si>
    <t>S681</t>
  </si>
  <si>
    <t>O1000170</t>
  </si>
  <si>
    <t>C2496</t>
  </si>
  <si>
    <t>P83716</t>
  </si>
  <si>
    <t>Product_7165</t>
  </si>
  <si>
    <t>S715</t>
  </si>
  <si>
    <t>Berlin-London</t>
  </si>
  <si>
    <t>O1000171</t>
  </si>
  <si>
    <t>C2146</t>
  </si>
  <si>
    <t>P21255</t>
  </si>
  <si>
    <t>Product_5155</t>
  </si>
  <si>
    <t>S456</t>
  </si>
  <si>
    <t>O1000172</t>
  </si>
  <si>
    <t>C5038</t>
  </si>
  <si>
    <t>P52453</t>
  </si>
  <si>
    <t>Product_9413</t>
  </si>
  <si>
    <t>S532</t>
  </si>
  <si>
    <t>O1000173</t>
  </si>
  <si>
    <t>C8147</t>
  </si>
  <si>
    <t>P37550</t>
  </si>
  <si>
    <t>Product_1012</t>
  </si>
  <si>
    <t>S545</t>
  </si>
  <si>
    <t>O1000174</t>
  </si>
  <si>
    <t>C8074</t>
  </si>
  <si>
    <t>P83480</t>
  </si>
  <si>
    <t>Product_5434</t>
  </si>
  <si>
    <t>S983</t>
  </si>
  <si>
    <t>O1000175</t>
  </si>
  <si>
    <t>C1829</t>
  </si>
  <si>
    <t>P58754</t>
  </si>
  <si>
    <t>Product_6303</t>
  </si>
  <si>
    <t>S345</t>
  </si>
  <si>
    <t>O1000176</t>
  </si>
  <si>
    <t>C1964</t>
  </si>
  <si>
    <t>P74083</t>
  </si>
  <si>
    <t>Product_6519</t>
  </si>
  <si>
    <t>S237</t>
  </si>
  <si>
    <t>O1000177</t>
  </si>
  <si>
    <t>C3952</t>
  </si>
  <si>
    <t>P49624</t>
  </si>
  <si>
    <t>Product_1622</t>
  </si>
  <si>
    <t>S707</t>
  </si>
  <si>
    <t>New York-London</t>
  </si>
  <si>
    <t>O1000178</t>
  </si>
  <si>
    <t>P85671</t>
  </si>
  <si>
    <t>Product_4500</t>
  </si>
  <si>
    <t>S116</t>
  </si>
  <si>
    <t>O1000179</t>
  </si>
  <si>
    <t>C6013</t>
  </si>
  <si>
    <t>P52488</t>
  </si>
  <si>
    <t>Product_4012</t>
  </si>
  <si>
    <t>S818</t>
  </si>
  <si>
    <t>O1000180</t>
  </si>
  <si>
    <t>C4728</t>
  </si>
  <si>
    <t>P57487</t>
  </si>
  <si>
    <t>Product_5455</t>
  </si>
  <si>
    <t>S860</t>
  </si>
  <si>
    <t>O1000181</t>
  </si>
  <si>
    <t>C7959</t>
  </si>
  <si>
    <t>P59896</t>
  </si>
  <si>
    <t>Product_2872</t>
  </si>
  <si>
    <t>O1000182</t>
  </si>
  <si>
    <t>C3819</t>
  </si>
  <si>
    <t>P61113</t>
  </si>
  <si>
    <t>Product_7492</t>
  </si>
  <si>
    <t>S888</t>
  </si>
  <si>
    <t>O1000183</t>
  </si>
  <si>
    <t>C5698</t>
  </si>
  <si>
    <t>P37637</t>
  </si>
  <si>
    <t>Product_6163</t>
  </si>
  <si>
    <t>S214</t>
  </si>
  <si>
    <t>O1000184</t>
  </si>
  <si>
    <t>C6011</t>
  </si>
  <si>
    <t>P62496</t>
  </si>
  <si>
    <t>Product_4431</t>
  </si>
  <si>
    <t>S508</t>
  </si>
  <si>
    <t>O1000185</t>
  </si>
  <si>
    <t>C3914</t>
  </si>
  <si>
    <t>P26397</t>
  </si>
  <si>
    <t>Product_5068</t>
  </si>
  <si>
    <t>S696</t>
  </si>
  <si>
    <t>O1000186</t>
  </si>
  <si>
    <t>C1223</t>
  </si>
  <si>
    <t>P13558</t>
  </si>
  <si>
    <t>Product_5082</t>
  </si>
  <si>
    <t>S676</t>
  </si>
  <si>
    <t>O1000187</t>
  </si>
  <si>
    <t>C4208</t>
  </si>
  <si>
    <t>P38037</t>
  </si>
  <si>
    <t>Product_2987</t>
  </si>
  <si>
    <t>O1000188</t>
  </si>
  <si>
    <t>C1062</t>
  </si>
  <si>
    <t>P29106</t>
  </si>
  <si>
    <t>Product_6477</t>
  </si>
  <si>
    <t>S713</t>
  </si>
  <si>
    <t>O1000189</t>
  </si>
  <si>
    <t>C1917</t>
  </si>
  <si>
    <t>P71480</t>
  </si>
  <si>
    <t>Product_1717</t>
  </si>
  <si>
    <t>S887</t>
  </si>
  <si>
    <t>O1000190</t>
  </si>
  <si>
    <t>C5923</t>
  </si>
  <si>
    <t>P53290</t>
  </si>
  <si>
    <t>Product_4499</t>
  </si>
  <si>
    <t>S786</t>
  </si>
  <si>
    <t>O1000191</t>
  </si>
  <si>
    <t>C8875</t>
  </si>
  <si>
    <t>P65962</t>
  </si>
  <si>
    <t>Product_1509</t>
  </si>
  <si>
    <t>O1000192</t>
  </si>
  <si>
    <t>C1622</t>
  </si>
  <si>
    <t>P81354</t>
  </si>
  <si>
    <t>Product_9711</t>
  </si>
  <si>
    <t>O1000193</t>
  </si>
  <si>
    <t>C9843</t>
  </si>
  <si>
    <t>P23132</t>
  </si>
  <si>
    <t>Product_1176</t>
  </si>
  <si>
    <t>S375</t>
  </si>
  <si>
    <t>O1000194</t>
  </si>
  <si>
    <t>C8894</t>
  </si>
  <si>
    <t>P72742</t>
  </si>
  <si>
    <t>Product_8089</t>
  </si>
  <si>
    <t>S212</t>
  </si>
  <si>
    <t>O1000195</t>
  </si>
  <si>
    <t>C5064</t>
  </si>
  <si>
    <t>P17730</t>
  </si>
  <si>
    <t>Product_5062</t>
  </si>
  <si>
    <t>O1000196</t>
  </si>
  <si>
    <t>C7140</t>
  </si>
  <si>
    <t>P81979</t>
  </si>
  <si>
    <t>Product_6095</t>
  </si>
  <si>
    <t>S635</t>
  </si>
  <si>
    <t>O1000197</t>
  </si>
  <si>
    <t>C5167</t>
  </si>
  <si>
    <t>P65225</t>
  </si>
  <si>
    <t>Product_2149</t>
  </si>
  <si>
    <t>S570</t>
  </si>
  <si>
    <t>O1000198</t>
  </si>
  <si>
    <t>C9420</t>
  </si>
  <si>
    <t>P90808</t>
  </si>
  <si>
    <t>Product_5606</t>
  </si>
  <si>
    <t>S244</t>
  </si>
  <si>
    <t>O1000199</t>
  </si>
  <si>
    <t>C5948</t>
  </si>
  <si>
    <t>P38251</t>
  </si>
  <si>
    <t>Product_7666</t>
  </si>
  <si>
    <t>S581</t>
  </si>
  <si>
    <t>O1000200</t>
  </si>
  <si>
    <t>C9340</t>
  </si>
  <si>
    <t>P95469</t>
  </si>
  <si>
    <t>Product_3837</t>
  </si>
  <si>
    <t>S224</t>
  </si>
  <si>
    <t>O1000201</t>
  </si>
  <si>
    <t>C2549</t>
  </si>
  <si>
    <t>P49926</t>
  </si>
  <si>
    <t>Product_3067</t>
  </si>
  <si>
    <t>S592</t>
  </si>
  <si>
    <t>O1000202</t>
  </si>
  <si>
    <t>C9903</t>
  </si>
  <si>
    <t>P58029</t>
  </si>
  <si>
    <t>Product_9689</t>
  </si>
  <si>
    <t>S630</t>
  </si>
  <si>
    <t>O1000203</t>
  </si>
  <si>
    <t>C3832</t>
  </si>
  <si>
    <t>P37942</t>
  </si>
  <si>
    <t>Product_9672</t>
  </si>
  <si>
    <t>S146</t>
  </si>
  <si>
    <t>O1000204</t>
  </si>
  <si>
    <t>C5673</t>
  </si>
  <si>
    <t>P31513</t>
  </si>
  <si>
    <t>Product_2421</t>
  </si>
  <si>
    <t>S543</t>
  </si>
  <si>
    <t>O1000205</t>
  </si>
  <si>
    <t>C1211</t>
  </si>
  <si>
    <t>P95743</t>
  </si>
  <si>
    <t>Product_1910</t>
  </si>
  <si>
    <t>S332</t>
  </si>
  <si>
    <t>Toronto-Berlin</t>
  </si>
  <si>
    <t>O1000206</t>
  </si>
  <si>
    <t>C7208</t>
  </si>
  <si>
    <t>P55654</t>
  </si>
  <si>
    <t>Product_9439</t>
  </si>
  <si>
    <t>O1000207</t>
  </si>
  <si>
    <t>C9552</t>
  </si>
  <si>
    <t>P12234</t>
  </si>
  <si>
    <t>Product_3964</t>
  </si>
  <si>
    <t>S828</t>
  </si>
  <si>
    <t>O1000208</t>
  </si>
  <si>
    <t>C2825</t>
  </si>
  <si>
    <t>P77951</t>
  </si>
  <si>
    <t>Product_2971</t>
  </si>
  <si>
    <t>O1000209</t>
  </si>
  <si>
    <t>C6160</t>
  </si>
  <si>
    <t>P87682</t>
  </si>
  <si>
    <t>Product_5261</t>
  </si>
  <si>
    <t>S985</t>
  </si>
  <si>
    <t>O1000210</t>
  </si>
  <si>
    <t>C7204</t>
  </si>
  <si>
    <t>P82977</t>
  </si>
  <si>
    <t>Product_9756</t>
  </si>
  <si>
    <t>S610</t>
  </si>
  <si>
    <t>O1000211</t>
  </si>
  <si>
    <t>C8558</t>
  </si>
  <si>
    <t>P61550</t>
  </si>
  <si>
    <t>Product_8072</t>
  </si>
  <si>
    <t>S314</t>
  </si>
  <si>
    <t>O1000212</t>
  </si>
  <si>
    <t>C5084</t>
  </si>
  <si>
    <t>P88396</t>
  </si>
  <si>
    <t>Product_5344</t>
  </si>
  <si>
    <t>S204</t>
  </si>
  <si>
    <t>O1000213</t>
  </si>
  <si>
    <t>C5576</t>
  </si>
  <si>
    <t>P19634</t>
  </si>
  <si>
    <t>Product_1034</t>
  </si>
  <si>
    <t>O1000214</t>
  </si>
  <si>
    <t>C1139</t>
  </si>
  <si>
    <t>P24933</t>
  </si>
  <si>
    <t>Product_4869</t>
  </si>
  <si>
    <t>S321</t>
  </si>
  <si>
    <t>O1000215</t>
  </si>
  <si>
    <t>C2716</t>
  </si>
  <si>
    <t>P48581</t>
  </si>
  <si>
    <t>Product_1892</t>
  </si>
  <si>
    <t>S562</t>
  </si>
  <si>
    <t>O1000216</t>
  </si>
  <si>
    <t>C2634</t>
  </si>
  <si>
    <t>P95957</t>
  </si>
  <si>
    <t>Product_7637</t>
  </si>
  <si>
    <t>S945</t>
  </si>
  <si>
    <t>O1000217</t>
  </si>
  <si>
    <t>C4539</t>
  </si>
  <si>
    <t>P72291</t>
  </si>
  <si>
    <t>Product_5622</t>
  </si>
  <si>
    <t>S701</t>
  </si>
  <si>
    <t>O1000218</t>
  </si>
  <si>
    <t>C7870</t>
  </si>
  <si>
    <t>P49401</t>
  </si>
  <si>
    <t>Product_9226</t>
  </si>
  <si>
    <t>S155</t>
  </si>
  <si>
    <t>O1000219</t>
  </si>
  <si>
    <t>C7278</t>
  </si>
  <si>
    <t>P41540</t>
  </si>
  <si>
    <t>Product_5493</t>
  </si>
  <si>
    <t>New York-Berlin</t>
  </si>
  <si>
    <t>O1000220</t>
  </si>
  <si>
    <t>C5077</t>
  </si>
  <si>
    <t>P30273</t>
  </si>
  <si>
    <t>Product_2042</t>
  </si>
  <si>
    <t>S270</t>
  </si>
  <si>
    <t>O1000221</t>
  </si>
  <si>
    <t>C1613</t>
  </si>
  <si>
    <t>P47306</t>
  </si>
  <si>
    <t>Product_7274</t>
  </si>
  <si>
    <t>S415</t>
  </si>
  <si>
    <t>O1000222</t>
  </si>
  <si>
    <t>C7663</t>
  </si>
  <si>
    <t>P79320</t>
  </si>
  <si>
    <t>Product_8604</t>
  </si>
  <si>
    <t>S872</t>
  </si>
  <si>
    <t>W2</t>
  </si>
  <si>
    <t>O1000223</t>
  </si>
  <si>
    <t>C1569</t>
  </si>
  <si>
    <t>P13723</t>
  </si>
  <si>
    <t>Product_3036</t>
  </si>
  <si>
    <t>S656</t>
  </si>
  <si>
    <t>O1000224</t>
  </si>
  <si>
    <t>C7830</t>
  </si>
  <si>
    <t>P30517</t>
  </si>
  <si>
    <t>Product_1802</t>
  </si>
  <si>
    <t>O1000225</t>
  </si>
  <si>
    <t>C4760</t>
  </si>
  <si>
    <t>P10358</t>
  </si>
  <si>
    <t>Product_1869</t>
  </si>
  <si>
    <t>S938</t>
  </si>
  <si>
    <t>O1000226</t>
  </si>
  <si>
    <t>C4957</t>
  </si>
  <si>
    <t>P23099</t>
  </si>
  <si>
    <t>Product_4396</t>
  </si>
  <si>
    <t>O1000227</t>
  </si>
  <si>
    <t>C2376</t>
  </si>
  <si>
    <t>P88632</t>
  </si>
  <si>
    <t>Product_9331</t>
  </si>
  <si>
    <t>O1000228</t>
  </si>
  <si>
    <t>C4570</t>
  </si>
  <si>
    <t>P27175</t>
  </si>
  <si>
    <t>Product_1208</t>
  </si>
  <si>
    <t>S639</t>
  </si>
  <si>
    <t>O1000229</t>
  </si>
  <si>
    <t>C8805</t>
  </si>
  <si>
    <t>P77111</t>
  </si>
  <si>
    <t>Product_6626</t>
  </si>
  <si>
    <t>O1000230</t>
  </si>
  <si>
    <t>C1287</t>
  </si>
  <si>
    <t>P73068</t>
  </si>
  <si>
    <t>Product_8722</t>
  </si>
  <si>
    <t>S453</t>
  </si>
  <si>
    <t>O1000231</t>
  </si>
  <si>
    <t>C9542</t>
  </si>
  <si>
    <t>P17403</t>
  </si>
  <si>
    <t>Product_1436</t>
  </si>
  <si>
    <t>S882</t>
  </si>
  <si>
    <t>O1000232</t>
  </si>
  <si>
    <t>C7957</t>
  </si>
  <si>
    <t>P41820</t>
  </si>
  <si>
    <t>Product_4796</t>
  </si>
  <si>
    <t>S225</t>
  </si>
  <si>
    <t>O1000233</t>
  </si>
  <si>
    <t>C1100</t>
  </si>
  <si>
    <t>P66255</t>
  </si>
  <si>
    <t>Product_8201</t>
  </si>
  <si>
    <t>S145</t>
  </si>
  <si>
    <t>O1000234</t>
  </si>
  <si>
    <t>C7719</t>
  </si>
  <si>
    <t>P11624</t>
  </si>
  <si>
    <t>Product_9734</t>
  </si>
  <si>
    <t>S743</t>
  </si>
  <si>
    <t>O1000235</t>
  </si>
  <si>
    <t>C1890</t>
  </si>
  <si>
    <t>P77063</t>
  </si>
  <si>
    <t>Product_2142</t>
  </si>
  <si>
    <t>S762</t>
  </si>
  <si>
    <t>Mumbai-London</t>
  </si>
  <si>
    <t>O1000236</t>
  </si>
  <si>
    <t>C3179</t>
  </si>
  <si>
    <t>P44479</t>
  </si>
  <si>
    <t>Product_6723</t>
  </si>
  <si>
    <t>S416</t>
  </si>
  <si>
    <t>O1000237</t>
  </si>
  <si>
    <t>C5234</t>
  </si>
  <si>
    <t>P74254</t>
  </si>
  <si>
    <t>Product_7079</t>
  </si>
  <si>
    <t>S835</t>
  </si>
  <si>
    <t>O1000238</t>
  </si>
  <si>
    <t>C6964</t>
  </si>
  <si>
    <t>P51031</t>
  </si>
  <si>
    <t>Product_6581</t>
  </si>
  <si>
    <t>S405</t>
  </si>
  <si>
    <t>O1000239</t>
  </si>
  <si>
    <t>C1787</t>
  </si>
  <si>
    <t>P13563</t>
  </si>
  <si>
    <t>Product_9145</t>
  </si>
  <si>
    <t>S568</t>
  </si>
  <si>
    <t>O1000240</t>
  </si>
  <si>
    <t>C9534</t>
  </si>
  <si>
    <t>P40903</t>
  </si>
  <si>
    <t>Product_7090</t>
  </si>
  <si>
    <t>S292</t>
  </si>
  <si>
    <t>O1000241</t>
  </si>
  <si>
    <t>C1434</t>
  </si>
  <si>
    <t>P56381</t>
  </si>
  <si>
    <t>Product_6654</t>
  </si>
  <si>
    <t>S779</t>
  </si>
  <si>
    <t>O1000242</t>
  </si>
  <si>
    <t>C9292</t>
  </si>
  <si>
    <t>P61387</t>
  </si>
  <si>
    <t>Product_1114</t>
  </si>
  <si>
    <t>O1000243</t>
  </si>
  <si>
    <t>C6852</t>
  </si>
  <si>
    <t>P77569</t>
  </si>
  <si>
    <t>Product_5306</t>
  </si>
  <si>
    <t>S380</t>
  </si>
  <si>
    <t>O1000244</t>
  </si>
  <si>
    <t>C8344</t>
  </si>
  <si>
    <t>P44918</t>
  </si>
  <si>
    <t>Product_3310</t>
  </si>
  <si>
    <t>S263</t>
  </si>
  <si>
    <t>O1000245</t>
  </si>
  <si>
    <t>C2764</t>
  </si>
  <si>
    <t>P61339</t>
  </si>
  <si>
    <t>Product_1308</t>
  </si>
  <si>
    <t>S869</t>
  </si>
  <si>
    <t>O1000246</t>
  </si>
  <si>
    <t>C1123</t>
  </si>
  <si>
    <t>P24414</t>
  </si>
  <si>
    <t>Product_2202</t>
  </si>
  <si>
    <t>S429</t>
  </si>
  <si>
    <t>O1000247</t>
  </si>
  <si>
    <t>C5276</t>
  </si>
  <si>
    <t>P62528</t>
  </si>
  <si>
    <t>Product_1319</t>
  </si>
  <si>
    <t>S137</t>
  </si>
  <si>
    <t>O1000248</t>
  </si>
  <si>
    <t>C1144</t>
  </si>
  <si>
    <t>P68610</t>
  </si>
  <si>
    <t>Product_6575</t>
  </si>
  <si>
    <t>S881</t>
  </si>
  <si>
    <t>O1000249</t>
  </si>
  <si>
    <t>C1009</t>
  </si>
  <si>
    <t>P79861</t>
  </si>
  <si>
    <t>Product_6450</t>
  </si>
  <si>
    <t>S791</t>
  </si>
  <si>
    <t>O1000250</t>
  </si>
  <si>
    <t>C4867</t>
  </si>
  <si>
    <t>P86905</t>
  </si>
  <si>
    <t>Product_4219</t>
  </si>
  <si>
    <t>O1000251</t>
  </si>
  <si>
    <t>C2605</t>
  </si>
  <si>
    <t>P95795</t>
  </si>
  <si>
    <t>Product_1808</t>
  </si>
  <si>
    <t>S536</t>
  </si>
  <si>
    <t>O1000252</t>
  </si>
  <si>
    <t>C8502</t>
  </si>
  <si>
    <t>P19225</t>
  </si>
  <si>
    <t>Product_4915</t>
  </si>
  <si>
    <t>S231</t>
  </si>
  <si>
    <t>O1000253</t>
  </si>
  <si>
    <t>C6693</t>
  </si>
  <si>
    <t>P49293</t>
  </si>
  <si>
    <t>Product_4862</t>
  </si>
  <si>
    <t>S712</t>
  </si>
  <si>
    <t>O1000254</t>
  </si>
  <si>
    <t>C5621</t>
  </si>
  <si>
    <t>P36258</t>
  </si>
  <si>
    <t>Product_6716</t>
  </si>
  <si>
    <t>S788</t>
  </si>
  <si>
    <t>O1000255</t>
  </si>
  <si>
    <t>C4146</t>
  </si>
  <si>
    <t>P28696</t>
  </si>
  <si>
    <t>Product_9354</t>
  </si>
  <si>
    <t>O1000256</t>
  </si>
  <si>
    <t>C1971</t>
  </si>
  <si>
    <t>P80637</t>
  </si>
  <si>
    <t>Product_4784</t>
  </si>
  <si>
    <t>S294</t>
  </si>
  <si>
    <t>O1000257</t>
  </si>
  <si>
    <t>C5220</t>
  </si>
  <si>
    <t>P97217</t>
  </si>
  <si>
    <t>Product_9415</t>
  </si>
  <si>
    <t>S865</t>
  </si>
  <si>
    <t>O1000258</t>
  </si>
  <si>
    <t>C9932</t>
  </si>
  <si>
    <t>P93547</t>
  </si>
  <si>
    <t>Product_3825</t>
  </si>
  <si>
    <t>S480</t>
  </si>
  <si>
    <t>O1000259</t>
  </si>
  <si>
    <t>C5452</t>
  </si>
  <si>
    <t>P46081</t>
  </si>
  <si>
    <t>Product_8548</t>
  </si>
  <si>
    <t>S261</t>
  </si>
  <si>
    <t>O1000260</t>
  </si>
  <si>
    <t>C4404</t>
  </si>
  <si>
    <t>P85839</t>
  </si>
  <si>
    <t>Product_7674</t>
  </si>
  <si>
    <t>S482</t>
  </si>
  <si>
    <t>O1000261</t>
  </si>
  <si>
    <t>C6086</t>
  </si>
  <si>
    <t>P80926</t>
  </si>
  <si>
    <t>Product_2927</t>
  </si>
  <si>
    <t>S516</t>
  </si>
  <si>
    <t>O1000262</t>
  </si>
  <si>
    <t>C3687</t>
  </si>
  <si>
    <t>P60751</t>
  </si>
  <si>
    <t>Product_2581</t>
  </si>
  <si>
    <t>S593</t>
  </si>
  <si>
    <t>O1000263</t>
  </si>
  <si>
    <t>C3718</t>
  </si>
  <si>
    <t>P98418</t>
  </si>
  <si>
    <t>Product_6918</t>
  </si>
  <si>
    <t>S324</t>
  </si>
  <si>
    <t>O1000264</t>
  </si>
  <si>
    <t>C5050</t>
  </si>
  <si>
    <t>P30389</t>
  </si>
  <si>
    <t>Product_3798</t>
  </si>
  <si>
    <t>S728</t>
  </si>
  <si>
    <t>O1000265</t>
  </si>
  <si>
    <t>C8685</t>
  </si>
  <si>
    <t>P32206</t>
  </si>
  <si>
    <t>Product_9378</t>
  </si>
  <si>
    <t>O1000266</t>
  </si>
  <si>
    <t>C6912</t>
  </si>
  <si>
    <t>P63196</t>
  </si>
  <si>
    <t>Product_3459</t>
  </si>
  <si>
    <t>S858</t>
  </si>
  <si>
    <t>O1000267</t>
  </si>
  <si>
    <t>C7168</t>
  </si>
  <si>
    <t>P97775</t>
  </si>
  <si>
    <t>Product_5085</t>
  </si>
  <si>
    <t>S716</t>
  </si>
  <si>
    <t>O1000268</t>
  </si>
  <si>
    <t>C7880</t>
  </si>
  <si>
    <t>P67266</t>
  </si>
  <si>
    <t>Product_7848</t>
  </si>
  <si>
    <t>S811</t>
  </si>
  <si>
    <t>O1000269</t>
  </si>
  <si>
    <t>C4612</t>
  </si>
  <si>
    <t>P62403</t>
  </si>
  <si>
    <t>Product_8084</t>
  </si>
  <si>
    <t>S844</t>
  </si>
  <si>
    <t>O1000270</t>
  </si>
  <si>
    <t>C6418</t>
  </si>
  <si>
    <t>P94623</t>
  </si>
  <si>
    <t>Product_1635</t>
  </si>
  <si>
    <t>S717</t>
  </si>
  <si>
    <t>O1000271</t>
  </si>
  <si>
    <t>C5427</t>
  </si>
  <si>
    <t>P97116</t>
  </si>
  <si>
    <t>Product_3555</t>
  </si>
  <si>
    <t>S108</t>
  </si>
  <si>
    <t>O1000272</t>
  </si>
  <si>
    <t>P21639</t>
  </si>
  <si>
    <t>Product_2790</t>
  </si>
  <si>
    <t>O1000273</t>
  </si>
  <si>
    <t>C8477</t>
  </si>
  <si>
    <t>P73487</t>
  </si>
  <si>
    <t>Product_4573</t>
  </si>
  <si>
    <t>S870</t>
  </si>
  <si>
    <t>O1000274</t>
  </si>
  <si>
    <t>C3431</t>
  </si>
  <si>
    <t>P65766</t>
  </si>
  <si>
    <t>Product_5244</t>
  </si>
  <si>
    <t>S934</t>
  </si>
  <si>
    <t>O1000275</t>
  </si>
  <si>
    <t>C1253</t>
  </si>
  <si>
    <t>P42218</t>
  </si>
  <si>
    <t>Product_7325</t>
  </si>
  <si>
    <t>O1000276</t>
  </si>
  <si>
    <t>C4265</t>
  </si>
  <si>
    <t>P69761</t>
  </si>
  <si>
    <t>Product_1217</t>
  </si>
  <si>
    <t>S352</t>
  </si>
  <si>
    <t>O1000277</t>
  </si>
  <si>
    <t>C1436</t>
  </si>
  <si>
    <t>P75871</t>
  </si>
  <si>
    <t>Product_7593</t>
  </si>
  <si>
    <t>S794</t>
  </si>
  <si>
    <t>O1000278</t>
  </si>
  <si>
    <t>C5317</t>
  </si>
  <si>
    <t>P99250</t>
  </si>
  <si>
    <t>Product_4685</t>
  </si>
  <si>
    <t>S259</t>
  </si>
  <si>
    <t>O1000279</t>
  </si>
  <si>
    <t>C5501</t>
  </si>
  <si>
    <t>P66764</t>
  </si>
  <si>
    <t>Product_9209</t>
  </si>
  <si>
    <t>S588</t>
  </si>
  <si>
    <t>O1000280</t>
  </si>
  <si>
    <t>C1556</t>
  </si>
  <si>
    <t>P71881</t>
  </si>
  <si>
    <t>Product_7363</t>
  </si>
  <si>
    <t>O1000281</t>
  </si>
  <si>
    <t>C8849</t>
  </si>
  <si>
    <t>P75589</t>
  </si>
  <si>
    <t>Product_4261</t>
  </si>
  <si>
    <t>S289</t>
  </si>
  <si>
    <t>O1000282</t>
  </si>
  <si>
    <t>C9951</t>
  </si>
  <si>
    <t>P91286</t>
  </si>
  <si>
    <t>Product_1630</t>
  </si>
  <si>
    <t>S307</t>
  </si>
  <si>
    <t>O1000283</t>
  </si>
  <si>
    <t>C9176</t>
  </si>
  <si>
    <t>P59619</t>
  </si>
  <si>
    <t>Product_5485</t>
  </si>
  <si>
    <t>S931</t>
  </si>
  <si>
    <t>O1000284</t>
  </si>
  <si>
    <t>C9957</t>
  </si>
  <si>
    <t>P67491</t>
  </si>
  <si>
    <t>Product_1518</t>
  </si>
  <si>
    <t>S442</t>
  </si>
  <si>
    <t>O1000285</t>
  </si>
  <si>
    <t>C5263</t>
  </si>
  <si>
    <t>P74009</t>
  </si>
  <si>
    <t>S205</t>
  </si>
  <si>
    <t>O1000286</t>
  </si>
  <si>
    <t>C1060</t>
  </si>
  <si>
    <t>P29173</t>
  </si>
  <si>
    <t>Product_7075</t>
  </si>
  <si>
    <t>S770</t>
  </si>
  <si>
    <t>O1000287</t>
  </si>
  <si>
    <t>C2259</t>
  </si>
  <si>
    <t>P10496</t>
  </si>
  <si>
    <t>Product_1005</t>
  </si>
  <si>
    <t>S954</t>
  </si>
  <si>
    <t>O1000288</t>
  </si>
  <si>
    <t>C5024</t>
  </si>
  <si>
    <t>P64892</t>
  </si>
  <si>
    <t>Product_2116</t>
  </si>
  <si>
    <t>S511</t>
  </si>
  <si>
    <t>O1000289</t>
  </si>
  <si>
    <t>C7303</t>
  </si>
  <si>
    <t>P93084</t>
  </si>
  <si>
    <t>Product_3255</t>
  </si>
  <si>
    <t>S295</t>
  </si>
  <si>
    <t>O1000290</t>
  </si>
  <si>
    <t>C1289</t>
  </si>
  <si>
    <t>P82832</t>
  </si>
  <si>
    <t>Product_5728</t>
  </si>
  <si>
    <t>O1000291</t>
  </si>
  <si>
    <t>C4025</t>
  </si>
  <si>
    <t>P92341</t>
  </si>
  <si>
    <t>Product_5705</t>
  </si>
  <si>
    <t>S258</t>
  </si>
  <si>
    <t>O1000292</t>
  </si>
  <si>
    <t>P23545</t>
  </si>
  <si>
    <t>Product_5598</t>
  </si>
  <si>
    <t>S262</t>
  </si>
  <si>
    <t>O1000293</t>
  </si>
  <si>
    <t>C4099</t>
  </si>
  <si>
    <t>P70857</t>
  </si>
  <si>
    <t>Product_2611</t>
  </si>
  <si>
    <t>S942</t>
  </si>
  <si>
    <t>O1000294</t>
  </si>
  <si>
    <t>C1136</t>
  </si>
  <si>
    <t>P11934</t>
  </si>
  <si>
    <t>Product_8521</t>
  </si>
  <si>
    <t>S425</t>
  </si>
  <si>
    <t>O1000295</t>
  </si>
  <si>
    <t>C3730</t>
  </si>
  <si>
    <t>P32736</t>
  </si>
  <si>
    <t>Product_5571</t>
  </si>
  <si>
    <t>S256</t>
  </si>
  <si>
    <t>O1000296</t>
  </si>
  <si>
    <t>C4953</t>
  </si>
  <si>
    <t>P89029</t>
  </si>
  <si>
    <t>Product_5090</t>
  </si>
  <si>
    <t>S611</t>
  </si>
  <si>
    <t>O1000297</t>
  </si>
  <si>
    <t>C3986</t>
  </si>
  <si>
    <t>P52100</t>
  </si>
  <si>
    <t>Product_2822</t>
  </si>
  <si>
    <t>S815</t>
  </si>
  <si>
    <t>O1000298</t>
  </si>
  <si>
    <t>C5328</t>
  </si>
  <si>
    <t>P86554</t>
  </si>
  <si>
    <t>Product_2437</t>
  </si>
  <si>
    <t>S806</t>
  </si>
  <si>
    <t>O1000299</t>
  </si>
  <si>
    <t>C5041</t>
  </si>
  <si>
    <t>P69983</t>
  </si>
  <si>
    <t>Product_6652</t>
  </si>
  <si>
    <t>S939</t>
  </si>
  <si>
    <t>O1000300</t>
  </si>
  <si>
    <t>C6749</t>
  </si>
  <si>
    <t>P45325</t>
  </si>
  <si>
    <t>Product_3223</t>
  </si>
  <si>
    <t>S914</t>
  </si>
  <si>
    <t>O1000301</t>
  </si>
  <si>
    <t>C7019</t>
  </si>
  <si>
    <t>P46630</t>
  </si>
  <si>
    <t>Product_8618</t>
  </si>
  <si>
    <t>S948</t>
  </si>
  <si>
    <t>O1000302</t>
  </si>
  <si>
    <t>C6162</t>
  </si>
  <si>
    <t>P68606</t>
  </si>
  <si>
    <t>Product_3398</t>
  </si>
  <si>
    <t>O1000303</t>
  </si>
  <si>
    <t>C4910</t>
  </si>
  <si>
    <t>P56020</t>
  </si>
  <si>
    <t>Product_9015</t>
  </si>
  <si>
    <t>S478</t>
  </si>
  <si>
    <t>O1000304</t>
  </si>
  <si>
    <t>C8208</t>
  </si>
  <si>
    <t>P88053</t>
  </si>
  <si>
    <t>Product_7001</t>
  </si>
  <si>
    <t>S235</t>
  </si>
  <si>
    <t>O1000305</t>
  </si>
  <si>
    <t>C5106</t>
  </si>
  <si>
    <t>P55387</t>
  </si>
  <si>
    <t>Product_5580</t>
  </si>
  <si>
    <t>S609</t>
  </si>
  <si>
    <t>O1000306</t>
  </si>
  <si>
    <t>C2734</t>
  </si>
  <si>
    <t>P52444</t>
  </si>
  <si>
    <t>Product_6740</t>
  </si>
  <si>
    <t>O1000307</t>
  </si>
  <si>
    <t>C5402</t>
  </si>
  <si>
    <t>P35662</t>
  </si>
  <si>
    <t>Product_9137</t>
  </si>
  <si>
    <t>S240</t>
  </si>
  <si>
    <t>O1000308</t>
  </si>
  <si>
    <t>C3039</t>
  </si>
  <si>
    <t>P55825</t>
  </si>
  <si>
    <t>Product_9002</t>
  </si>
  <si>
    <t>S780</t>
  </si>
  <si>
    <t>O1000309</t>
  </si>
  <si>
    <t>C1880</t>
  </si>
  <si>
    <t>P41618</t>
  </si>
  <si>
    <t>Product_6380</t>
  </si>
  <si>
    <t>S504</t>
  </si>
  <si>
    <t>O1000310</t>
  </si>
  <si>
    <t>C5408</t>
  </si>
  <si>
    <t>P92823</t>
  </si>
  <si>
    <t>Product_7902</t>
  </si>
  <si>
    <t>S679</t>
  </si>
  <si>
    <t>O1000311</t>
  </si>
  <si>
    <t>C1884</t>
  </si>
  <si>
    <t>P77425</t>
  </si>
  <si>
    <t>Product_6582</t>
  </si>
  <si>
    <t>S620</t>
  </si>
  <si>
    <t>O1000312</t>
  </si>
  <si>
    <t>C2013</t>
  </si>
  <si>
    <t>P46735</t>
  </si>
  <si>
    <t>Product_8404</t>
  </si>
  <si>
    <t>O1000313</t>
  </si>
  <si>
    <t>C4927</t>
  </si>
  <si>
    <t>P42435</t>
  </si>
  <si>
    <t>Product_5494</t>
  </si>
  <si>
    <t>S840</t>
  </si>
  <si>
    <t>O1000314</t>
  </si>
  <si>
    <t>C1464</t>
  </si>
  <si>
    <t>P49629</t>
  </si>
  <si>
    <t>Product_3903</t>
  </si>
  <si>
    <t>S662</t>
  </si>
  <si>
    <t>O1000315</t>
  </si>
  <si>
    <t>C5755</t>
  </si>
  <si>
    <t>P99110</t>
  </si>
  <si>
    <t>Product_7524</t>
  </si>
  <si>
    <t>O1000316</t>
  </si>
  <si>
    <t>C7376</t>
  </si>
  <si>
    <t>P66167</t>
  </si>
  <si>
    <t>Product_7598</t>
  </si>
  <si>
    <t>S723</t>
  </si>
  <si>
    <t>O1000317</t>
  </si>
  <si>
    <t>P77003</t>
  </si>
  <si>
    <t>Product_5060</t>
  </si>
  <si>
    <t>S200</t>
  </si>
  <si>
    <t>O1000318</t>
  </si>
  <si>
    <t>C1866</t>
  </si>
  <si>
    <t>P65342</t>
  </si>
  <si>
    <t>Product_9501</t>
  </si>
  <si>
    <t>O1000319</t>
  </si>
  <si>
    <t>C9816</t>
  </si>
  <si>
    <t>P51567</t>
  </si>
  <si>
    <t>Product_6393</t>
  </si>
  <si>
    <t>S892</t>
  </si>
  <si>
    <t>O1000320</t>
  </si>
  <si>
    <t>C8794</t>
  </si>
  <si>
    <t>P59045</t>
  </si>
  <si>
    <t>Product_4827</t>
  </si>
  <si>
    <t>S384</t>
  </si>
  <si>
    <t>O1000321</t>
  </si>
  <si>
    <t>C8452</t>
  </si>
  <si>
    <t>P57984</t>
  </si>
  <si>
    <t>Product_8927</t>
  </si>
  <si>
    <t>S327</t>
  </si>
  <si>
    <t>O1000322</t>
  </si>
  <si>
    <t>C7495</t>
  </si>
  <si>
    <t>P22855</t>
  </si>
  <si>
    <t>Product_2619</t>
  </si>
  <si>
    <t>O1000323</t>
  </si>
  <si>
    <t>C5699</t>
  </si>
  <si>
    <t>P71129</t>
  </si>
  <si>
    <t>Product_4556</t>
  </si>
  <si>
    <t>S374</t>
  </si>
  <si>
    <t>O1000324</t>
  </si>
  <si>
    <t>C7723</t>
  </si>
  <si>
    <t>P72754</t>
  </si>
  <si>
    <t>Product_5114</t>
  </si>
  <si>
    <t>S144</t>
  </si>
  <si>
    <t>O1000325</t>
  </si>
  <si>
    <t>C7872</t>
  </si>
  <si>
    <t>P61580</t>
  </si>
  <si>
    <t>Product_1565</t>
  </si>
  <si>
    <t>O1000326</t>
  </si>
  <si>
    <t>C4343</t>
  </si>
  <si>
    <t>P12681</t>
  </si>
  <si>
    <t>Product_2594</t>
  </si>
  <si>
    <t>O1000327</t>
  </si>
  <si>
    <t>C3241</t>
  </si>
  <si>
    <t>P50671</t>
  </si>
  <si>
    <t>Product_3683</t>
  </si>
  <si>
    <t>S361</t>
  </si>
  <si>
    <t>O1000328</t>
  </si>
  <si>
    <t>C1170</t>
  </si>
  <si>
    <t>P68400</t>
  </si>
  <si>
    <t>Product_5268</t>
  </si>
  <si>
    <t>O1000329</t>
  </si>
  <si>
    <t>C6639</t>
  </si>
  <si>
    <t>Product_7668</t>
  </si>
  <si>
    <t>S747</t>
  </si>
  <si>
    <t>O1000330</t>
  </si>
  <si>
    <t>C7443</t>
  </si>
  <si>
    <t>P20171</t>
  </si>
  <si>
    <t>S343</t>
  </si>
  <si>
    <t>O1000331</t>
  </si>
  <si>
    <t>C9052</t>
  </si>
  <si>
    <t>P23375</t>
  </si>
  <si>
    <t>Product_9502</t>
  </si>
  <si>
    <t>O1000332</t>
  </si>
  <si>
    <t>C4690</t>
  </si>
  <si>
    <t>P44629</t>
  </si>
  <si>
    <t>Product_6256</t>
  </si>
  <si>
    <t>S167</t>
  </si>
  <si>
    <t>O1000333</t>
  </si>
  <si>
    <t>C9252</t>
  </si>
  <si>
    <t>P92495</t>
  </si>
  <si>
    <t>Product_5989</t>
  </si>
  <si>
    <t>O1000334</t>
  </si>
  <si>
    <t>C8026</t>
  </si>
  <si>
    <t>P28179</t>
  </si>
  <si>
    <t>Product_7380</t>
  </si>
  <si>
    <t>O1000335</t>
  </si>
  <si>
    <t>C6482</t>
  </si>
  <si>
    <t>P79433</t>
  </si>
  <si>
    <t>Product_4782</t>
  </si>
  <si>
    <t>S862</t>
  </si>
  <si>
    <t>O1000336</t>
  </si>
  <si>
    <t>C1516</t>
  </si>
  <si>
    <t>P73346</t>
  </si>
  <si>
    <t>Product_9749</t>
  </si>
  <si>
    <t>S381</t>
  </si>
  <si>
    <t>O1000337</t>
  </si>
  <si>
    <t>C3978</t>
  </si>
  <si>
    <t>P67591</t>
  </si>
  <si>
    <t>Product_6523</t>
  </si>
  <si>
    <t>S323</t>
  </si>
  <si>
    <t>O1000338</t>
  </si>
  <si>
    <t>C6008</t>
  </si>
  <si>
    <t>P81264</t>
  </si>
  <si>
    <t>S852</t>
  </si>
  <si>
    <t>O1000339</t>
  </si>
  <si>
    <t>C1304</t>
  </si>
  <si>
    <t>P97815</t>
  </si>
  <si>
    <t>Product_1066</t>
  </si>
  <si>
    <t>O1000340</t>
  </si>
  <si>
    <t>C7219</t>
  </si>
  <si>
    <t>P31658</t>
  </si>
  <si>
    <t>Product_7579</t>
  </si>
  <si>
    <t>O1000341</t>
  </si>
  <si>
    <t>C7662</t>
  </si>
  <si>
    <t>P70066</t>
  </si>
  <si>
    <t>Product_5413</t>
  </si>
  <si>
    <t>S175</t>
  </si>
  <si>
    <t>O1000342</t>
  </si>
  <si>
    <t>C4507</t>
  </si>
  <si>
    <t>P36430</t>
  </si>
  <si>
    <t>Product_7586</t>
  </si>
  <si>
    <t>S652</t>
  </si>
  <si>
    <t>O1000343</t>
  </si>
  <si>
    <t>C4835</t>
  </si>
  <si>
    <t>P43434</t>
  </si>
  <si>
    <t>Product_8321</t>
  </si>
  <si>
    <t>S219</t>
  </si>
  <si>
    <t>O1000344</t>
  </si>
  <si>
    <t>P90849</t>
  </si>
  <si>
    <t>Product_8274</t>
  </si>
  <si>
    <t>S187</t>
  </si>
  <si>
    <t>O1000345</t>
  </si>
  <si>
    <t>C7942</t>
  </si>
  <si>
    <t>P59786</t>
  </si>
  <si>
    <t>Product_5743</t>
  </si>
  <si>
    <t>S966</t>
  </si>
  <si>
    <t>O1000346</t>
  </si>
  <si>
    <t>C6449</t>
  </si>
  <si>
    <t>P65108</t>
  </si>
  <si>
    <t>Product_8243</t>
  </si>
  <si>
    <t>S890</t>
  </si>
  <si>
    <t>O1000347</t>
  </si>
  <si>
    <t>C4093</t>
  </si>
  <si>
    <t>P56505</t>
  </si>
  <si>
    <t>Product_1284</t>
  </si>
  <si>
    <t>S519</t>
  </si>
  <si>
    <t>O1000348</t>
  </si>
  <si>
    <t>C3748</t>
  </si>
  <si>
    <t>P88548</t>
  </si>
  <si>
    <t>Product_2999</t>
  </si>
  <si>
    <t>O1000349</t>
  </si>
  <si>
    <t>C5771</t>
  </si>
  <si>
    <t>P25453</t>
  </si>
  <si>
    <t>Product_9183</t>
  </si>
  <si>
    <t>O1000350</t>
  </si>
  <si>
    <t>C1492</t>
  </si>
  <si>
    <t>P63371</t>
  </si>
  <si>
    <t>Product_2515</t>
  </si>
  <si>
    <t>O1000351</t>
  </si>
  <si>
    <t>C9070</t>
  </si>
  <si>
    <t>P73769</t>
  </si>
  <si>
    <t>Product_8897</t>
  </si>
  <si>
    <t>S528</t>
  </si>
  <si>
    <t>O1000352</t>
  </si>
  <si>
    <t>C1656</t>
  </si>
  <si>
    <t>P44716</t>
  </si>
  <si>
    <t>Product_2811</t>
  </si>
  <si>
    <t>S329</t>
  </si>
  <si>
    <t>O1000353</t>
  </si>
  <si>
    <t>C4596</t>
  </si>
  <si>
    <t>P92254</t>
  </si>
  <si>
    <t>Product_7716</t>
  </si>
  <si>
    <t>S399</t>
  </si>
  <si>
    <t>O1000354</t>
  </si>
  <si>
    <t>C3227</t>
  </si>
  <si>
    <t>P95637</t>
  </si>
  <si>
    <t>S998</t>
  </si>
  <si>
    <t>O1000355</t>
  </si>
  <si>
    <t>C8534</t>
  </si>
  <si>
    <t>P50007</t>
  </si>
  <si>
    <t>Product_3001</t>
  </si>
  <si>
    <t>S878</t>
  </si>
  <si>
    <t>O1000356</t>
  </si>
  <si>
    <t>C9707</t>
  </si>
  <si>
    <t>P54081</t>
  </si>
  <si>
    <t>Product_4292</t>
  </si>
  <si>
    <t>S470</t>
  </si>
  <si>
    <t>O1000357</t>
  </si>
  <si>
    <t>C7403</t>
  </si>
  <si>
    <t>P98975</t>
  </si>
  <si>
    <t>Product_7930</t>
  </si>
  <si>
    <t>O1000358</t>
  </si>
  <si>
    <t>C6021</t>
  </si>
  <si>
    <t>P11770</t>
  </si>
  <si>
    <t>Product_9382</t>
  </si>
  <si>
    <t>O1000359</t>
  </si>
  <si>
    <t>C4312</t>
  </si>
  <si>
    <t>P52603</t>
  </si>
  <si>
    <t>Product_1587</t>
  </si>
  <si>
    <t>S320</t>
  </si>
  <si>
    <t>O1000360</t>
  </si>
  <si>
    <t>C2551</t>
  </si>
  <si>
    <t>P42304</t>
  </si>
  <si>
    <t>Product_7439</t>
  </si>
  <si>
    <t>S339</t>
  </si>
  <si>
    <t>O1000361</t>
  </si>
  <si>
    <t>C8790</t>
  </si>
  <si>
    <t>P93560</t>
  </si>
  <si>
    <t>Product_5801</t>
  </si>
  <si>
    <t>O1000362</t>
  </si>
  <si>
    <t>C6564</t>
  </si>
  <si>
    <t>P86569</t>
  </si>
  <si>
    <t>Product_7018</t>
  </si>
  <si>
    <t>S458</t>
  </si>
  <si>
    <t>O1000363</t>
  </si>
  <si>
    <t>P95209</t>
  </si>
  <si>
    <t>Product_7113</t>
  </si>
  <si>
    <t>S138</t>
  </si>
  <si>
    <t>O1000364</t>
  </si>
  <si>
    <t>C1247</t>
  </si>
  <si>
    <t>P85423</t>
  </si>
  <si>
    <t>Product_9142</t>
  </si>
  <si>
    <t>O1000365</t>
  </si>
  <si>
    <t>C5516</t>
  </si>
  <si>
    <t>P87320</t>
  </si>
  <si>
    <t>Product_1369</t>
  </si>
  <si>
    <t>S672</t>
  </si>
  <si>
    <t>O1000366</t>
  </si>
  <si>
    <t>C3199</t>
  </si>
  <si>
    <t>P29872</t>
  </si>
  <si>
    <t>Product_5165</t>
  </si>
  <si>
    <t>S441</t>
  </si>
  <si>
    <t>O1000367</t>
  </si>
  <si>
    <t>C5149</t>
  </si>
  <si>
    <t>P20072</t>
  </si>
  <si>
    <t>Product_1054</t>
  </si>
  <si>
    <t>O1000368</t>
  </si>
  <si>
    <t>C9783</t>
  </si>
  <si>
    <t>P28830</t>
  </si>
  <si>
    <t>Product_6087</t>
  </si>
  <si>
    <t>S857</t>
  </si>
  <si>
    <t>O1000369</t>
  </si>
  <si>
    <t>C7887</t>
  </si>
  <si>
    <t>P91077</t>
  </si>
  <si>
    <t>Product_3800</t>
  </si>
  <si>
    <t>O1000370</t>
  </si>
  <si>
    <t>C1401</t>
  </si>
  <si>
    <t>P94477</t>
  </si>
  <si>
    <t>Product_5308</t>
  </si>
  <si>
    <t>O1000371</t>
  </si>
  <si>
    <t>C2694</t>
  </si>
  <si>
    <t>P40646</t>
  </si>
  <si>
    <t>Product_3132</t>
  </si>
  <si>
    <t>S695</t>
  </si>
  <si>
    <t>O1000372</t>
  </si>
  <si>
    <t>C5585</t>
  </si>
  <si>
    <t>P49742</t>
  </si>
  <si>
    <t>Product_2208</t>
  </si>
  <si>
    <t>O1000373</t>
  </si>
  <si>
    <t>C6553</t>
  </si>
  <si>
    <t>P67356</t>
  </si>
  <si>
    <t>Product_6146</t>
  </si>
  <si>
    <t>S567</t>
  </si>
  <si>
    <t>O1000374</t>
  </si>
  <si>
    <t>C6375</t>
  </si>
  <si>
    <t>P53857</t>
  </si>
  <si>
    <t>Product_1155</t>
  </si>
  <si>
    <t>S740</t>
  </si>
  <si>
    <t>O1000375</t>
  </si>
  <si>
    <t>C2677</t>
  </si>
  <si>
    <t>P67463</t>
  </si>
  <si>
    <t>Product_7035</t>
  </si>
  <si>
    <t>S804</t>
  </si>
  <si>
    <t>O1000376</t>
  </si>
  <si>
    <t>C3760</t>
  </si>
  <si>
    <t>P71478</t>
  </si>
  <si>
    <t>Product_8685</t>
  </si>
  <si>
    <t>O1000377</t>
  </si>
  <si>
    <t>C3869</t>
  </si>
  <si>
    <t>P42115</t>
  </si>
  <si>
    <t>Product_5226</t>
  </si>
  <si>
    <t>O1000378</t>
  </si>
  <si>
    <t>C2973</t>
  </si>
  <si>
    <t>P27286</t>
  </si>
  <si>
    <t>Product_2885</t>
  </si>
  <si>
    <t>O1000379</t>
  </si>
  <si>
    <t>C8727</t>
  </si>
  <si>
    <t>P58919</t>
  </si>
  <si>
    <t>Product_5662</t>
  </si>
  <si>
    <t>S394</t>
  </si>
  <si>
    <t>O1000380</t>
  </si>
  <si>
    <t>C7570</t>
  </si>
  <si>
    <t>P20724</t>
  </si>
  <si>
    <t>Product_7107</t>
  </si>
  <si>
    <t>S751</t>
  </si>
  <si>
    <t>O1000381</t>
  </si>
  <si>
    <t>C6714</t>
  </si>
  <si>
    <t>P67234</t>
  </si>
  <si>
    <t>Product_6659</t>
  </si>
  <si>
    <t>O1000382</t>
  </si>
  <si>
    <t>C5663</t>
  </si>
  <si>
    <t>P91578</t>
  </si>
  <si>
    <t>Product_4942</t>
  </si>
  <si>
    <t>S273</t>
  </si>
  <si>
    <t>O1000383</t>
  </si>
  <si>
    <t>C8597</t>
  </si>
  <si>
    <t>P17621</t>
  </si>
  <si>
    <t>Product_8142</t>
  </si>
  <si>
    <t>O1000384</t>
  </si>
  <si>
    <t>C7939</t>
  </si>
  <si>
    <t>P35020</t>
  </si>
  <si>
    <t>Product_2610</t>
  </si>
  <si>
    <t>S661</t>
  </si>
  <si>
    <t>O1000385</t>
  </si>
  <si>
    <t>C8056</t>
  </si>
  <si>
    <t>P39221</t>
  </si>
  <si>
    <t>Product_1184</t>
  </si>
  <si>
    <t>S548</t>
  </si>
  <si>
    <t>O1000386</t>
  </si>
  <si>
    <t>C2380</t>
  </si>
  <si>
    <t>P22187</t>
  </si>
  <si>
    <t>Product_9095</t>
  </si>
  <si>
    <t>S971</t>
  </si>
  <si>
    <t>O1000387</t>
  </si>
  <si>
    <t>C9907</t>
  </si>
  <si>
    <t>P46746</t>
  </si>
  <si>
    <t>Product_9405</t>
  </si>
  <si>
    <t>S775</t>
  </si>
  <si>
    <t>O1000388</t>
  </si>
  <si>
    <t>C2155</t>
  </si>
  <si>
    <t>P71148</t>
  </si>
  <si>
    <t>Product_5717</t>
  </si>
  <si>
    <t>O1000389</t>
  </si>
  <si>
    <t>C8969</t>
  </si>
  <si>
    <t>P69504</t>
  </si>
  <si>
    <t>Product_3505</t>
  </si>
  <si>
    <t>S975</t>
  </si>
  <si>
    <t>O1000390</t>
  </si>
  <si>
    <t>C8045</t>
  </si>
  <si>
    <t>P48356</t>
  </si>
  <si>
    <t>Product_5174</t>
  </si>
  <si>
    <t>S387</t>
  </si>
  <si>
    <t>O1000391</t>
  </si>
  <si>
    <t>C5359</t>
  </si>
  <si>
    <t>P72229</t>
  </si>
  <si>
    <t>Product_5916</t>
  </si>
  <si>
    <t>S910</t>
  </si>
  <si>
    <t>O1000392</t>
  </si>
  <si>
    <t>C8293</t>
  </si>
  <si>
    <t>P88046</t>
  </si>
  <si>
    <t>Product_9917</t>
  </si>
  <si>
    <t>S209</t>
  </si>
  <si>
    <t>O1000393</t>
  </si>
  <si>
    <t>C9716</t>
  </si>
  <si>
    <t>P41816</t>
  </si>
  <si>
    <t>Product_5877</t>
  </si>
  <si>
    <t>S832</t>
  </si>
  <si>
    <t>O1000394</t>
  </si>
  <si>
    <t>C4084</t>
  </si>
  <si>
    <t>P65470</t>
  </si>
  <si>
    <t>Product_4999</t>
  </si>
  <si>
    <t>S222</t>
  </si>
  <si>
    <t>O1000395</t>
  </si>
  <si>
    <t>C9132</t>
  </si>
  <si>
    <t>P17672</t>
  </si>
  <si>
    <t>Product_6067</t>
  </si>
  <si>
    <t>S644</t>
  </si>
  <si>
    <t>O1000396</t>
  </si>
  <si>
    <t>C4450</t>
  </si>
  <si>
    <t>P31482</t>
  </si>
  <si>
    <t>Product_3494</t>
  </si>
  <si>
    <t>O1000397</t>
  </si>
  <si>
    <t>C9509</t>
  </si>
  <si>
    <t>P74023</t>
  </si>
  <si>
    <t>Product_8845</t>
  </si>
  <si>
    <t>S623</t>
  </si>
  <si>
    <t>O1000398</t>
  </si>
  <si>
    <t>C1609</t>
  </si>
  <si>
    <t>P61356</t>
  </si>
  <si>
    <t>Product_3299</t>
  </si>
  <si>
    <t>O1000399</t>
  </si>
  <si>
    <t>C7277</t>
  </si>
  <si>
    <t>P22100</t>
  </si>
  <si>
    <t>Product_1032</t>
  </si>
  <si>
    <t>O1000400</t>
  </si>
  <si>
    <t>C2865</t>
  </si>
  <si>
    <t>P46969</t>
  </si>
  <si>
    <t>Product_6673</t>
  </si>
  <si>
    <t>S855</t>
  </si>
  <si>
    <t>O1000401</t>
  </si>
  <si>
    <t>C5839</t>
  </si>
  <si>
    <t>P84220</t>
  </si>
  <si>
    <t>Product_3528</t>
  </si>
  <si>
    <t>O1000402</t>
  </si>
  <si>
    <t>C1940</t>
  </si>
  <si>
    <t>P32198</t>
  </si>
  <si>
    <t>Product_6725</t>
  </si>
  <si>
    <t>S430</t>
  </si>
  <si>
    <t>O1000403</t>
  </si>
  <si>
    <t>C7562</t>
  </si>
  <si>
    <t>P46449</t>
  </si>
  <si>
    <t>Product_1497</t>
  </si>
  <si>
    <t>S549</t>
  </si>
  <si>
    <t>O1000404</t>
  </si>
  <si>
    <t>C2794</t>
  </si>
  <si>
    <t>P31681</t>
  </si>
  <si>
    <t>Product_7204</t>
  </si>
  <si>
    <t>O1000405</t>
  </si>
  <si>
    <t>C3781</t>
  </si>
  <si>
    <t>P26218</t>
  </si>
  <si>
    <t>Product_6915</t>
  </si>
  <si>
    <t>S100</t>
  </si>
  <si>
    <t>O1000406</t>
  </si>
  <si>
    <t>C8990</t>
  </si>
  <si>
    <t>P76562</t>
  </si>
  <si>
    <t>Product_3377</t>
  </si>
  <si>
    <t>S483</t>
  </si>
  <si>
    <t>O1000407</t>
  </si>
  <si>
    <t>C5788</t>
  </si>
  <si>
    <t>P60910</t>
  </si>
  <si>
    <t>Product_4757</t>
  </si>
  <si>
    <t>S758</t>
  </si>
  <si>
    <t>O1000408</t>
  </si>
  <si>
    <t>C8353</t>
  </si>
  <si>
    <t>P63576</t>
  </si>
  <si>
    <t>Product_2014</t>
  </si>
  <si>
    <t>S894</t>
  </si>
  <si>
    <t>O1000409</t>
  </si>
  <si>
    <t>C9768</t>
  </si>
  <si>
    <t>P46984</t>
  </si>
  <si>
    <t>Product_7191</t>
  </si>
  <si>
    <t>S260</t>
  </si>
  <si>
    <t>O1000410</t>
  </si>
  <si>
    <t>C6081</t>
  </si>
  <si>
    <t>P71007</t>
  </si>
  <si>
    <t>Product_8310</t>
  </si>
  <si>
    <t>S634</t>
  </si>
  <si>
    <t>O1000411</t>
  </si>
  <si>
    <t>C2432</t>
  </si>
  <si>
    <t>P30255</t>
  </si>
  <si>
    <t>Product_1091</t>
  </si>
  <si>
    <t>S265</t>
  </si>
  <si>
    <t>O1000412</t>
  </si>
  <si>
    <t>P44759</t>
  </si>
  <si>
    <t>Product_2606</t>
  </si>
  <si>
    <t>S208</t>
  </si>
  <si>
    <t>O1000413</t>
  </si>
  <si>
    <t>C2191</t>
  </si>
  <si>
    <t>P79636</t>
  </si>
  <si>
    <t>Product_4251</t>
  </si>
  <si>
    <t>S773</t>
  </si>
  <si>
    <t>O1000414</t>
  </si>
  <si>
    <t>P68389</t>
  </si>
  <si>
    <t>Product_4541</t>
  </si>
  <si>
    <t>O1000415</t>
  </si>
  <si>
    <t>C2882</t>
  </si>
  <si>
    <t>P11517</t>
  </si>
  <si>
    <t>Product_7879</t>
  </si>
  <si>
    <t>S590</t>
  </si>
  <si>
    <t>O1000416</t>
  </si>
  <si>
    <t>C8131</t>
  </si>
  <si>
    <t>P49950</t>
  </si>
  <si>
    <t>Product_6955</t>
  </si>
  <si>
    <t>O1000417</t>
  </si>
  <si>
    <t>C5972</t>
  </si>
  <si>
    <t>P27639</t>
  </si>
  <si>
    <t>Product_8577</t>
  </si>
  <si>
    <t>S223</t>
  </si>
  <si>
    <t>O1000418</t>
  </si>
  <si>
    <t>C4410</t>
  </si>
  <si>
    <t>P38060</t>
  </si>
  <si>
    <t>Product_3582</t>
  </si>
  <si>
    <t>S298</t>
  </si>
  <si>
    <t>O1000419</t>
  </si>
  <si>
    <t>C2118</t>
  </si>
  <si>
    <t>P87122</t>
  </si>
  <si>
    <t>Product_9131</t>
  </si>
  <si>
    <t>S495</t>
  </si>
  <si>
    <t>O1000420</t>
  </si>
  <si>
    <t>C4441</t>
  </si>
  <si>
    <t>P63795</t>
  </si>
  <si>
    <t>Product_6394</t>
  </si>
  <si>
    <t>O1000421</t>
  </si>
  <si>
    <t>C8983</t>
  </si>
  <si>
    <t>P52178</t>
  </si>
  <si>
    <t>Product_3989</t>
  </si>
  <si>
    <t>S994</t>
  </si>
  <si>
    <t>O1000422</t>
  </si>
  <si>
    <t>C5261</t>
  </si>
  <si>
    <t>P88282</t>
  </si>
  <si>
    <t>Product_2948</t>
  </si>
  <si>
    <t>O1000423</t>
  </si>
  <si>
    <t>C5524</t>
  </si>
  <si>
    <t>P32911</t>
  </si>
  <si>
    <t>Product_2221</t>
  </si>
  <si>
    <t>S867</t>
  </si>
  <si>
    <t>O1000424</t>
  </si>
  <si>
    <t>C8424</t>
  </si>
  <si>
    <t>P91882</t>
  </si>
  <si>
    <t>Product_5414</t>
  </si>
  <si>
    <t>O1000425</t>
  </si>
  <si>
    <t>C9407</t>
  </si>
  <si>
    <t>P73315</t>
  </si>
  <si>
    <t>Product_4465</t>
  </si>
  <si>
    <t>O1000426</t>
  </si>
  <si>
    <t>C9223</t>
  </si>
  <si>
    <t>P98917</t>
  </si>
  <si>
    <t>Product_4460</t>
  </si>
  <si>
    <t>S964</t>
  </si>
  <si>
    <t>O1000427</t>
  </si>
  <si>
    <t>C5419</t>
  </si>
  <si>
    <t>P30550</t>
  </si>
  <si>
    <t>Product_1928</t>
  </si>
  <si>
    <t>S685</t>
  </si>
  <si>
    <t>O1000428</t>
  </si>
  <si>
    <t>C6781</t>
  </si>
  <si>
    <t>P89927</t>
  </si>
  <si>
    <t>Product_7221</t>
  </si>
  <si>
    <t>S131</t>
  </si>
  <si>
    <t>O1000429</t>
  </si>
  <si>
    <t>C2954</t>
  </si>
  <si>
    <t>P75267</t>
  </si>
  <si>
    <t>S407</t>
  </si>
  <si>
    <t>O1000430</t>
  </si>
  <si>
    <t>C4119</t>
  </si>
  <si>
    <t>P53498</t>
  </si>
  <si>
    <t>Product_1024</t>
  </si>
  <si>
    <t>S180</t>
  </si>
  <si>
    <t>O1000431</t>
  </si>
  <si>
    <t>C6570</t>
  </si>
  <si>
    <t>P99948</t>
  </si>
  <si>
    <t>Product_8092</t>
  </si>
  <si>
    <t>S255</t>
  </si>
  <si>
    <t>O1000432</t>
  </si>
  <si>
    <t>C9285</t>
  </si>
  <si>
    <t>P80449</t>
  </si>
  <si>
    <t>Product_2156</t>
  </si>
  <si>
    <t>O1000433</t>
  </si>
  <si>
    <t>C6970</t>
  </si>
  <si>
    <t>P27911</t>
  </si>
  <si>
    <t>Product_7840</t>
  </si>
  <si>
    <t>S784</t>
  </si>
  <si>
    <t>O1000434</t>
  </si>
  <si>
    <t>C2798</t>
  </si>
  <si>
    <t>P88402</t>
  </si>
  <si>
    <t>Product_3626</t>
  </si>
  <si>
    <t>S319</t>
  </si>
  <si>
    <t>O1000435</t>
  </si>
  <si>
    <t>C8189</t>
  </si>
  <si>
    <t>P66805</t>
  </si>
  <si>
    <t>O1000436</t>
  </si>
  <si>
    <t>C7621</t>
  </si>
  <si>
    <t>P10730</t>
  </si>
  <si>
    <t>Product_9632</t>
  </si>
  <si>
    <t>S186</t>
  </si>
  <si>
    <t>O1000437</t>
  </si>
  <si>
    <t>C4133</t>
  </si>
  <si>
    <t>P43647</t>
  </si>
  <si>
    <t>Product_1030</t>
  </si>
  <si>
    <t>S409</t>
  </si>
  <si>
    <t>O1000438</t>
  </si>
  <si>
    <t>C5348</t>
  </si>
  <si>
    <t>P75883</t>
  </si>
  <si>
    <t>Product_9896</t>
  </si>
  <si>
    <t>S417</t>
  </si>
  <si>
    <t>O1000439</t>
  </si>
  <si>
    <t>C4529</t>
  </si>
  <si>
    <t>P33976</t>
  </si>
  <si>
    <t>Product_7912</t>
  </si>
  <si>
    <t>S833</t>
  </si>
  <si>
    <t>O1000440</t>
  </si>
  <si>
    <t>C7057</t>
  </si>
  <si>
    <t>P56566</t>
  </si>
  <si>
    <t>Product_5822</t>
  </si>
  <si>
    <t>O1000441</t>
  </si>
  <si>
    <t>C7230</t>
  </si>
  <si>
    <t>P56675</t>
  </si>
  <si>
    <t>S527</t>
  </si>
  <si>
    <t>O1000442</t>
  </si>
  <si>
    <t>C5286</t>
  </si>
  <si>
    <t>P10577</t>
  </si>
  <si>
    <t>Product_1222</t>
  </si>
  <si>
    <t>O1000443</t>
  </si>
  <si>
    <t>P77452</t>
  </si>
  <si>
    <t>Product_6907</t>
  </si>
  <si>
    <t>S800</t>
  </si>
  <si>
    <t>O1000444</t>
  </si>
  <si>
    <t>C5885</t>
  </si>
  <si>
    <t>P28099</t>
  </si>
  <si>
    <t>Product_6158</t>
  </si>
  <si>
    <t>S330</t>
  </si>
  <si>
    <t>O1000445</t>
  </si>
  <si>
    <t>C3480</t>
  </si>
  <si>
    <t>P70060</t>
  </si>
  <si>
    <t>O1000446</t>
  </si>
  <si>
    <t>C6942</t>
  </si>
  <si>
    <t>P81311</t>
  </si>
  <si>
    <t>Product_6608</t>
  </si>
  <si>
    <t>S846</t>
  </si>
  <si>
    <t>O1000447</t>
  </si>
  <si>
    <t>C6161</t>
  </si>
  <si>
    <t>P24123</t>
  </si>
  <si>
    <t>Product_5021</t>
  </si>
  <si>
    <t>S184</t>
  </si>
  <si>
    <t>O1000448</t>
  </si>
  <si>
    <t>C4104</t>
  </si>
  <si>
    <t>P82876</t>
  </si>
  <si>
    <t>Product_9806</t>
  </si>
  <si>
    <t>S251</t>
  </si>
  <si>
    <t>O1000449</t>
  </si>
  <si>
    <t>P18267</t>
  </si>
  <si>
    <t>Product_2840</t>
  </si>
  <si>
    <t>S778</t>
  </si>
  <si>
    <t>O1000450</t>
  </si>
  <si>
    <t>C5430</t>
  </si>
  <si>
    <t>P37312</t>
  </si>
  <si>
    <t>Product_6855</t>
  </si>
  <si>
    <t>S657</t>
  </si>
  <si>
    <t>O1000451</t>
  </si>
  <si>
    <t>C6265</t>
  </si>
  <si>
    <t>P12211</t>
  </si>
  <si>
    <t>Product_2993</t>
  </si>
  <si>
    <t>S969</t>
  </si>
  <si>
    <t>O1000452</t>
  </si>
  <si>
    <t>C1172</t>
  </si>
  <si>
    <t>P51066</t>
  </si>
  <si>
    <t>O1000453</t>
  </si>
  <si>
    <t>C1271</t>
  </si>
  <si>
    <t>P25862</t>
  </si>
  <si>
    <t>Product_3265</t>
  </si>
  <si>
    <t>O1000454</t>
  </si>
  <si>
    <t>C3183</t>
  </si>
  <si>
    <t>P31656</t>
  </si>
  <si>
    <t>Product_5817</t>
  </si>
  <si>
    <t>S949</t>
  </si>
  <si>
    <t>O1000455</t>
  </si>
  <si>
    <t>C4254</t>
  </si>
  <si>
    <t>P31828</t>
  </si>
  <si>
    <t>S885</t>
  </si>
  <si>
    <t>O1000456</t>
  </si>
  <si>
    <t>C2172</t>
  </si>
  <si>
    <t>P28938</t>
  </si>
  <si>
    <t>Product_4916</t>
  </si>
  <si>
    <t>O1000457</t>
  </si>
  <si>
    <t>C3908</t>
  </si>
  <si>
    <t>P70820</t>
  </si>
  <si>
    <t>Product_3533</t>
  </si>
  <si>
    <t>S486</t>
  </si>
  <si>
    <t>O1000458</t>
  </si>
  <si>
    <t>C4013</t>
  </si>
  <si>
    <t>P79977</t>
  </si>
  <si>
    <t>Product_9484</t>
  </si>
  <si>
    <t>S808</t>
  </si>
  <si>
    <t>O1000459</t>
  </si>
  <si>
    <t>C3752</t>
  </si>
  <si>
    <t>P57609</t>
  </si>
  <si>
    <t>O1000460</t>
  </si>
  <si>
    <t>C1874</t>
  </si>
  <si>
    <t>P92561</t>
  </si>
  <si>
    <t>Product_2137</t>
  </si>
  <si>
    <t>O1000461</t>
  </si>
  <si>
    <t>C7451</t>
  </si>
  <si>
    <t>P95403</t>
  </si>
  <si>
    <t>Product_1304</t>
  </si>
  <si>
    <t>O1000462</t>
  </si>
  <si>
    <t>C5467</t>
  </si>
  <si>
    <t>P82387</t>
  </si>
  <si>
    <t>Product_2734</t>
  </si>
  <si>
    <t>O1000463</t>
  </si>
  <si>
    <t>C4256</t>
  </si>
  <si>
    <t>P72799</t>
  </si>
  <si>
    <t>Product_1815</t>
  </si>
  <si>
    <t>S342</t>
  </si>
  <si>
    <t>O1000464</t>
  </si>
  <si>
    <t>C8514</t>
  </si>
  <si>
    <t>P10665</t>
  </si>
  <si>
    <t>Product_7404</t>
  </si>
  <si>
    <t>O1000465</t>
  </si>
  <si>
    <t>C9055</t>
  </si>
  <si>
    <t>P17979</t>
  </si>
  <si>
    <t>Product_5249</t>
  </si>
  <si>
    <t>S735</t>
  </si>
  <si>
    <t>O1000466</t>
  </si>
  <si>
    <t>C8183</t>
  </si>
  <si>
    <t>P72156</t>
  </si>
  <si>
    <t>Product_2597</t>
  </si>
  <si>
    <t>S659</t>
  </si>
  <si>
    <t>O1000467</t>
  </si>
  <si>
    <t>C9742</t>
  </si>
  <si>
    <t>P11597</t>
  </si>
  <si>
    <t>Product_9190</t>
  </si>
  <si>
    <t>O1000468</t>
  </si>
  <si>
    <t>C9709</t>
  </si>
  <si>
    <t>P84860</t>
  </si>
  <si>
    <t>Product_2418</t>
  </si>
  <si>
    <t>O1000469</t>
  </si>
  <si>
    <t>C4798</t>
  </si>
  <si>
    <t>P80059</t>
  </si>
  <si>
    <t>Product_8452</t>
  </si>
  <si>
    <t>O1000470</t>
  </si>
  <si>
    <t>C8740</t>
  </si>
  <si>
    <t>P21035</t>
  </si>
  <si>
    <t>Product_6391</t>
  </si>
  <si>
    <t>O1000471</t>
  </si>
  <si>
    <t>C8744</t>
  </si>
  <si>
    <t>P92758</t>
  </si>
  <si>
    <t>Product_3549</t>
  </si>
  <si>
    <t>S185</t>
  </si>
  <si>
    <t>O1000472</t>
  </si>
  <si>
    <t>C6367</t>
  </si>
  <si>
    <t>P24372</t>
  </si>
  <si>
    <t>Product_8777</t>
  </si>
  <si>
    <t>S597</t>
  </si>
  <si>
    <t>O1000473</t>
  </si>
  <si>
    <t>C9364</t>
  </si>
  <si>
    <t>P89397</t>
  </si>
  <si>
    <t>Product_9594</t>
  </si>
  <si>
    <t>O1000474</t>
  </si>
  <si>
    <t>P41306</t>
  </si>
  <si>
    <t>Product_6954</t>
  </si>
  <si>
    <t>S313</t>
  </si>
  <si>
    <t>O1000475</t>
  </si>
  <si>
    <t>C7793</t>
  </si>
  <si>
    <t>P83869</t>
  </si>
  <si>
    <t>Product_4532</t>
  </si>
  <si>
    <t>S290</t>
  </si>
  <si>
    <t>O1000476</t>
  </si>
  <si>
    <t>C1615</t>
  </si>
  <si>
    <t>P16607</t>
  </si>
  <si>
    <t>Product_2161</t>
  </si>
  <si>
    <t>O1000477</t>
  </si>
  <si>
    <t>P60296</t>
  </si>
  <si>
    <t>Product_7316</t>
  </si>
  <si>
    <t>S730</t>
  </si>
  <si>
    <t>O1000478</t>
  </si>
  <si>
    <t>C9931</t>
  </si>
  <si>
    <t>P38241</t>
  </si>
  <si>
    <t>Product_3156</t>
  </si>
  <si>
    <t>S396</t>
  </si>
  <si>
    <t>O1000479</t>
  </si>
  <si>
    <t>C3137</t>
  </si>
  <si>
    <t>P29099</t>
  </si>
  <si>
    <t>Product_9605</t>
  </si>
  <si>
    <t>O1000480</t>
  </si>
  <si>
    <t>C2661</t>
  </si>
  <si>
    <t>P63383</t>
  </si>
  <si>
    <t>Product_6800</t>
  </si>
  <si>
    <t>O1000481</t>
  </si>
  <si>
    <t>C5043</t>
  </si>
  <si>
    <t>P93066</t>
  </si>
  <si>
    <t>Product_8538</t>
  </si>
  <si>
    <t>O1000482</t>
  </si>
  <si>
    <t>C5216</t>
  </si>
  <si>
    <t>P65125</t>
  </si>
  <si>
    <t>O1000483</t>
  </si>
  <si>
    <t>C6584</t>
  </si>
  <si>
    <t>P57459</t>
  </si>
  <si>
    <t>Product_1870</t>
  </si>
  <si>
    <t>S410</t>
  </si>
  <si>
    <t>O1000484</t>
  </si>
  <si>
    <t>C2622</t>
  </si>
  <si>
    <t>P98783</t>
  </si>
  <si>
    <t>Product_5576</t>
  </si>
  <si>
    <t>O1000485</t>
  </si>
  <si>
    <t>P19277</t>
  </si>
  <si>
    <t>Product_1098</t>
  </si>
  <si>
    <t>O1000486</t>
  </si>
  <si>
    <t>C2765</t>
  </si>
  <si>
    <t>P92853</t>
  </si>
  <si>
    <t>Product_5932</t>
  </si>
  <si>
    <t>S669</t>
  </si>
  <si>
    <t>O1000487</t>
  </si>
  <si>
    <t>C7654</t>
  </si>
  <si>
    <t>P43829</t>
  </si>
  <si>
    <t>Product_8098</t>
  </si>
  <si>
    <t>S246</t>
  </si>
  <si>
    <t>O1000488</t>
  </si>
  <si>
    <t>P94136</t>
  </si>
  <si>
    <t>Product_2031</t>
  </si>
  <si>
    <t>S781</t>
  </si>
  <si>
    <t>O1000489</t>
  </si>
  <si>
    <t>C2651</t>
  </si>
  <si>
    <t>P76459</t>
  </si>
  <si>
    <t>Product_6844</t>
  </si>
  <si>
    <t>O1000490</t>
  </si>
  <si>
    <t>C4802</t>
  </si>
  <si>
    <t>P28305</t>
  </si>
  <si>
    <t>Product_2561</t>
  </si>
  <si>
    <t>O1000491</t>
  </si>
  <si>
    <t>C4895</t>
  </si>
  <si>
    <t>P41992</t>
  </si>
  <si>
    <t>Product_1368</t>
  </si>
  <si>
    <t>S408</t>
  </si>
  <si>
    <t>O1000492</t>
  </si>
  <si>
    <t>C8954</t>
  </si>
  <si>
    <t>P66055</t>
  </si>
  <si>
    <t>Product_7063</t>
  </si>
  <si>
    <t>S871</t>
  </si>
  <si>
    <t>O1000493</t>
  </si>
  <si>
    <t>C5700</t>
  </si>
  <si>
    <t>P15326</t>
  </si>
  <si>
    <t>Product_8906</t>
  </si>
  <si>
    <t>S117</t>
  </si>
  <si>
    <t>O1000494</t>
  </si>
  <si>
    <t>C7264</t>
  </si>
  <si>
    <t>P29385</t>
  </si>
  <si>
    <t>Product_7066</t>
  </si>
  <si>
    <t>O1000495</t>
  </si>
  <si>
    <t>C9624</t>
  </si>
  <si>
    <t>P53030</t>
  </si>
  <si>
    <t>Product_3776</t>
  </si>
  <si>
    <t>O1000496</t>
  </si>
  <si>
    <t>C9892</t>
  </si>
  <si>
    <t>P48194</t>
  </si>
  <si>
    <t>Product_2132</t>
  </si>
  <si>
    <t>S977</t>
  </si>
  <si>
    <t>O1000497</t>
  </si>
  <si>
    <t>C6377</t>
  </si>
  <si>
    <t>P36093</t>
  </si>
  <si>
    <t>Product_6520</t>
  </si>
  <si>
    <t>S192</t>
  </si>
  <si>
    <t>O1000498</t>
  </si>
  <si>
    <t>C8665</t>
  </si>
  <si>
    <t>P38493</t>
  </si>
  <si>
    <t>Product_6463</t>
  </si>
  <si>
    <t>O1000499</t>
  </si>
  <si>
    <t>C1941</t>
  </si>
  <si>
    <t>P43885</t>
  </si>
  <si>
    <t>Product_9518</t>
  </si>
  <si>
    <t>S228</t>
  </si>
  <si>
    <t>O1000500</t>
  </si>
  <si>
    <t>C7874</t>
  </si>
  <si>
    <t>P30067</t>
  </si>
  <si>
    <t>Product_4093</t>
  </si>
  <si>
    <t>O1000501</t>
  </si>
  <si>
    <t>C8693</t>
  </si>
  <si>
    <t>P11113</t>
  </si>
  <si>
    <t>Product_8683</t>
  </si>
  <si>
    <t>S247</t>
  </si>
  <si>
    <t>O1000502</t>
  </si>
  <si>
    <t>C4296</t>
  </si>
  <si>
    <t>P23655</t>
  </si>
  <si>
    <t>Product_4104</t>
  </si>
  <si>
    <t>O1000503</t>
  </si>
  <si>
    <t>C3820</t>
  </si>
  <si>
    <t>P96148</t>
  </si>
  <si>
    <t>Product_1147</t>
  </si>
  <si>
    <t>S750</t>
  </si>
  <si>
    <t>O1000504</t>
  </si>
  <si>
    <t>C2100</t>
  </si>
  <si>
    <t>P70169</t>
  </si>
  <si>
    <t>Product_8085</t>
  </si>
  <si>
    <t>S120</t>
  </si>
  <si>
    <t>O1000505</t>
  </si>
  <si>
    <t>C8852</t>
  </si>
  <si>
    <t>P32348</t>
  </si>
  <si>
    <t>Product_1770</t>
  </si>
  <si>
    <t>S655</t>
  </si>
  <si>
    <t>O1000506</t>
  </si>
  <si>
    <t>C4432</t>
  </si>
  <si>
    <t>P38626</t>
  </si>
  <si>
    <t>Product_5706</t>
  </si>
  <si>
    <t>S906</t>
  </si>
  <si>
    <t>O1000507</t>
  </si>
  <si>
    <t>C3030</t>
  </si>
  <si>
    <t>P64215</t>
  </si>
  <si>
    <t>Product_5362</t>
  </si>
  <si>
    <t>S829</t>
  </si>
  <si>
    <t>O1000508</t>
  </si>
  <si>
    <t>C8236</t>
  </si>
  <si>
    <t>P42713</t>
  </si>
  <si>
    <t>Product_8624</t>
  </si>
  <si>
    <t>S141</t>
  </si>
  <si>
    <t>O1000509</t>
  </si>
  <si>
    <t>C8933</t>
  </si>
  <si>
    <t>P39798</t>
  </si>
  <si>
    <t>Product_2185</t>
  </si>
  <si>
    <t>S424</t>
  </si>
  <si>
    <t>O1000510</t>
  </si>
  <si>
    <t>C1783</t>
  </si>
  <si>
    <t>P11134</t>
  </si>
  <si>
    <t>Product_7801</t>
  </si>
  <si>
    <t>S119</t>
  </si>
  <si>
    <t>O1000511</t>
  </si>
  <si>
    <t>C5722</t>
  </si>
  <si>
    <t>P69602</t>
  </si>
  <si>
    <t>Product_6238</t>
  </si>
  <si>
    <t>S481</t>
  </si>
  <si>
    <t>O1000512</t>
  </si>
  <si>
    <t>C4454</t>
  </si>
  <si>
    <t>P24513</t>
  </si>
  <si>
    <t>Product_6982</t>
  </si>
  <si>
    <t>O1000513</t>
  </si>
  <si>
    <t>C4354</t>
  </si>
  <si>
    <t>P78709</t>
  </si>
  <si>
    <t>Product_8090</t>
  </si>
  <si>
    <t>O1000514</t>
  </si>
  <si>
    <t>C2577</t>
  </si>
  <si>
    <t>P67899</t>
  </si>
  <si>
    <t>Product_3543</t>
  </si>
  <si>
    <t>S843</t>
  </si>
  <si>
    <t>O1000515</t>
  </si>
  <si>
    <t>C5226</t>
  </si>
  <si>
    <t>P81265</t>
  </si>
  <si>
    <t>Product_6439</t>
  </si>
  <si>
    <t>O1000516</t>
  </si>
  <si>
    <t>C3002</t>
  </si>
  <si>
    <t>P29638</t>
  </si>
  <si>
    <t>Product_3737</t>
  </si>
  <si>
    <t>S767</t>
  </si>
  <si>
    <t>O1000517</t>
  </si>
  <si>
    <t>P33108</t>
  </si>
  <si>
    <t>Product_7973</t>
  </si>
  <si>
    <t>S367</t>
  </si>
  <si>
    <t>O1000518</t>
  </si>
  <si>
    <t>C6530</t>
  </si>
  <si>
    <t>P14955</t>
  </si>
  <si>
    <t>Product_8179</t>
  </si>
  <si>
    <t>S703</t>
  </si>
  <si>
    <t>O1000519</t>
  </si>
  <si>
    <t>C8866</t>
  </si>
  <si>
    <t>P73164</t>
  </si>
  <si>
    <t>Product_1480</t>
  </si>
  <si>
    <t>S115</t>
  </si>
  <si>
    <t>O1000520</t>
  </si>
  <si>
    <t>C8841</t>
  </si>
  <si>
    <t>P94404</t>
  </si>
  <si>
    <t>Product_6605</t>
  </si>
  <si>
    <t>S326</t>
  </si>
  <si>
    <t>O1000521</t>
  </si>
  <si>
    <t>C9622</t>
  </si>
  <si>
    <t>P95693</t>
  </si>
  <si>
    <t>Product_8224</t>
  </si>
  <si>
    <t>O1000522</t>
  </si>
  <si>
    <t>C3095</t>
  </si>
  <si>
    <t>P73540</t>
  </si>
  <si>
    <t>Product_2679</t>
  </si>
  <si>
    <t>O1000523</t>
  </si>
  <si>
    <t>C3821</t>
  </si>
  <si>
    <t>P12638</t>
  </si>
  <si>
    <t>Product_2770</t>
  </si>
  <si>
    <t>O1000524</t>
  </si>
  <si>
    <t>C1115</t>
  </si>
  <si>
    <t>P90823</t>
  </si>
  <si>
    <t>Product_3473</t>
  </si>
  <si>
    <t>O1000525</t>
  </si>
  <si>
    <t>C6335</t>
  </si>
  <si>
    <t>P58977</t>
  </si>
  <si>
    <t>Product_6726</t>
  </si>
  <si>
    <t>S629</t>
  </si>
  <si>
    <t>O1000526</t>
  </si>
  <si>
    <t>C9574</t>
  </si>
  <si>
    <t>P15649</t>
  </si>
  <si>
    <t>Product_6514</t>
  </si>
  <si>
    <t>S129</t>
  </si>
  <si>
    <t>O1000527</t>
  </si>
  <si>
    <t>C7710</t>
  </si>
  <si>
    <t>P64879</t>
  </si>
  <si>
    <t>Product_6135</t>
  </si>
  <si>
    <t>S579</t>
  </si>
  <si>
    <t>O1000528</t>
  </si>
  <si>
    <t>C3334</t>
  </si>
  <si>
    <t>P52068</t>
  </si>
  <si>
    <t>Product_6868</t>
  </si>
  <si>
    <t>O1000529</t>
  </si>
  <si>
    <t>C9738</t>
  </si>
  <si>
    <t>P61951</t>
  </si>
  <si>
    <t>Product_7382</t>
  </si>
  <si>
    <t>S839</t>
  </si>
  <si>
    <t>O1000530</t>
  </si>
  <si>
    <t>C2165</t>
  </si>
  <si>
    <t>P20880</t>
  </si>
  <si>
    <t>Product_2829</t>
  </si>
  <si>
    <t>O1000531</t>
  </si>
  <si>
    <t>C9697</t>
  </si>
  <si>
    <t>P75043</t>
  </si>
  <si>
    <t>Product_7758</t>
  </si>
  <si>
    <t>S595</t>
  </si>
  <si>
    <t>O1000532</t>
  </si>
  <si>
    <t>C8851</t>
  </si>
  <si>
    <t>P44627</t>
  </si>
  <si>
    <t>Product_1421</t>
  </si>
  <si>
    <t>O1000533</t>
  </si>
  <si>
    <t>C6747</t>
  </si>
  <si>
    <t>P18382</t>
  </si>
  <si>
    <t>Product_5876</t>
  </si>
  <si>
    <t>S753</t>
  </si>
  <si>
    <t>O1000534</t>
  </si>
  <si>
    <t>C6044</t>
  </si>
  <si>
    <t>P61396</t>
  </si>
  <si>
    <t>Product_2352</t>
  </si>
  <si>
    <t>O1000535</t>
  </si>
  <si>
    <t>C5033</t>
  </si>
  <si>
    <t>P49583</t>
  </si>
  <si>
    <t>Product_2682</t>
  </si>
  <si>
    <t>O1000536</t>
  </si>
  <si>
    <t>P87497</t>
  </si>
  <si>
    <t>Product_3948</t>
  </si>
  <si>
    <t>O1000537</t>
  </si>
  <si>
    <t>C7547</t>
  </si>
  <si>
    <t>P95317</t>
  </si>
  <si>
    <t>Product_8093</t>
  </si>
  <si>
    <t>O1000538</t>
  </si>
  <si>
    <t>C8466</t>
  </si>
  <si>
    <t>P70453</t>
  </si>
  <si>
    <t>Product_1183</t>
  </si>
  <si>
    <t>S667</t>
  </si>
  <si>
    <t>O1000539</t>
  </si>
  <si>
    <t>C6907</t>
  </si>
  <si>
    <t>P28847</t>
  </si>
  <si>
    <t>Product_5716</t>
  </si>
  <si>
    <t>S437</t>
  </si>
  <si>
    <t>O1000540</t>
  </si>
  <si>
    <t>C4388</t>
  </si>
  <si>
    <t>P27990</t>
  </si>
  <si>
    <t>Product_9595</t>
  </si>
  <si>
    <t>O1000541</t>
  </si>
  <si>
    <t>C1162</t>
  </si>
  <si>
    <t>P63052</t>
  </si>
  <si>
    <t>Product_8020</t>
  </si>
  <si>
    <t>O1000542</t>
  </si>
  <si>
    <t>C1067</t>
  </si>
  <si>
    <t>P74695</t>
  </si>
  <si>
    <t>O1000543</t>
  </si>
  <si>
    <t>C4351</t>
  </si>
  <si>
    <t>P52879</t>
  </si>
  <si>
    <t>Product_1671</t>
  </si>
  <si>
    <t>S874</t>
  </si>
  <si>
    <t>O1000544</t>
  </si>
  <si>
    <t>C5229</t>
  </si>
  <si>
    <t>P31233</t>
  </si>
  <si>
    <t>Product_5996</t>
  </si>
  <si>
    <t>O1000545</t>
  </si>
  <si>
    <t>C8460</t>
  </si>
  <si>
    <t>P98803</t>
  </si>
  <si>
    <t>Product_2859</t>
  </si>
  <si>
    <t>O1000546</t>
  </si>
  <si>
    <t>C3655</t>
  </si>
  <si>
    <t>P15111</t>
  </si>
  <si>
    <t>Product_1402</t>
  </si>
  <si>
    <t>O1000547</t>
  </si>
  <si>
    <t>C5816</t>
  </si>
  <si>
    <t>P98496</t>
  </si>
  <si>
    <t>Product_5891</t>
  </si>
  <si>
    <t>O1000548</t>
  </si>
  <si>
    <t>C9032</t>
  </si>
  <si>
    <t>P52230</t>
  </si>
  <si>
    <t>Product_7763</t>
  </si>
  <si>
    <t>S917</t>
  </si>
  <si>
    <t>O1000549</t>
  </si>
  <si>
    <t>C7271</t>
  </si>
  <si>
    <t>P99940</t>
  </si>
  <si>
    <t>Product_2981</t>
  </si>
  <si>
    <t>S544</t>
  </si>
  <si>
    <t>O1000550</t>
  </si>
  <si>
    <t>C9215</t>
  </si>
  <si>
    <t>P22243</t>
  </si>
  <si>
    <t>S281</t>
  </si>
  <si>
    <t>O1000551</t>
  </si>
  <si>
    <t>C3461</t>
  </si>
  <si>
    <t>P28279</t>
  </si>
  <si>
    <t>Product_3011</t>
  </si>
  <si>
    <t>S535</t>
  </si>
  <si>
    <t>O1000552</t>
  </si>
  <si>
    <t>C9250</t>
  </si>
  <si>
    <t>P55108</t>
  </si>
  <si>
    <t>Product_1392</t>
  </si>
  <si>
    <t>O1000553</t>
  </si>
  <si>
    <t>C8471</t>
  </si>
  <si>
    <t>P59477</t>
  </si>
  <si>
    <t>Product_9203</t>
  </si>
  <si>
    <t>S963</t>
  </si>
  <si>
    <t>O1000554</t>
  </si>
  <si>
    <t>C4521</t>
  </si>
  <si>
    <t>P92431</t>
  </si>
  <si>
    <t>Product_9369</t>
  </si>
  <si>
    <t>S960</t>
  </si>
  <si>
    <t>O1000555</t>
  </si>
  <si>
    <t>C1741</t>
  </si>
  <si>
    <t>P16085</t>
  </si>
  <si>
    <t>Product_6705</t>
  </si>
  <si>
    <t>S694</t>
  </si>
  <si>
    <t>O1000556</t>
  </si>
  <si>
    <t>C9175</t>
  </si>
  <si>
    <t>P50620</t>
  </si>
  <si>
    <t>Product_7375</t>
  </si>
  <si>
    <t>S746</t>
  </si>
  <si>
    <t>O1000557</t>
  </si>
  <si>
    <t>C9826</t>
  </si>
  <si>
    <t>P99601</t>
  </si>
  <si>
    <t>Product_1133</t>
  </si>
  <si>
    <t>O1000558</t>
  </si>
  <si>
    <t>C5052</t>
  </si>
  <si>
    <t>P91271</t>
  </si>
  <si>
    <t>O1000559</t>
  </si>
  <si>
    <t>C6332</t>
  </si>
  <si>
    <t>P99288</t>
  </si>
  <si>
    <t>Product_3502</t>
  </si>
  <si>
    <t>O1000560</t>
  </si>
  <si>
    <t>C1264</t>
  </si>
  <si>
    <t>P75255</t>
  </si>
  <si>
    <t>Product_7193</t>
  </si>
  <si>
    <t>S951</t>
  </si>
  <si>
    <t>O1000561</t>
  </si>
  <si>
    <t>C1716</t>
  </si>
  <si>
    <t>P37044</t>
  </si>
  <si>
    <t>Product_5603</t>
  </si>
  <si>
    <t>S213</t>
  </si>
  <si>
    <t>O1000562</t>
  </si>
  <si>
    <t>C4881</t>
  </si>
  <si>
    <t>P67026</t>
  </si>
  <si>
    <t>Product_8044</t>
  </si>
  <si>
    <t>O1000563</t>
  </si>
  <si>
    <t>C3148</t>
  </si>
  <si>
    <t>P97239</t>
  </si>
  <si>
    <t>Product_2468</t>
  </si>
  <si>
    <t>O1000564</t>
  </si>
  <si>
    <t>C1226</t>
  </si>
  <si>
    <t>P35279</t>
  </si>
  <si>
    <t>Product_7104</t>
  </si>
  <si>
    <t>O1000565</t>
  </si>
  <si>
    <t>C4951</t>
  </si>
  <si>
    <t>P57020</t>
  </si>
  <si>
    <t>Product_2698</t>
  </si>
  <si>
    <t>S194</t>
  </si>
  <si>
    <t>O1000566</t>
  </si>
  <si>
    <t>C2511</t>
  </si>
  <si>
    <t>P91138</t>
  </si>
  <si>
    <t>S397</t>
  </si>
  <si>
    <t>O1000567</t>
  </si>
  <si>
    <t>C8947</t>
  </si>
  <si>
    <t>P82653</t>
  </si>
  <si>
    <t>Product_5756</t>
  </si>
  <si>
    <t>O1000568</t>
  </si>
  <si>
    <t>C3007</t>
  </si>
  <si>
    <t>P81517</t>
  </si>
  <si>
    <t>Product_7877</t>
  </si>
  <si>
    <t>S961</t>
  </si>
  <si>
    <t>O1000569</t>
  </si>
  <si>
    <t>C7141</t>
  </si>
  <si>
    <t>P35033</t>
  </si>
  <si>
    <t>Product_2443</t>
  </si>
  <si>
    <t>O1000570</t>
  </si>
  <si>
    <t>C4402</t>
  </si>
  <si>
    <t>P12385</t>
  </si>
  <si>
    <t>Product_3609</t>
  </si>
  <si>
    <t>S729</t>
  </si>
  <si>
    <t>O1000571</t>
  </si>
  <si>
    <t>C1977</t>
  </si>
  <si>
    <t>P20043</t>
  </si>
  <si>
    <t>Product_8223</t>
  </si>
  <si>
    <t>S109</t>
  </si>
  <si>
    <t>O1000572</t>
  </si>
  <si>
    <t>C2547</t>
  </si>
  <si>
    <t>P14155</t>
  </si>
  <si>
    <t>Product_2126</t>
  </si>
  <si>
    <t>S896</t>
  </si>
  <si>
    <t>O1000573</t>
  </si>
  <si>
    <t>C2978</t>
  </si>
  <si>
    <t>P83327</t>
  </si>
  <si>
    <t>Product_7904</t>
  </si>
  <si>
    <t>S647</t>
  </si>
  <si>
    <t>O1000574</t>
  </si>
  <si>
    <t>C9687</t>
  </si>
  <si>
    <t>P73257</t>
  </si>
  <si>
    <t>Product_9459</t>
  </si>
  <si>
    <t>O1000575</t>
  </si>
  <si>
    <t>C2184</t>
  </si>
  <si>
    <t>P51655</t>
  </si>
  <si>
    <t>Product_3243</t>
  </si>
  <si>
    <t>S512</t>
  </si>
  <si>
    <t>O1000576</t>
  </si>
  <si>
    <t>P12402</t>
  </si>
  <si>
    <t>Product_4358</t>
  </si>
  <si>
    <t>S444</t>
  </si>
  <si>
    <t>O1000577</t>
  </si>
  <si>
    <t>C2982</t>
  </si>
  <si>
    <t>P23763</t>
  </si>
  <si>
    <t>Product_1959</t>
  </si>
  <si>
    <t>S798</t>
  </si>
  <si>
    <t>O1000578</t>
  </si>
  <si>
    <t>C2961</t>
  </si>
  <si>
    <t>P26764</t>
  </si>
  <si>
    <t>Product_7828</t>
  </si>
  <si>
    <t>S569</t>
  </si>
  <si>
    <t>O1000579</t>
  </si>
  <si>
    <t>C5453</t>
  </si>
  <si>
    <t>P84893</t>
  </si>
  <si>
    <t>Product_4878</t>
  </si>
  <si>
    <t>S395</t>
  </si>
  <si>
    <t>O1000580</t>
  </si>
  <si>
    <t>C1539</t>
  </si>
  <si>
    <t>P10311</t>
  </si>
  <si>
    <t>Product_3433</t>
  </si>
  <si>
    <t>O1000581</t>
  </si>
  <si>
    <t>C8467</t>
  </si>
  <si>
    <t>P71926</t>
  </si>
  <si>
    <t>Product_4144</t>
  </si>
  <si>
    <t>O1000582</t>
  </si>
  <si>
    <t>C7505</t>
  </si>
  <si>
    <t>P41433</t>
  </si>
  <si>
    <t>Product_5446</t>
  </si>
  <si>
    <t>S521</t>
  </si>
  <si>
    <t>O1000583</t>
  </si>
  <si>
    <t>C7601</t>
  </si>
  <si>
    <t>P34148</t>
  </si>
  <si>
    <t>Product_4561</t>
  </si>
  <si>
    <t>S944</t>
  </si>
  <si>
    <t>O1000584</t>
  </si>
  <si>
    <t>P62432</t>
  </si>
  <si>
    <t>Product_9615</t>
  </si>
  <si>
    <t>O1000585</t>
  </si>
  <si>
    <t>C5423</t>
  </si>
  <si>
    <t>P83103</t>
  </si>
  <si>
    <t>Product_7551</t>
  </si>
  <si>
    <t>S600</t>
  </si>
  <si>
    <t>O1000586</t>
  </si>
  <si>
    <t>C8654</t>
  </si>
  <si>
    <t>P88023</t>
  </si>
  <si>
    <t>Product_8463</t>
  </si>
  <si>
    <t>O1000587</t>
  </si>
  <si>
    <t>C2928</t>
  </si>
  <si>
    <t>P75833</t>
  </si>
  <si>
    <t>Product_6062</t>
  </si>
  <si>
    <t>O1000588</t>
  </si>
  <si>
    <t>C4310</t>
  </si>
  <si>
    <t>P29606</t>
  </si>
  <si>
    <t>Product_9536</t>
  </si>
  <si>
    <t>O1000589</t>
  </si>
  <si>
    <t>C8137</t>
  </si>
  <si>
    <t>P53109</t>
  </si>
  <si>
    <t>Product_8150</t>
  </si>
  <si>
    <t>O1000590</t>
  </si>
  <si>
    <t>C4125</t>
  </si>
  <si>
    <t>P54124</t>
  </si>
  <si>
    <t>Product_2897</t>
  </si>
  <si>
    <t>S680</t>
  </si>
  <si>
    <t>O1000591</t>
  </si>
  <si>
    <t>C1926</t>
  </si>
  <si>
    <t>P31637</t>
  </si>
  <si>
    <t>Product_1837</t>
  </si>
  <si>
    <t>S907</t>
  </si>
  <si>
    <t>O1000592</t>
  </si>
  <si>
    <t>C4427</t>
  </si>
  <si>
    <t>P15717</t>
  </si>
  <si>
    <t>Product_8891</t>
  </si>
  <si>
    <t>O1000593</t>
  </si>
  <si>
    <t>C4103</t>
  </si>
  <si>
    <t>P60175</t>
  </si>
  <si>
    <t>Product_9270</t>
  </si>
  <si>
    <t>S170</t>
  </si>
  <si>
    <t>O1000594</t>
  </si>
  <si>
    <t>C7233</t>
  </si>
  <si>
    <t>P32027</t>
  </si>
  <si>
    <t>Product_6729</t>
  </si>
  <si>
    <t>S709</t>
  </si>
  <si>
    <t>O1000595</t>
  </si>
  <si>
    <t>C1636</t>
  </si>
  <si>
    <t>P93785</t>
  </si>
  <si>
    <t>S732</t>
  </si>
  <si>
    <t>O1000596</t>
  </si>
  <si>
    <t>C5607</t>
  </si>
  <si>
    <t>P84120</t>
  </si>
  <si>
    <t>Product_1599</t>
  </si>
  <si>
    <t>S841</t>
  </si>
  <si>
    <t>O1000597</t>
  </si>
  <si>
    <t>C6272</t>
  </si>
  <si>
    <t>P69391</t>
  </si>
  <si>
    <t>Product_1202</t>
  </si>
  <si>
    <t>S591</t>
  </si>
  <si>
    <t>O1000598</t>
  </si>
  <si>
    <t>C1555</t>
  </si>
  <si>
    <t>P39180</t>
  </si>
  <si>
    <t>Product_8354</t>
  </si>
  <si>
    <t>O1000599</t>
  </si>
  <si>
    <t>C3836</t>
  </si>
  <si>
    <t>P54001</t>
  </si>
  <si>
    <t>Product_1962</t>
  </si>
  <si>
    <t>S188</t>
  </si>
  <si>
    <t>O1000600</t>
  </si>
  <si>
    <t>C1091</t>
  </si>
  <si>
    <t>P88993</t>
  </si>
  <si>
    <t>Product_1189</t>
  </si>
  <si>
    <t>O1000601</t>
  </si>
  <si>
    <t>C5387</t>
  </si>
  <si>
    <t>P35653</t>
  </si>
  <si>
    <t>Product_5367</t>
  </si>
  <si>
    <t>O1000602</t>
  </si>
  <si>
    <t>C5925</t>
  </si>
  <si>
    <t>P58219</t>
  </si>
  <si>
    <t>Product_4901</t>
  </si>
  <si>
    <t>S177</t>
  </si>
  <si>
    <t>O1000603</t>
  </si>
  <si>
    <t>C7305</t>
  </si>
  <si>
    <t>P59675</t>
  </si>
  <si>
    <t>Product_9738</t>
  </si>
  <si>
    <t>S373</t>
  </si>
  <si>
    <t>O1000604</t>
  </si>
  <si>
    <t>C8072</t>
  </si>
  <si>
    <t>P53390</t>
  </si>
  <si>
    <t>Product_2039</t>
  </si>
  <si>
    <t>S413</t>
  </si>
  <si>
    <t>O1000605</t>
  </si>
  <si>
    <t>C5054</t>
  </si>
  <si>
    <t>P72710</t>
  </si>
  <si>
    <t>Product_2009</t>
  </si>
  <si>
    <t>S721</t>
  </si>
  <si>
    <t>O1000606</t>
  </si>
  <si>
    <t>C1860</t>
  </si>
  <si>
    <t>P76049</t>
  </si>
  <si>
    <t>Product_8613</t>
  </si>
  <si>
    <t>S745</t>
  </si>
  <si>
    <t>O1000607</t>
  </si>
  <si>
    <t>C3906</t>
  </si>
  <si>
    <t>P46748</t>
  </si>
  <si>
    <t>Product_2135</t>
  </si>
  <si>
    <t>S377</t>
  </si>
  <si>
    <t>O1000608</t>
  </si>
  <si>
    <t>C7921</t>
  </si>
  <si>
    <t>P22516</t>
  </si>
  <si>
    <t>Product_7695</t>
  </si>
  <si>
    <t>S726</t>
  </si>
  <si>
    <t>O1000609</t>
  </si>
  <si>
    <t>C7800</t>
  </si>
  <si>
    <t>P96511</t>
  </si>
  <si>
    <t>Product_3860</t>
  </si>
  <si>
    <t>S699</t>
  </si>
  <si>
    <t>O1000610</t>
  </si>
  <si>
    <t>C2710</t>
  </si>
  <si>
    <t>P44098</t>
  </si>
  <si>
    <t>Product_9674</t>
  </si>
  <si>
    <t>S471</t>
  </si>
  <si>
    <t>O1000611</t>
  </si>
  <si>
    <t>C9551</t>
  </si>
  <si>
    <t>P73661</t>
  </si>
  <si>
    <t>Product_5873</t>
  </si>
  <si>
    <t>S537</t>
  </si>
  <si>
    <t>O1000612</t>
  </si>
  <si>
    <t>C9346</t>
  </si>
  <si>
    <t>P48773</t>
  </si>
  <si>
    <t>Product_2733</t>
  </si>
  <si>
    <t>S978</t>
  </si>
  <si>
    <t>O1000613</t>
  </si>
  <si>
    <t>C6075</t>
  </si>
  <si>
    <t>P39165</t>
  </si>
  <si>
    <t>Product_1562</t>
  </si>
  <si>
    <t>O1000614</t>
  </si>
  <si>
    <t>C3117</t>
  </si>
  <si>
    <t>P91307</t>
  </si>
  <si>
    <t>Product_7389</t>
  </si>
  <si>
    <t>O1000615</t>
  </si>
  <si>
    <t>C5980</t>
  </si>
  <si>
    <t>P47560</t>
  </si>
  <si>
    <t>Product_3617</t>
  </si>
  <si>
    <t>S541</t>
  </si>
  <si>
    <t>O1000616</t>
  </si>
  <si>
    <t>C1500</t>
  </si>
  <si>
    <t>P10066</t>
  </si>
  <si>
    <t>Product_7670</t>
  </si>
  <si>
    <t>S950</t>
  </si>
  <si>
    <t>O1000617</t>
  </si>
  <si>
    <t>C8054</t>
  </si>
  <si>
    <t>P61434</t>
  </si>
  <si>
    <t>Product_8265</t>
  </si>
  <si>
    <t>S574</t>
  </si>
  <si>
    <t>O1000618</t>
  </si>
  <si>
    <t>C2763</t>
  </si>
  <si>
    <t>P21333</t>
  </si>
  <si>
    <t>Product_9437</t>
  </si>
  <si>
    <t>S201</t>
  </si>
  <si>
    <t>O1000619</t>
  </si>
  <si>
    <t>P55747</t>
  </si>
  <si>
    <t>Product_1327</t>
  </si>
  <si>
    <t>S400</t>
  </si>
  <si>
    <t>O1000620</t>
  </si>
  <si>
    <t>C6107</t>
  </si>
  <si>
    <t>P47808</t>
  </si>
  <si>
    <t>Product_1827</t>
  </si>
  <si>
    <t>S500</t>
  </si>
  <si>
    <t>O1000621</t>
  </si>
  <si>
    <t>C6145</t>
  </si>
  <si>
    <t>P81964</t>
  </si>
  <si>
    <t>Product_7760</t>
  </si>
  <si>
    <t>O1000622</t>
  </si>
  <si>
    <t>C3211</t>
  </si>
  <si>
    <t>P18733</t>
  </si>
  <si>
    <t>Product_3163</t>
  </si>
  <si>
    <t>O1000623</t>
  </si>
  <si>
    <t>C9396</t>
  </si>
  <si>
    <t>P91170</t>
  </si>
  <si>
    <t>Product_2643</t>
  </si>
  <si>
    <t>O1000624</t>
  </si>
  <si>
    <t>C2280</t>
  </si>
  <si>
    <t>P54957</t>
  </si>
  <si>
    <t>Product_7756</t>
  </si>
  <si>
    <t>S631</t>
  </si>
  <si>
    <t>O1000625</t>
  </si>
  <si>
    <t>C4540</t>
  </si>
  <si>
    <t>P40152</t>
  </si>
  <si>
    <t>Product_2152</t>
  </si>
  <si>
    <t>O1000626</t>
  </si>
  <si>
    <t>P33403</t>
  </si>
  <si>
    <t>Product_2184</t>
  </si>
  <si>
    <t>S884</t>
  </si>
  <si>
    <t>O1000627</t>
  </si>
  <si>
    <t>C9994</t>
  </si>
  <si>
    <t>P22793</t>
  </si>
  <si>
    <t>Product_4854</t>
  </si>
  <si>
    <t>S334</t>
  </si>
  <si>
    <t>O1000628</t>
  </si>
  <si>
    <t>C7537</t>
  </si>
  <si>
    <t>P43459</t>
  </si>
  <si>
    <t>Product_5755</t>
  </si>
  <si>
    <t>O1000629</t>
  </si>
  <si>
    <t>C2328</t>
  </si>
  <si>
    <t>P99958</t>
  </si>
  <si>
    <t>O1000630</t>
  </si>
  <si>
    <t>C9021</t>
  </si>
  <si>
    <t>P78247</t>
  </si>
  <si>
    <t>Product_4047</t>
  </si>
  <si>
    <t>O1000631</t>
  </si>
  <si>
    <t>C7638</t>
  </si>
  <si>
    <t>P15852</t>
  </si>
  <si>
    <t>Product_1299</t>
  </si>
  <si>
    <t>O1000632</t>
  </si>
  <si>
    <t>P38175</t>
  </si>
  <si>
    <t>Product_4038</t>
  </si>
  <si>
    <t>O1000633</t>
  </si>
  <si>
    <t>C9197</t>
  </si>
  <si>
    <t>P77662</t>
  </si>
  <si>
    <t>Product_9601</t>
  </si>
  <si>
    <t>O1000634</t>
  </si>
  <si>
    <t>C6724</t>
  </si>
  <si>
    <t>P22524</t>
  </si>
  <si>
    <t>Product_3639</t>
  </si>
  <si>
    <t>O1000635</t>
  </si>
  <si>
    <t>C1582</t>
  </si>
  <si>
    <t>P47885</t>
  </si>
  <si>
    <t>Product_4182</t>
  </si>
  <si>
    <t>S196</t>
  </si>
  <si>
    <t>O1000636</t>
  </si>
  <si>
    <t>P66586</t>
  </si>
  <si>
    <t>Product_5826</t>
  </si>
  <si>
    <t>S149</t>
  </si>
  <si>
    <t>O1000637</t>
  </si>
  <si>
    <t>C3899</t>
  </si>
  <si>
    <t>P25963</t>
  </si>
  <si>
    <t>Product_8446</t>
  </si>
  <si>
    <t>O1000638</t>
  </si>
  <si>
    <t>C8379</t>
  </si>
  <si>
    <t>P85806</t>
  </si>
  <si>
    <t>Product_3164</t>
  </si>
  <si>
    <t>O1000639</t>
  </si>
  <si>
    <t>C5612</t>
  </si>
  <si>
    <t>P74596</t>
  </si>
  <si>
    <t>Product_5016</t>
  </si>
  <si>
    <t>S640</t>
  </si>
  <si>
    <t>O1000640</t>
  </si>
  <si>
    <t>C2640</t>
  </si>
  <si>
    <t>P54440</t>
  </si>
  <si>
    <t>Product_4956</t>
  </si>
  <si>
    <t>S649</t>
  </si>
  <si>
    <t>O1000641</t>
  </si>
  <si>
    <t>C4160</t>
  </si>
  <si>
    <t>P67081</t>
  </si>
  <si>
    <t>Product_2856</t>
  </si>
  <si>
    <t>O1000642</t>
  </si>
  <si>
    <t>C9612</t>
  </si>
  <si>
    <t>P17060</t>
  </si>
  <si>
    <t>Product_7448</t>
  </si>
  <si>
    <t>O1000643</t>
  </si>
  <si>
    <t>C6947</t>
  </si>
  <si>
    <t>P24666</t>
  </si>
  <si>
    <t>Product_5745</t>
  </si>
  <si>
    <t>S972</t>
  </si>
  <si>
    <t>O1000644</t>
  </si>
  <si>
    <t>C6096</t>
  </si>
  <si>
    <t>P25768</t>
  </si>
  <si>
    <t>Product_2172</t>
  </si>
  <si>
    <t>S929</t>
  </si>
  <si>
    <t>O1000645</t>
  </si>
  <si>
    <t>C1268</t>
  </si>
  <si>
    <t>P84588</t>
  </si>
  <si>
    <t>Product_4108</t>
  </si>
  <si>
    <t>S876</t>
  </si>
  <si>
    <t>O1000646</t>
  </si>
  <si>
    <t>C6427</t>
  </si>
  <si>
    <t>P95150</t>
  </si>
  <si>
    <t>Product_4557</t>
  </si>
  <si>
    <t>O1000647</t>
  </si>
  <si>
    <t>C2585</t>
  </si>
  <si>
    <t>P11525</t>
  </si>
  <si>
    <t>Product_6097</t>
  </si>
  <si>
    <t>S238</t>
  </si>
  <si>
    <t>O1000648</t>
  </si>
  <si>
    <t>C2261</t>
  </si>
  <si>
    <t>P66278</t>
  </si>
  <si>
    <t>O1000649</t>
  </si>
  <si>
    <t>C9191</t>
  </si>
  <si>
    <t>P45860</t>
  </si>
  <si>
    <t>Product_6338</t>
  </si>
  <si>
    <t>O1000650</t>
  </si>
  <si>
    <t>C4307</t>
  </si>
  <si>
    <t>P51590</t>
  </si>
  <si>
    <t>Product_5710</t>
  </si>
  <si>
    <t>O1000651</t>
  </si>
  <si>
    <t>C9614</t>
  </si>
  <si>
    <t>P46691</t>
  </si>
  <si>
    <t>Product_9548</t>
  </si>
  <si>
    <t>S585</t>
  </si>
  <si>
    <t>O1000652</t>
  </si>
  <si>
    <t>C8692</t>
  </si>
  <si>
    <t>P57819</t>
  </si>
  <si>
    <t>O1000653</t>
  </si>
  <si>
    <t>C8788</t>
  </si>
  <si>
    <t>P96966</t>
  </si>
  <si>
    <t>Product_7358</t>
  </si>
  <si>
    <t>O1000654</t>
  </si>
  <si>
    <t>C4442</t>
  </si>
  <si>
    <t>P80100</t>
  </si>
  <si>
    <t>Product_6029</t>
  </si>
  <si>
    <t>O1000655</t>
  </si>
  <si>
    <t>C4147</t>
  </si>
  <si>
    <t>P90898</t>
  </si>
  <si>
    <t>Product_7656</t>
  </si>
  <si>
    <t>O1000656</t>
  </si>
  <si>
    <t>C5636</t>
  </si>
  <si>
    <t>P22055</t>
  </si>
  <si>
    <t>Product_4065</t>
  </si>
  <si>
    <t>O1000657</t>
  </si>
  <si>
    <t>C6534</t>
  </si>
  <si>
    <t>P91757</t>
  </si>
  <si>
    <t>Product_6418</t>
  </si>
  <si>
    <t>O1000658</t>
  </si>
  <si>
    <t>C6542</t>
  </si>
  <si>
    <t>P16481</t>
  </si>
  <si>
    <t>Product_6138</t>
  </si>
  <si>
    <t>O1000659</t>
  </si>
  <si>
    <t>C6376</t>
  </si>
  <si>
    <t>Product_3521</t>
  </si>
  <si>
    <t>O1000660</t>
  </si>
  <si>
    <t>P85897</t>
  </si>
  <si>
    <t>Product_5192</t>
  </si>
  <si>
    <t>S341</t>
  </si>
  <si>
    <t>O1000661</t>
  </si>
  <si>
    <t>C2289</t>
  </si>
  <si>
    <t>P86723</t>
  </si>
  <si>
    <t>Product_4698</t>
  </si>
  <si>
    <t>S731</t>
  </si>
  <si>
    <t>O1000662</t>
  </si>
  <si>
    <t>C2876</t>
  </si>
  <si>
    <t>P30534</t>
  </si>
  <si>
    <t>Product_8824</t>
  </si>
  <si>
    <t>S193</t>
  </si>
  <si>
    <t>O1000663</t>
  </si>
  <si>
    <t>C3739</t>
  </si>
  <si>
    <t>P49475</t>
  </si>
  <si>
    <t>Product_8171</t>
  </si>
  <si>
    <t>O1000664</t>
  </si>
  <si>
    <t>C9967</t>
  </si>
  <si>
    <t>P90919</t>
  </si>
  <si>
    <t>Product_6769</t>
  </si>
  <si>
    <t>S439</t>
  </si>
  <si>
    <t>O1000665</t>
  </si>
  <si>
    <t>P26779</t>
  </si>
  <si>
    <t>Product_3717</t>
  </si>
  <si>
    <t>O1000666</t>
  </si>
  <si>
    <t>C7119</t>
  </si>
  <si>
    <t>P19253</t>
  </si>
  <si>
    <t>Product_4185</t>
  </si>
  <si>
    <t>S491</t>
  </si>
  <si>
    <t>O1000667</t>
  </si>
  <si>
    <t>C4478</t>
  </si>
  <si>
    <t>P70300</t>
  </si>
  <si>
    <t>Product_5516</t>
  </si>
  <si>
    <t>O1000668</t>
  </si>
  <si>
    <t>C8498</t>
  </si>
  <si>
    <t>P10134</t>
  </si>
  <si>
    <t>Product_7026</t>
  </si>
  <si>
    <t>S653</t>
  </si>
  <si>
    <t>O1000669</t>
  </si>
  <si>
    <t>C4371</t>
  </si>
  <si>
    <t>P28495</t>
  </si>
  <si>
    <t>Product_1174</t>
  </si>
  <si>
    <t>O1000670</t>
  </si>
  <si>
    <t>C1374</t>
  </si>
  <si>
    <t>P88156</t>
  </si>
  <si>
    <t>Product_9277</t>
  </si>
  <si>
    <t>O1000671</t>
  </si>
  <si>
    <t>C1774</t>
  </si>
  <si>
    <t>P56073</t>
  </si>
  <si>
    <t>Product_1510</t>
  </si>
  <si>
    <t>S645</t>
  </si>
  <si>
    <t>O1000672</t>
  </si>
  <si>
    <t>C9526</t>
  </si>
  <si>
    <t>P33293</t>
  </si>
  <si>
    <t>Product_2898</t>
  </si>
  <si>
    <t>S432</t>
  </si>
  <si>
    <t>O1000673</t>
  </si>
  <si>
    <t>C9954</t>
  </si>
  <si>
    <t>P98619</t>
  </si>
  <si>
    <t>O1000674</t>
  </si>
  <si>
    <t>C9430</t>
  </si>
  <si>
    <t>P90358</t>
  </si>
  <si>
    <t>Product_8120</t>
  </si>
  <si>
    <t>S269</t>
  </si>
  <si>
    <t>O1000675</t>
  </si>
  <si>
    <t>C4102</t>
  </si>
  <si>
    <t>P46364</t>
  </si>
  <si>
    <t>Product_6005</t>
  </si>
  <si>
    <t>S959</t>
  </si>
  <si>
    <t>O1000676</t>
  </si>
  <si>
    <t>C9186</t>
  </si>
  <si>
    <t>P46373</t>
  </si>
  <si>
    <t>Product_7296</t>
  </si>
  <si>
    <t>O1000677</t>
  </si>
  <si>
    <t>C5918</t>
  </si>
  <si>
    <t>P61738</t>
  </si>
  <si>
    <t>Product_2896</t>
  </si>
  <si>
    <t>O1000678</t>
  </si>
  <si>
    <t>C3673</t>
  </si>
  <si>
    <t>P78315</t>
  </si>
  <si>
    <t>Product_3445</t>
  </si>
  <si>
    <t>O1000679</t>
  </si>
  <si>
    <t>C2048</t>
  </si>
  <si>
    <t>P26292</t>
  </si>
  <si>
    <t>Product_3993</t>
  </si>
  <si>
    <t>S769</t>
  </si>
  <si>
    <t>O1000680</t>
  </si>
  <si>
    <t>C5154</t>
  </si>
  <si>
    <t>P96964</t>
  </si>
  <si>
    <t>Product_4809</t>
  </si>
  <si>
    <t>S952</t>
  </si>
  <si>
    <t>O1000681</t>
  </si>
  <si>
    <t>C3564</t>
  </si>
  <si>
    <t>P17484</t>
  </si>
  <si>
    <t>O1000682</t>
  </si>
  <si>
    <t>Product_6075</t>
  </si>
  <si>
    <t>S760</t>
  </si>
  <si>
    <t>O1000683</t>
  </si>
  <si>
    <t>C9119</t>
  </si>
  <si>
    <t>P15878</t>
  </si>
  <si>
    <t>Product_6811</t>
  </si>
  <si>
    <t>O1000684</t>
  </si>
  <si>
    <t>C1087</t>
  </si>
  <si>
    <t>P10542</t>
  </si>
  <si>
    <t>Product_7845</t>
  </si>
  <si>
    <t>S434</t>
  </si>
  <si>
    <t>O1000685</t>
  </si>
  <si>
    <t>C3301</t>
  </si>
  <si>
    <t>P44884</t>
  </si>
  <si>
    <t>Product_4326</t>
  </si>
  <si>
    <t>O1000686</t>
  </si>
  <si>
    <t>C2936</t>
  </si>
  <si>
    <t>P77772</t>
  </si>
  <si>
    <t>O1000687</t>
  </si>
  <si>
    <t>C3066</t>
  </si>
  <si>
    <t>P18207</t>
  </si>
  <si>
    <t>Product_2321</t>
  </si>
  <si>
    <t>O1000688</t>
  </si>
  <si>
    <t>C7763</t>
  </si>
  <si>
    <t>P14449</t>
  </si>
  <si>
    <t>Product_6065</t>
  </si>
  <si>
    <t>O1000689</t>
  </si>
  <si>
    <t>C6318</t>
  </si>
  <si>
    <t>P65785</t>
  </si>
  <si>
    <t>Product_4302</t>
  </si>
  <si>
    <t>O1000690</t>
  </si>
  <si>
    <t>C3562</t>
  </si>
  <si>
    <t>P95886</t>
  </si>
  <si>
    <t>Product_5076</t>
  </si>
  <si>
    <t>O1000691</t>
  </si>
  <si>
    <t>C7083</t>
  </si>
  <si>
    <t>P99244</t>
  </si>
  <si>
    <t>Product_1841</t>
  </si>
  <si>
    <t>S826</t>
  </si>
  <si>
    <t>O1000692</t>
  </si>
  <si>
    <t>C6352</t>
  </si>
  <si>
    <t>P16183</t>
  </si>
  <si>
    <t>Product_9581</t>
  </si>
  <si>
    <t>O1000693</t>
  </si>
  <si>
    <t>C7354</t>
  </si>
  <si>
    <t>P79673</t>
  </si>
  <si>
    <t>Product_5252</t>
  </si>
  <si>
    <t>O1000694</t>
  </si>
  <si>
    <t>C8006</t>
  </si>
  <si>
    <t>P12059</t>
  </si>
  <si>
    <t>Product_4376</t>
  </si>
  <si>
    <t>S708</t>
  </si>
  <si>
    <t>O1000695</t>
  </si>
  <si>
    <t>C5001</t>
  </si>
  <si>
    <t>P32823</t>
  </si>
  <si>
    <t>Product_8748</t>
  </si>
  <si>
    <t>S691</t>
  </si>
  <si>
    <t>O1000696</t>
  </si>
  <si>
    <t>C4842</t>
  </si>
  <si>
    <t>P35268</t>
  </si>
  <si>
    <t>Product_5838</t>
  </si>
  <si>
    <t>S266</t>
  </si>
  <si>
    <t>O1000697</t>
  </si>
  <si>
    <t>C3953</t>
  </si>
  <si>
    <t>P65247</t>
  </si>
  <si>
    <t>Product_9600</t>
  </si>
  <si>
    <t>S252</t>
  </si>
  <si>
    <t>O1000698</t>
  </si>
  <si>
    <t>C1879</t>
  </si>
  <si>
    <t>P58601</t>
  </si>
  <si>
    <t>Product_6831</t>
  </si>
  <si>
    <t>O1000699</t>
  </si>
  <si>
    <t>C6987</t>
  </si>
  <si>
    <t>P14439</t>
  </si>
  <si>
    <t>Product_1853</t>
  </si>
  <si>
    <t>S488</t>
  </si>
  <si>
    <t>O1000700</t>
  </si>
  <si>
    <t>C5868</t>
  </si>
  <si>
    <t>P73410</t>
  </si>
  <si>
    <t>Product_4907</t>
  </si>
  <si>
    <t>S997</t>
  </si>
  <si>
    <t>O1000701</t>
  </si>
  <si>
    <t>C6914</t>
  </si>
  <si>
    <t>P53553</t>
  </si>
  <si>
    <t>Product_4804</t>
  </si>
  <si>
    <t>S821</t>
  </si>
  <si>
    <t>O1000702</t>
  </si>
  <si>
    <t>P77323</t>
  </si>
  <si>
    <t>Product_6666</t>
  </si>
  <si>
    <t>O1000703</t>
  </si>
  <si>
    <t>C4755</t>
  </si>
  <si>
    <t>P69809</t>
  </si>
  <si>
    <t>Product_2798</t>
  </si>
  <si>
    <t>S147</t>
  </si>
  <si>
    <t>O1000704</t>
  </si>
  <si>
    <t>C2590</t>
  </si>
  <si>
    <t>P20979</t>
  </si>
  <si>
    <t>Product_7787</t>
  </si>
  <si>
    <t>S706</t>
  </si>
  <si>
    <t>O1000705</t>
  </si>
  <si>
    <t>C7085</t>
  </si>
  <si>
    <t>P67084</t>
  </si>
  <si>
    <t>Product_7718</t>
  </si>
  <si>
    <t>O1000706</t>
  </si>
  <si>
    <t>C9053</t>
  </si>
  <si>
    <t>P72698</t>
  </si>
  <si>
    <t>Product_9890</t>
  </si>
  <si>
    <t>S494</t>
  </si>
  <si>
    <t>O1000707</t>
  </si>
  <si>
    <t>C1011</t>
  </si>
  <si>
    <t>P15513</t>
  </si>
  <si>
    <t>Product_2497</t>
  </si>
  <si>
    <t>O1000708</t>
  </si>
  <si>
    <t>C2429</t>
  </si>
  <si>
    <t>P52525</t>
  </si>
  <si>
    <t>Product_9337</t>
  </si>
  <si>
    <t>O1000709</t>
  </si>
  <si>
    <t>C9378</t>
  </si>
  <si>
    <t>P13170</t>
  </si>
  <si>
    <t>Product_9640</t>
  </si>
  <si>
    <t>O1000710</t>
  </si>
  <si>
    <t>C1647</t>
  </si>
  <si>
    <t>P48305</t>
  </si>
  <si>
    <t>Product_4470</t>
  </si>
  <si>
    <t>S346</t>
  </si>
  <si>
    <t>O1000711</t>
  </si>
  <si>
    <t>C1856</t>
  </si>
  <si>
    <t>P91635</t>
  </si>
  <si>
    <t>Product_8707</t>
  </si>
  <si>
    <t>S683</t>
  </si>
  <si>
    <t>O1000712</t>
  </si>
  <si>
    <t>C8162</t>
  </si>
  <si>
    <t>P80523</t>
  </si>
  <si>
    <t>Product_3651</t>
  </si>
  <si>
    <t>S383</t>
  </si>
  <si>
    <t>O1000713</t>
  </si>
  <si>
    <t>C2895</t>
  </si>
  <si>
    <t>P16014</t>
  </si>
  <si>
    <t>Product_1890</t>
  </si>
  <si>
    <t>O1000714</t>
  </si>
  <si>
    <t>C3661</t>
  </si>
  <si>
    <t>P64912</t>
  </si>
  <si>
    <t>Product_8963</t>
  </si>
  <si>
    <t>S920</t>
  </si>
  <si>
    <t>O1000715</t>
  </si>
  <si>
    <t>C8905</t>
  </si>
  <si>
    <t>P71113</t>
  </si>
  <si>
    <t>Product_6290</t>
  </si>
  <si>
    <t>S596</t>
  </si>
  <si>
    <t>O1000716</t>
  </si>
  <si>
    <t>C4212</t>
  </si>
  <si>
    <t>P51867</t>
  </si>
  <si>
    <t>Product_6370</t>
  </si>
  <si>
    <t>O1000717</t>
  </si>
  <si>
    <t>C2181</t>
  </si>
  <si>
    <t>P58667</t>
  </si>
  <si>
    <t>Product_4049</t>
  </si>
  <si>
    <t>S280</t>
  </si>
  <si>
    <t>O1000718</t>
  </si>
  <si>
    <t>C3897</t>
  </si>
  <si>
    <t>P29124</t>
  </si>
  <si>
    <t>Product_3382</t>
  </si>
  <si>
    <t>O1000719</t>
  </si>
  <si>
    <t>C7929</t>
  </si>
  <si>
    <t>P28260</t>
  </si>
  <si>
    <t>Product_6482</t>
  </si>
  <si>
    <t>O1000720</t>
  </si>
  <si>
    <t>C7966</t>
  </si>
  <si>
    <t>P62510</t>
  </si>
  <si>
    <t>Product_2956</t>
  </si>
  <si>
    <t>O1000721</t>
  </si>
  <si>
    <t>C9746</t>
  </si>
  <si>
    <t>P87903</t>
  </si>
  <si>
    <t>Product_8514</t>
  </si>
  <si>
    <t>O1000722</t>
  </si>
  <si>
    <t>C5598</t>
  </si>
  <si>
    <t>P76302</t>
  </si>
  <si>
    <t>Product_6017</t>
  </si>
  <si>
    <t>S168</t>
  </si>
  <si>
    <t>O1000723</t>
  </si>
  <si>
    <t>C1554</t>
  </si>
  <si>
    <t>P75289</t>
  </si>
  <si>
    <t>Product_6114</t>
  </si>
  <si>
    <t>O1000724</t>
  </si>
  <si>
    <t>C8330</t>
  </si>
  <si>
    <t>P11679</t>
  </si>
  <si>
    <t>Product_1010</t>
  </si>
  <si>
    <t>S515</t>
  </si>
  <si>
    <t>O1000725</t>
  </si>
  <si>
    <t>C8116</t>
  </si>
  <si>
    <t>P13359</t>
  </si>
  <si>
    <t>Product_1129</t>
  </si>
  <si>
    <t>O1000726</t>
  </si>
  <si>
    <t>C5207</t>
  </si>
  <si>
    <t>P81080</t>
  </si>
  <si>
    <t>Product_2727</t>
  </si>
  <si>
    <t>S624</t>
  </si>
  <si>
    <t>O1000727</t>
  </si>
  <si>
    <t>C8122</t>
  </si>
  <si>
    <t>P34635</t>
  </si>
  <si>
    <t>Product_4603</t>
  </si>
  <si>
    <t>O1000728</t>
  </si>
  <si>
    <t>C2700</t>
  </si>
  <si>
    <t>P39667</t>
  </si>
  <si>
    <t>Product_2854</t>
  </si>
  <si>
    <t>S539</t>
  </si>
  <si>
    <t>O1000729</t>
  </si>
  <si>
    <t>C5440</t>
  </si>
  <si>
    <t>P67662</t>
  </si>
  <si>
    <t>Product_7957</t>
  </si>
  <si>
    <t>O1000730</t>
  </si>
  <si>
    <t>C1675</t>
  </si>
  <si>
    <t>P36173</t>
  </si>
  <si>
    <t>Product_1656</t>
  </si>
  <si>
    <t>O1000731</t>
  </si>
  <si>
    <t>C2208</t>
  </si>
  <si>
    <t>P84460</t>
  </si>
  <si>
    <t>Product_4716</t>
  </si>
  <si>
    <t>S433</t>
  </si>
  <si>
    <t>O1000732</t>
  </si>
  <si>
    <t>C7424</t>
  </si>
  <si>
    <t>P44999</t>
  </si>
  <si>
    <t>Product_9446</t>
  </si>
  <si>
    <t>S912</t>
  </si>
  <si>
    <t>O1000733</t>
  </si>
  <si>
    <t>C7595</t>
  </si>
  <si>
    <t>P86976</t>
  </si>
  <si>
    <t>Product_4738</t>
  </si>
  <si>
    <t>O1000734</t>
  </si>
  <si>
    <t>C1254</t>
  </si>
  <si>
    <t>P98503</t>
  </si>
  <si>
    <t>Product_2789</t>
  </si>
  <si>
    <t>O1000735</t>
  </si>
  <si>
    <t>C7745</t>
  </si>
  <si>
    <t>P41962</t>
  </si>
  <si>
    <t>Product_2639</t>
  </si>
  <si>
    <t>S955</t>
  </si>
  <si>
    <t>O1000736</t>
  </si>
  <si>
    <t>C3829</t>
  </si>
  <si>
    <t>P64275</t>
  </si>
  <si>
    <t>Product_6638</t>
  </si>
  <si>
    <t>O1000737</t>
  </si>
  <si>
    <t>C9303</t>
  </si>
  <si>
    <t>P62717</t>
  </si>
  <si>
    <t>Product_8980</t>
  </si>
  <si>
    <t>S382</t>
  </si>
  <si>
    <t>O1000738</t>
  </si>
  <si>
    <t>C5214</t>
  </si>
  <si>
    <t>P32670</t>
  </si>
  <si>
    <t>Product_8283</t>
  </si>
  <si>
    <t>O1000739</t>
  </si>
  <si>
    <t>C6397</t>
  </si>
  <si>
    <t>P91343</t>
  </si>
  <si>
    <t>O1000740</t>
  </si>
  <si>
    <t>C9817</t>
  </si>
  <si>
    <t>P78050</t>
  </si>
  <si>
    <t>Product_7764</t>
  </si>
  <si>
    <t>O1000741</t>
  </si>
  <si>
    <t>C4458</t>
  </si>
  <si>
    <t>P46796</t>
  </si>
  <si>
    <t>Product_2002</t>
  </si>
  <si>
    <t>S984</t>
  </si>
  <si>
    <t>O1000742</t>
  </si>
  <si>
    <t>C6879</t>
  </si>
  <si>
    <t>P70953</t>
  </si>
  <si>
    <t>Product_8148</t>
  </si>
  <si>
    <t>O1000743</t>
  </si>
  <si>
    <t>C5863</t>
  </si>
  <si>
    <t>P21712</t>
  </si>
  <si>
    <t>Product_5471</t>
  </si>
  <si>
    <t>O1000744</t>
  </si>
  <si>
    <t>C3063</t>
  </si>
  <si>
    <t>P21114</t>
  </si>
  <si>
    <t>Product_7599</t>
  </si>
  <si>
    <t>S626</t>
  </si>
  <si>
    <t>O1000745</t>
  </si>
  <si>
    <t>C1921</t>
  </si>
  <si>
    <t>P87287</t>
  </si>
  <si>
    <t>Product_5588</t>
  </si>
  <si>
    <t>O1000746</t>
  </si>
  <si>
    <t>C8415</t>
  </si>
  <si>
    <t>P76450</t>
  </si>
  <si>
    <t>Product_6935</t>
  </si>
  <si>
    <t>O1000747</t>
  </si>
  <si>
    <t>P15095</t>
  </si>
  <si>
    <t>Product_9726</t>
  </si>
  <si>
    <t>O1000748</t>
  </si>
  <si>
    <t>C9254</t>
  </si>
  <si>
    <t>P35383</t>
  </si>
  <si>
    <t>Product_8143</t>
  </si>
  <si>
    <t>S838</t>
  </si>
  <si>
    <t>O1000749</t>
  </si>
  <si>
    <t>C9139</t>
  </si>
  <si>
    <t>P47668</t>
  </si>
  <si>
    <t>Product_1287</t>
  </si>
  <si>
    <t>S979</t>
  </si>
  <si>
    <t>O1000750</t>
  </si>
  <si>
    <t>C5029</t>
  </si>
  <si>
    <t>P38088</t>
  </si>
  <si>
    <t>Product_3801</t>
  </si>
  <si>
    <t>O1000751</t>
  </si>
  <si>
    <t>C1414</t>
  </si>
  <si>
    <t>P46221</t>
  </si>
  <si>
    <t>Product_7899</t>
  </si>
  <si>
    <t>O1000752</t>
  </si>
  <si>
    <t>C7883</t>
  </si>
  <si>
    <t>P35151</t>
  </si>
  <si>
    <t>Product_4929</t>
  </si>
  <si>
    <t>S153</t>
  </si>
  <si>
    <t>O1000753</t>
  </si>
  <si>
    <t>C9621</t>
  </si>
  <si>
    <t>P99962</t>
  </si>
  <si>
    <t>Product_1457</t>
  </si>
  <si>
    <t>O1000754</t>
  </si>
  <si>
    <t>C2076</t>
  </si>
  <si>
    <t>P28093</t>
  </si>
  <si>
    <t>Product_6711</t>
  </si>
  <si>
    <t>S275</t>
  </si>
  <si>
    <t>O1000755</t>
  </si>
  <si>
    <t>C6667</t>
  </si>
  <si>
    <t>P60605</t>
  </si>
  <si>
    <t>O1000756</t>
  </si>
  <si>
    <t>C5062</t>
  </si>
  <si>
    <t>P61624</t>
  </si>
  <si>
    <t>S365</t>
  </si>
  <si>
    <t>O1000757</t>
  </si>
  <si>
    <t>C6032</t>
  </si>
  <si>
    <t>P61362</t>
  </si>
  <si>
    <t>Product_5792</t>
  </si>
  <si>
    <t>O1000758</t>
  </si>
  <si>
    <t>C8166</t>
  </si>
  <si>
    <t>P38032</t>
  </si>
  <si>
    <t>Product_8983</t>
  </si>
  <si>
    <t>O1000759</t>
  </si>
  <si>
    <t>C5428</t>
  </si>
  <si>
    <t>P94289</t>
  </si>
  <si>
    <t>Product_7029</t>
  </si>
  <si>
    <t>S436</t>
  </si>
  <si>
    <t>O1000760</t>
  </si>
  <si>
    <t>C2124</t>
  </si>
  <si>
    <t>P30233</t>
  </si>
  <si>
    <t>S895</t>
  </si>
  <si>
    <t>O1000761</t>
  </si>
  <si>
    <t>C7940</t>
  </si>
  <si>
    <t>P12156</t>
  </si>
  <si>
    <t>Product_6088</t>
  </si>
  <si>
    <t>O1000762</t>
  </si>
  <si>
    <t>C2229</t>
  </si>
  <si>
    <t>P94377</t>
  </si>
  <si>
    <t>Product_6887</t>
  </si>
  <si>
    <t>S534</t>
  </si>
  <si>
    <t>O1000763</t>
  </si>
  <si>
    <t>C2768</t>
  </si>
  <si>
    <t>P31365</t>
  </si>
  <si>
    <t>Product_7672</t>
  </si>
  <si>
    <t>O1000764</t>
  </si>
  <si>
    <t>P32369</t>
  </si>
  <si>
    <t>Product_1094</t>
  </si>
  <si>
    <t>S632</t>
  </si>
  <si>
    <t>O1000765</t>
  </si>
  <si>
    <t>C9844</t>
  </si>
  <si>
    <t>P95646</t>
  </si>
  <si>
    <t>Product_7299</t>
  </si>
  <si>
    <t>S765</t>
  </si>
  <si>
    <t>O1000766</t>
  </si>
  <si>
    <t>P85574</t>
  </si>
  <si>
    <t>Product_3495</t>
  </si>
  <si>
    <t>S197</t>
  </si>
  <si>
    <t>O1000767</t>
  </si>
  <si>
    <t>C9587</t>
  </si>
  <si>
    <t>P71638</t>
  </si>
  <si>
    <t>Product_3939</t>
  </si>
  <si>
    <t>O1000768</t>
  </si>
  <si>
    <t>C2447</t>
  </si>
  <si>
    <t>P62353</t>
  </si>
  <si>
    <t>Product_6808</t>
  </si>
  <si>
    <t>O1000769</t>
  </si>
  <si>
    <t>C1690</t>
  </si>
  <si>
    <t>P94991</t>
  </si>
  <si>
    <t>Product_1851</t>
  </si>
  <si>
    <t>O1000770</t>
  </si>
  <si>
    <t>C5797</t>
  </si>
  <si>
    <t>P81021</t>
  </si>
  <si>
    <t>Product_9138</t>
  </si>
  <si>
    <t>O1000771</t>
  </si>
  <si>
    <t>C6416</t>
  </si>
  <si>
    <t>P71708</t>
  </si>
  <si>
    <t>S682</t>
  </si>
  <si>
    <t>O1000772</t>
  </si>
  <si>
    <t>C1313</t>
  </si>
  <si>
    <t>P26228</t>
  </si>
  <si>
    <t>Product_7391</t>
  </si>
  <si>
    <t>O1000773</t>
  </si>
  <si>
    <t>C2706</t>
  </si>
  <si>
    <t>P90278</t>
  </si>
  <si>
    <t>S355</t>
  </si>
  <si>
    <t>O1000774</t>
  </si>
  <si>
    <t>C1703</t>
  </si>
  <si>
    <t>P71180</t>
  </si>
  <si>
    <t>Product_1388</t>
  </si>
  <si>
    <t>S627</t>
  </si>
  <si>
    <t>O1000775</t>
  </si>
  <si>
    <t>C6260</t>
  </si>
  <si>
    <t>P48113</t>
  </si>
  <si>
    <t>Product_4588</t>
  </si>
  <si>
    <t>S980</t>
  </si>
  <si>
    <t>O1000776</t>
  </si>
  <si>
    <t>C4240</t>
  </si>
  <si>
    <t>P25005</t>
  </si>
  <si>
    <t>Product_5108</t>
  </si>
  <si>
    <t>S641</t>
  </si>
  <si>
    <t>O1000777</t>
  </si>
  <si>
    <t>C5608</t>
  </si>
  <si>
    <t>P74370</t>
  </si>
  <si>
    <t>Product_3786</t>
  </si>
  <si>
    <t>O1000778</t>
  </si>
  <si>
    <t>C7900</t>
  </si>
  <si>
    <t>P79103</t>
  </si>
  <si>
    <t>Product_9948</t>
  </si>
  <si>
    <t>S496</t>
  </si>
  <si>
    <t>O1000779</t>
  </si>
  <si>
    <t>C4456</t>
  </si>
  <si>
    <t>P52769</t>
  </si>
  <si>
    <t>Product_3573</t>
  </si>
  <si>
    <t>O1000780</t>
  </si>
  <si>
    <t>C1359</t>
  </si>
  <si>
    <t>P69940</t>
  </si>
  <si>
    <t>Product_6320</t>
  </si>
  <si>
    <t>O1000781</t>
  </si>
  <si>
    <t>C9881</t>
  </si>
  <si>
    <t>P91243</t>
  </si>
  <si>
    <t>O1000782</t>
  </si>
  <si>
    <t>P36480</t>
  </si>
  <si>
    <t>Product_6574</t>
  </si>
  <si>
    <t>S126</t>
  </si>
  <si>
    <t>O1000783</t>
  </si>
  <si>
    <t>C8687</t>
  </si>
  <si>
    <t>P18969</t>
  </si>
  <si>
    <t>O1000784</t>
  </si>
  <si>
    <t>C2237</t>
  </si>
  <si>
    <t>P37660</t>
  </si>
  <si>
    <t>Product_5667</t>
  </si>
  <si>
    <t>O1000785</t>
  </si>
  <si>
    <t>C6559</t>
  </si>
  <si>
    <t>P67872</t>
  </si>
  <si>
    <t>Product_6839</t>
  </si>
  <si>
    <t>O1000786</t>
  </si>
  <si>
    <t>C9997</t>
  </si>
  <si>
    <t>P10521</t>
  </si>
  <si>
    <t>Product_2755</t>
  </si>
  <si>
    <t>S638</t>
  </si>
  <si>
    <t>O1000787</t>
  </si>
  <si>
    <t>C3966</t>
  </si>
  <si>
    <t>P29031</t>
  </si>
  <si>
    <t>Product_4441</t>
  </si>
  <si>
    <t>O1000788</t>
  </si>
  <si>
    <t>C1505</t>
  </si>
  <si>
    <t>P58798</t>
  </si>
  <si>
    <t>O1000789</t>
  </si>
  <si>
    <t>C3132</t>
  </si>
  <si>
    <t>P10077</t>
  </si>
  <si>
    <t>Product_2926</t>
  </si>
  <si>
    <t>S587</t>
  </si>
  <si>
    <t>O1000790</t>
  </si>
  <si>
    <t>C3468</t>
  </si>
  <si>
    <t>P46617</t>
  </si>
  <si>
    <t>Product_1749</t>
  </si>
  <si>
    <t>O1000791</t>
  </si>
  <si>
    <t>C3158</t>
  </si>
  <si>
    <t>P15371</t>
  </si>
  <si>
    <t>Product_3143</t>
  </si>
  <si>
    <t>O1000792</t>
  </si>
  <si>
    <t>C1293</t>
  </si>
  <si>
    <t>P81834</t>
  </si>
  <si>
    <t>Product_8712</t>
  </si>
  <si>
    <t>S136</t>
  </si>
  <si>
    <t>O1000793</t>
  </si>
  <si>
    <t>C2773</t>
  </si>
  <si>
    <t>P84735</t>
  </si>
  <si>
    <t>Product_9712</t>
  </si>
  <si>
    <t>O1000794</t>
  </si>
  <si>
    <t>C6191</t>
  </si>
  <si>
    <t>P72367</t>
  </si>
  <si>
    <t>Product_3694</t>
  </si>
  <si>
    <t>S296</t>
  </si>
  <si>
    <t>O1000795</t>
  </si>
  <si>
    <t>C3830</t>
  </si>
  <si>
    <t>P43894</t>
  </si>
  <si>
    <t>Product_4106</t>
  </si>
  <si>
    <t>O1000796</t>
  </si>
  <si>
    <t>C4429</t>
  </si>
  <si>
    <t>P85123</t>
  </si>
  <si>
    <t>Product_1660</t>
  </si>
  <si>
    <t>O1000797</t>
  </si>
  <si>
    <t>C4772</t>
  </si>
  <si>
    <t>P23051</t>
  </si>
  <si>
    <t>Product_1694</t>
  </si>
  <si>
    <t>O1000798</t>
  </si>
  <si>
    <t>C7817</t>
  </si>
  <si>
    <t>P22569</t>
  </si>
  <si>
    <t>Product_3086</t>
  </si>
  <si>
    <t>O1000799</t>
  </si>
  <si>
    <t>C3342</t>
  </si>
  <si>
    <t>P42924</t>
  </si>
  <si>
    <t>Product_3103</t>
  </si>
  <si>
    <t>O1000800</t>
  </si>
  <si>
    <t>C7782</t>
  </si>
  <si>
    <t>P76636</t>
  </si>
  <si>
    <t>Product_9139</t>
  </si>
  <si>
    <t>O1000801</t>
  </si>
  <si>
    <t>C9444</t>
  </si>
  <si>
    <t>P36407</t>
  </si>
  <si>
    <t>Product_8936</t>
  </si>
  <si>
    <t>O1000802</t>
  </si>
  <si>
    <t>C7673</t>
  </si>
  <si>
    <t>P75377</t>
  </si>
  <si>
    <t>O1000803</t>
  </si>
  <si>
    <t>C9733</t>
  </si>
  <si>
    <t>P81570</t>
  </si>
  <si>
    <t>Product_6126</t>
  </si>
  <si>
    <t>O1000804</t>
  </si>
  <si>
    <t>C1082</t>
  </si>
  <si>
    <t>P62889</t>
  </si>
  <si>
    <t>Product_5135</t>
  </si>
  <si>
    <t>O1000805</t>
  </si>
  <si>
    <t>C7360</t>
  </si>
  <si>
    <t>P88821</t>
  </si>
  <si>
    <t>O1000806</t>
  </si>
  <si>
    <t>C6967</t>
  </si>
  <si>
    <t>P14270</t>
  </si>
  <si>
    <t>Product_8083</t>
  </si>
  <si>
    <t>O1000807</t>
  </si>
  <si>
    <t>C2035</t>
  </si>
  <si>
    <t>P53228</t>
  </si>
  <si>
    <t>Product_7381</t>
  </si>
  <si>
    <t>O1000808</t>
  </si>
  <si>
    <t>C8504</t>
  </si>
  <si>
    <t>P49557</t>
  </si>
  <si>
    <t>Product_5129</t>
  </si>
  <si>
    <t>O1000809</t>
  </si>
  <si>
    <t>C6680</t>
  </si>
  <si>
    <t>P71466</t>
  </si>
  <si>
    <t>Product_6295</t>
  </si>
  <si>
    <t>S158</t>
  </si>
  <si>
    <t>O1000810</t>
  </si>
  <si>
    <t>C4942</t>
  </si>
  <si>
    <t>P15716</t>
  </si>
  <si>
    <t>Product_4790</t>
  </si>
  <si>
    <t>S793</t>
  </si>
  <si>
    <t>O1000811</t>
  </si>
  <si>
    <t>C4646</t>
  </si>
  <si>
    <t>P34742</t>
  </si>
  <si>
    <t>Product_9516</t>
  </si>
  <si>
    <t>S301</t>
  </si>
  <si>
    <t>O1000812</t>
  </si>
  <si>
    <t>C2125</t>
  </si>
  <si>
    <t>P27685</t>
  </si>
  <si>
    <t>Product_8317</t>
  </si>
  <si>
    <t>S658</t>
  </si>
  <si>
    <t>O1000813</t>
  </si>
  <si>
    <t>P93624</t>
  </si>
  <si>
    <t>Product_5704</t>
  </si>
  <si>
    <t>S654</t>
  </si>
  <si>
    <t>O1000814</t>
  </si>
  <si>
    <t>C2080</t>
  </si>
  <si>
    <t>P65260</t>
  </si>
  <si>
    <t>Product_5666</t>
  </si>
  <si>
    <t>S733</t>
  </si>
  <si>
    <t>O1000815</t>
  </si>
  <si>
    <t>C2060</t>
  </si>
  <si>
    <t>P91790</t>
  </si>
  <si>
    <t>Product_2887</t>
  </si>
  <si>
    <t>S774</t>
  </si>
  <si>
    <t>O1000816</t>
  </si>
  <si>
    <t>C6147</t>
  </si>
  <si>
    <t>P64863</t>
  </si>
  <si>
    <t>Product_7321</t>
  </si>
  <si>
    <t>O1000817</t>
  </si>
  <si>
    <t>C8608</t>
  </si>
  <si>
    <t>P32583</t>
  </si>
  <si>
    <t>O1000818</t>
  </si>
  <si>
    <t>C8455</t>
  </si>
  <si>
    <t>P83283</t>
  </si>
  <si>
    <t>Product_7134</t>
  </si>
  <si>
    <t>O1000819</t>
  </si>
  <si>
    <t>C6655</t>
  </si>
  <si>
    <t>P38896</t>
  </si>
  <si>
    <t>Product_3681</t>
  </si>
  <si>
    <t>S102</t>
  </si>
  <si>
    <t>O1000820</t>
  </si>
  <si>
    <t>C9678</t>
  </si>
  <si>
    <t>P31144</t>
  </si>
  <si>
    <t>Product_2754</t>
  </si>
  <si>
    <t>O1000821</t>
  </si>
  <si>
    <t>C4767</t>
  </si>
  <si>
    <t>P38899</t>
  </si>
  <si>
    <t>S210</t>
  </si>
  <si>
    <t>O1000822</t>
  </si>
  <si>
    <t>C2480</t>
  </si>
  <si>
    <t>P23482</t>
  </si>
  <si>
    <t>O1000823</t>
  </si>
  <si>
    <t>C3887</t>
  </si>
  <si>
    <t>P31753</t>
  </si>
  <si>
    <t>Product_3414</t>
  </si>
  <si>
    <t>O1000824</t>
  </si>
  <si>
    <t>C1542</t>
  </si>
  <si>
    <t>P64998</t>
  </si>
  <si>
    <t>Product_6696</t>
  </si>
  <si>
    <t>O1000825</t>
  </si>
  <si>
    <t>C8016</t>
  </si>
  <si>
    <t>P74738</t>
  </si>
  <si>
    <t>Product_8990</t>
  </si>
  <si>
    <t>O1000826</t>
  </si>
  <si>
    <t>P61445</t>
  </si>
  <si>
    <t>Product_1481</t>
  </si>
  <si>
    <t>O1000827</t>
  </si>
  <si>
    <t>P60187</t>
  </si>
  <si>
    <t>Product_2630</t>
  </si>
  <si>
    <t>O1000828</t>
  </si>
  <si>
    <t>C5180</t>
  </si>
  <si>
    <t>P28713</t>
  </si>
  <si>
    <t>Product_6257</t>
  </si>
  <si>
    <t>O1000829</t>
  </si>
  <si>
    <t>C3662</t>
  </si>
  <si>
    <t>P68462</t>
  </si>
  <si>
    <t>Product_6042</t>
  </si>
  <si>
    <t>S372</t>
  </si>
  <si>
    <t>O1000830</t>
  </si>
  <si>
    <t>C8524</t>
  </si>
  <si>
    <t>P56257</t>
  </si>
  <si>
    <t>Product_6168</t>
  </si>
  <si>
    <t>O1000831</t>
  </si>
  <si>
    <t>C1733</t>
  </si>
  <si>
    <t>P36807</t>
  </si>
  <si>
    <t>Product_5893</t>
  </si>
  <si>
    <t>S422</t>
  </si>
  <si>
    <t>O1000832</t>
  </si>
  <si>
    <t>C2453</t>
  </si>
  <si>
    <t>P53867</t>
  </si>
  <si>
    <t>Product_7038</t>
  </si>
  <si>
    <t>O1000833</t>
  </si>
  <si>
    <t>C4113</t>
  </si>
  <si>
    <t>P11748</t>
  </si>
  <si>
    <t>Product_1187</t>
  </si>
  <si>
    <t>O1000834</t>
  </si>
  <si>
    <t>C8462</t>
  </si>
  <si>
    <t>P16109</t>
  </si>
  <si>
    <t>Product_9897</t>
  </si>
  <si>
    <t>O1000835</t>
  </si>
  <si>
    <t>C7316</t>
  </si>
  <si>
    <t>P30998</t>
  </si>
  <si>
    <t>Product_4621</t>
  </si>
  <si>
    <t>O1000836</t>
  </si>
  <si>
    <t>C8227</t>
  </si>
  <si>
    <t>P86441</t>
  </si>
  <si>
    <t>S575</t>
  </si>
  <si>
    <t>O1000837</t>
  </si>
  <si>
    <t>C9065</t>
  </si>
  <si>
    <t>P13787</t>
  </si>
  <si>
    <t>S741</t>
  </si>
  <si>
    <t>O1000838</t>
  </si>
  <si>
    <t>C8120</t>
  </si>
  <si>
    <t>P75632</t>
  </si>
  <si>
    <t>Product_8094</t>
  </si>
  <si>
    <t>O1000839</t>
  </si>
  <si>
    <t>C1720</t>
  </si>
  <si>
    <t>P44858</t>
  </si>
  <si>
    <t>Product_7003</t>
  </si>
  <si>
    <t>S466</t>
  </si>
  <si>
    <t>O1000840</t>
  </si>
  <si>
    <t>C4320</t>
  </si>
  <si>
    <t>P42649</t>
  </si>
  <si>
    <t>O1000841</t>
  </si>
  <si>
    <t>C7282</t>
  </si>
  <si>
    <t>P30893</t>
  </si>
  <si>
    <t>O1000842</t>
  </si>
  <si>
    <t>C9209</t>
  </si>
  <si>
    <t>P69327</t>
  </si>
  <si>
    <t>Product_8115</t>
  </si>
  <si>
    <t>O1000843</t>
  </si>
  <si>
    <t>C9598</t>
  </si>
  <si>
    <t>P32815</t>
  </si>
  <si>
    <t>Product_4280</t>
  </si>
  <si>
    <t>S351</t>
  </si>
  <si>
    <t>O1000844</t>
  </si>
  <si>
    <t>C8160</t>
  </si>
  <si>
    <t>P56956</t>
  </si>
  <si>
    <t>Product_8136</t>
  </si>
  <si>
    <t>S463</t>
  </si>
  <si>
    <t>O1000845</t>
  </si>
  <si>
    <t>C4776</t>
  </si>
  <si>
    <t>P48282</t>
  </si>
  <si>
    <t>Product_1404</t>
  </si>
  <si>
    <t>O1000846</t>
  </si>
  <si>
    <t>C6550</t>
  </si>
  <si>
    <t>P78437</t>
  </si>
  <si>
    <t>S276</t>
  </si>
  <si>
    <t>O1000847</t>
  </si>
  <si>
    <t>C5336</t>
  </si>
  <si>
    <t>P53638</t>
  </si>
  <si>
    <t>O1000848</t>
  </si>
  <si>
    <t>C4769</t>
  </si>
  <si>
    <t>P37389</t>
  </si>
  <si>
    <t>Product_4783</t>
  </si>
  <si>
    <t>O1000849</t>
  </si>
  <si>
    <t>C4536</t>
  </si>
  <si>
    <t>P76163</t>
  </si>
  <si>
    <t>Product_8672</t>
  </si>
  <si>
    <t>S497</t>
  </si>
  <si>
    <t>O1000850</t>
  </si>
  <si>
    <t>C2260</t>
  </si>
  <si>
    <t>P26746</t>
  </si>
  <si>
    <t>Product_8812</t>
  </si>
  <si>
    <t>S230</t>
  </si>
  <si>
    <t>O1000851</t>
  </si>
  <si>
    <t>C6501</t>
  </si>
  <si>
    <t>P77294</t>
  </si>
  <si>
    <t>Product_1964</t>
  </si>
  <si>
    <t>O1000852</t>
  </si>
  <si>
    <t>C2956</t>
  </si>
  <si>
    <t>P66088</t>
  </si>
  <si>
    <t>Product_7187</t>
  </si>
  <si>
    <t>O1000853</t>
  </si>
  <si>
    <t>C3406</t>
  </si>
  <si>
    <t>P57544</t>
  </si>
  <si>
    <t>Product_6339</t>
  </si>
  <si>
    <t>S286</t>
  </si>
  <si>
    <t>O1000854</t>
  </si>
  <si>
    <t>C6084</t>
  </si>
  <si>
    <t>P33115</t>
  </si>
  <si>
    <t>Product_2103</t>
  </si>
  <si>
    <t>O1000855</t>
  </si>
  <si>
    <t>C4193</t>
  </si>
  <si>
    <t>P85005</t>
  </si>
  <si>
    <t>Product_2169</t>
  </si>
  <si>
    <t>O1000856</t>
  </si>
  <si>
    <t>C7124</t>
  </si>
  <si>
    <t>P27407</t>
  </si>
  <si>
    <t>Product_5691</t>
  </si>
  <si>
    <t>O1000857</t>
  </si>
  <si>
    <t>C5367</t>
  </si>
  <si>
    <t>P97479</t>
  </si>
  <si>
    <t>Product_6379</t>
  </si>
  <si>
    <t>O1000858</t>
  </si>
  <si>
    <t>C8610</t>
  </si>
  <si>
    <t>P86922</t>
  </si>
  <si>
    <t>Product_9717</t>
  </si>
  <si>
    <t>O1000859</t>
  </si>
  <si>
    <t>C5909</t>
  </si>
  <si>
    <t>P28132</t>
  </si>
  <si>
    <t>O1000860</t>
  </si>
  <si>
    <t>C2269</t>
  </si>
  <si>
    <t>P42458</t>
  </si>
  <si>
    <t>Product_6549</t>
  </si>
  <si>
    <t>O1000861</t>
  </si>
  <si>
    <t>C8612</t>
  </si>
  <si>
    <t>P39055</t>
  </si>
  <si>
    <t>Product_7843</t>
  </si>
  <si>
    <t>S848</t>
  </si>
  <si>
    <t>O1000862</t>
  </si>
  <si>
    <t>C2739</t>
  </si>
  <si>
    <t>P21266</t>
  </si>
  <si>
    <t>Product_1619</t>
  </si>
  <si>
    <t>O1000863</t>
  </si>
  <si>
    <t>C7821</t>
  </si>
  <si>
    <t>P76589</t>
  </si>
  <si>
    <t>S452</t>
  </si>
  <si>
    <t>O1000864</t>
  </si>
  <si>
    <t>C4081</t>
  </si>
  <si>
    <t>P54647</t>
  </si>
  <si>
    <t>Product_3009</t>
  </si>
  <si>
    <t>O1000865</t>
  </si>
  <si>
    <t>C9470</t>
  </si>
  <si>
    <t>P18542</t>
  </si>
  <si>
    <t>Product_8447</t>
  </si>
  <si>
    <t>S748</t>
  </si>
  <si>
    <t>O1000866</t>
  </si>
  <si>
    <t>C9606</t>
  </si>
  <si>
    <t>P31071</t>
  </si>
  <si>
    <t>Product_3212</t>
  </si>
  <si>
    <t>O1000867</t>
  </si>
  <si>
    <t>C9460</t>
  </si>
  <si>
    <t>P80793</t>
  </si>
  <si>
    <t>Product_9330</t>
  </si>
  <si>
    <t>O1000868</t>
  </si>
  <si>
    <t>C9455</t>
  </si>
  <si>
    <t>P43354</t>
  </si>
  <si>
    <t>Product_8122</t>
  </si>
  <si>
    <t>O1000869</t>
  </si>
  <si>
    <t>C7324</t>
  </si>
  <si>
    <t>P21401</t>
  </si>
  <si>
    <t>Product_7290</t>
  </si>
  <si>
    <t>O1000870</t>
  </si>
  <si>
    <t>C4622</t>
  </si>
  <si>
    <t>P94877</t>
  </si>
  <si>
    <t>Product_6704</t>
  </si>
  <si>
    <t>S559</t>
  </si>
  <si>
    <t>O1000871</t>
  </si>
  <si>
    <t>C4822</t>
  </si>
  <si>
    <t>P41336</t>
  </si>
  <si>
    <t>O1000872</t>
  </si>
  <si>
    <t>C4447</t>
  </si>
  <si>
    <t>P19621</t>
  </si>
  <si>
    <t>Product_1128</t>
  </si>
  <si>
    <t>O1000873</t>
  </si>
  <si>
    <t>C5547</t>
  </si>
  <si>
    <t>P17078</t>
  </si>
  <si>
    <t>Product_4399</t>
  </si>
  <si>
    <t>S686</t>
  </si>
  <si>
    <t>O1000874</t>
  </si>
  <si>
    <t>C9751</t>
  </si>
  <si>
    <t>P44862</t>
  </si>
  <si>
    <t>Product_3424</t>
  </si>
  <si>
    <t>O1000875</t>
  </si>
  <si>
    <t>C3993</t>
  </si>
  <si>
    <t>P31119</t>
  </si>
  <si>
    <t>S182</t>
  </si>
  <si>
    <t>O1000876</t>
  </si>
  <si>
    <t>C3553</t>
  </si>
  <si>
    <t>P13628</t>
  </si>
  <si>
    <t>Product_5715</t>
  </si>
  <si>
    <t>O1000877</t>
  </si>
  <si>
    <t>P88836</t>
  </si>
  <si>
    <t>Product_6813</t>
  </si>
  <si>
    <t>O1000878</t>
  </si>
  <si>
    <t>C1187</t>
  </si>
  <si>
    <t>P42348</t>
  </si>
  <si>
    <t>Product_3863</t>
  </si>
  <si>
    <t>O1000879</t>
  </si>
  <si>
    <t>C2524</t>
  </si>
  <si>
    <t>P19940</t>
  </si>
  <si>
    <t>Product_9889</t>
  </si>
  <si>
    <t>S526</t>
  </si>
  <si>
    <t>O1000880</t>
  </si>
  <si>
    <t>P86425</t>
  </si>
  <si>
    <t>Product_2786</t>
  </si>
  <si>
    <t>O1000881</t>
  </si>
  <si>
    <t>C1713</t>
  </si>
  <si>
    <t>P39217</t>
  </si>
  <si>
    <t>Product_1610</t>
  </si>
  <si>
    <t>O1000882</t>
  </si>
  <si>
    <t>C2588</t>
  </si>
  <si>
    <t>P91405</t>
  </si>
  <si>
    <t>Product_8493</t>
  </si>
  <si>
    <t>O1000883</t>
  </si>
  <si>
    <t>C5502</t>
  </si>
  <si>
    <t>P34222</t>
  </si>
  <si>
    <t>Product_3431</t>
  </si>
  <si>
    <t>O1000884</t>
  </si>
  <si>
    <t>C1296</t>
  </si>
  <si>
    <t>P82041</t>
  </si>
  <si>
    <t>Product_2229</t>
  </si>
  <si>
    <t>O1000885</t>
  </si>
  <si>
    <t>C2816</t>
  </si>
  <si>
    <t>P89532</t>
  </si>
  <si>
    <t>O1000886</t>
  </si>
  <si>
    <t>C1643</t>
  </si>
  <si>
    <t>P67506</t>
  </si>
  <si>
    <t>Product_6706</t>
  </si>
  <si>
    <t>O1000887</t>
  </si>
  <si>
    <t>C1013</t>
  </si>
  <si>
    <t>P91131</t>
  </si>
  <si>
    <t>Product_9753</t>
  </si>
  <si>
    <t>S402</t>
  </si>
  <si>
    <t>O1000888</t>
  </si>
  <si>
    <t>C4645</t>
  </si>
  <si>
    <t>P35099</t>
  </si>
  <si>
    <t>Product_5802</t>
  </si>
  <si>
    <t>O1000889</t>
  </si>
  <si>
    <t>C7757</t>
  </si>
  <si>
    <t>P27217</t>
  </si>
  <si>
    <t>Product_8502</t>
  </si>
  <si>
    <t>S796</t>
  </si>
  <si>
    <t>O1000890</t>
  </si>
  <si>
    <t>C3311</t>
  </si>
  <si>
    <t>P49713</t>
  </si>
  <si>
    <t>Product_3553</t>
  </si>
  <si>
    <t>S336</t>
  </si>
  <si>
    <t>O1000891</t>
  </si>
  <si>
    <t>C6036</t>
  </si>
  <si>
    <t>P96987</t>
  </si>
  <si>
    <t>Product_3288</t>
  </si>
  <si>
    <t>O1000892</t>
  </si>
  <si>
    <t>C5864</t>
  </si>
  <si>
    <t>P43936</t>
  </si>
  <si>
    <t>Product_9094</t>
  </si>
  <si>
    <t>O1000893</t>
  </si>
  <si>
    <t>C9064</t>
  </si>
  <si>
    <t>P84536</t>
  </si>
  <si>
    <t>Product_4347</t>
  </si>
  <si>
    <t>O1000894</t>
  </si>
  <si>
    <t>C9582</t>
  </si>
  <si>
    <t>P32020</t>
  </si>
  <si>
    <t>Product_7772</t>
  </si>
  <si>
    <t>O1000895</t>
  </si>
  <si>
    <t>C1272</t>
  </si>
  <si>
    <t>P71532</t>
  </si>
  <si>
    <t>Product_1545</t>
  </si>
  <si>
    <t>S925</t>
  </si>
  <si>
    <t>O1000896</t>
  </si>
  <si>
    <t>C8832</t>
  </si>
  <si>
    <t>P59132</t>
  </si>
  <si>
    <t>Product_8440</t>
  </si>
  <si>
    <t>S325</t>
  </si>
  <si>
    <t>O1000897</t>
  </si>
  <si>
    <t>C1506</t>
  </si>
  <si>
    <t>P85841</t>
  </si>
  <si>
    <t>Product_1105</t>
  </si>
  <si>
    <t>O1000898</t>
  </si>
  <si>
    <t>C3968</t>
  </si>
  <si>
    <t>P72669</t>
  </si>
  <si>
    <t>Product_5791</t>
  </si>
  <si>
    <t>S514</t>
  </si>
  <si>
    <t>O1000899</t>
  </si>
  <si>
    <t>P86361</t>
  </si>
  <si>
    <t>Product_9609</t>
  </si>
  <si>
    <t>S719</t>
  </si>
  <si>
    <t>O1000900</t>
  </si>
  <si>
    <t>C2221</t>
  </si>
  <si>
    <t>P83097</t>
  </si>
  <si>
    <t>Product_3450</t>
  </si>
  <si>
    <t>S220</t>
  </si>
  <si>
    <t>O1000901</t>
  </si>
  <si>
    <t>C8020</t>
  </si>
  <si>
    <t>P54218</t>
  </si>
  <si>
    <t>Product_6137</t>
  </si>
  <si>
    <t>O1000902</t>
  </si>
  <si>
    <t>P57793</t>
  </si>
  <si>
    <t>Product_4437</t>
  </si>
  <si>
    <t>S991</t>
  </si>
  <si>
    <t>O1000903</t>
  </si>
  <si>
    <t>C7381</t>
  </si>
  <si>
    <t>P74810</t>
  </si>
  <si>
    <t>Product_5804</t>
  </si>
  <si>
    <t>O1000904</t>
  </si>
  <si>
    <t>C6426</t>
  </si>
  <si>
    <t>P96194</t>
  </si>
  <si>
    <t>Product_9199</t>
  </si>
  <si>
    <t>S288</t>
  </si>
  <si>
    <t>O1000905</t>
  </si>
  <si>
    <t>C4201</t>
  </si>
  <si>
    <t>P46115</t>
  </si>
  <si>
    <t>Product_1134</t>
  </si>
  <si>
    <t>S337</t>
  </si>
  <si>
    <t>O1000906</t>
  </si>
  <si>
    <t>C8049</t>
  </si>
  <si>
    <t>P39771</t>
  </si>
  <si>
    <t>Product_8202</t>
  </si>
  <si>
    <t>O1000907</t>
  </si>
  <si>
    <t>C6905</t>
  </si>
  <si>
    <t>P39603</t>
  </si>
  <si>
    <t>Product_5138</t>
  </si>
  <si>
    <t>S718</t>
  </si>
  <si>
    <t>O1000908</t>
  </si>
  <si>
    <t>C2185</t>
  </si>
  <si>
    <t>P33490</t>
  </si>
  <si>
    <t>Product_9156</t>
  </si>
  <si>
    <t>O1000909</t>
  </si>
  <si>
    <t>C3927</t>
  </si>
  <si>
    <t>P22926</t>
  </si>
  <si>
    <t>Product_4706</t>
  </si>
  <si>
    <t>S847</t>
  </si>
  <si>
    <t>O1000910</t>
  </si>
  <si>
    <t>C5213</t>
  </si>
  <si>
    <t>P82670</t>
  </si>
  <si>
    <t>Product_7411</t>
  </si>
  <si>
    <t>S385</t>
  </si>
  <si>
    <t>O1000911</t>
  </si>
  <si>
    <t>C2321</t>
  </si>
  <si>
    <t>Product_2863</t>
  </si>
  <si>
    <t>O1000912</t>
  </si>
  <si>
    <t>C4180</t>
  </si>
  <si>
    <t>P44200</t>
  </si>
  <si>
    <t>O1000913</t>
  </si>
  <si>
    <t>C2965</t>
  </si>
  <si>
    <t>P31882</t>
  </si>
  <si>
    <t>Product_3032</t>
  </si>
  <si>
    <t>S599</t>
  </si>
  <si>
    <t>O1000914</t>
  </si>
  <si>
    <t>C2460</t>
  </si>
  <si>
    <t>P75763</t>
  </si>
  <si>
    <t>Product_3643</t>
  </si>
  <si>
    <t>S911</t>
  </si>
  <si>
    <t>O1000915</t>
  </si>
  <si>
    <t>C7289</t>
  </si>
  <si>
    <t>P11167</t>
  </si>
  <si>
    <t>Product_1364</t>
  </si>
  <si>
    <t>S229</t>
  </si>
  <si>
    <t>O1000916</t>
  </si>
  <si>
    <t>C3732</t>
  </si>
  <si>
    <t>P59659</t>
  </si>
  <si>
    <t>Product_8657</t>
  </si>
  <si>
    <t>O1000917</t>
  </si>
  <si>
    <t>C8210</t>
  </si>
  <si>
    <t>P59648</t>
  </si>
  <si>
    <t>Product_3565</t>
  </si>
  <si>
    <t>O1000918</t>
  </si>
  <si>
    <t>P20650</t>
  </si>
  <si>
    <t>Product_9387</t>
  </si>
  <si>
    <t>S830</t>
  </si>
  <si>
    <t>O1000919</t>
  </si>
  <si>
    <t>C2198</t>
  </si>
  <si>
    <t>P31011</t>
  </si>
  <si>
    <t>Product_3117</t>
  </si>
  <si>
    <t>O1000920</t>
  </si>
  <si>
    <t>C7967</t>
  </si>
  <si>
    <t>P82704</t>
  </si>
  <si>
    <t>Product_3068</t>
  </si>
  <si>
    <t>O1000921</t>
  </si>
  <si>
    <t>C4158</t>
  </si>
  <si>
    <t>Product_6862</t>
  </si>
  <si>
    <t>O1000922</t>
  </si>
  <si>
    <t>C7334</t>
  </si>
  <si>
    <t>P63921</t>
  </si>
  <si>
    <t>Product_7535</t>
  </si>
  <si>
    <t>O1000923</t>
  </si>
  <si>
    <t>P62386</t>
  </si>
  <si>
    <t>Product_1456</t>
  </si>
  <si>
    <t>S130</t>
  </si>
  <si>
    <t>O1000924</t>
  </si>
  <si>
    <t>P64327</t>
  </si>
  <si>
    <t>Product_2558</t>
  </si>
  <si>
    <t>O1000925</t>
  </si>
  <si>
    <t>C6474</t>
  </si>
  <si>
    <t>P13473</t>
  </si>
  <si>
    <t>Product_9664</t>
  </si>
  <si>
    <t>S445</t>
  </si>
  <si>
    <t>O1000926</t>
  </si>
  <si>
    <t>C5526</t>
  </si>
  <si>
    <t>P40721</t>
  </si>
  <si>
    <t>Product_9697</t>
  </si>
  <si>
    <t>O1000927</t>
  </si>
  <si>
    <t>P23677</t>
  </si>
  <si>
    <t>Product_3570</t>
  </si>
  <si>
    <t>S371</t>
  </si>
  <si>
    <t>O1000928</t>
  </si>
  <si>
    <t>C2617</t>
  </si>
  <si>
    <t>P29196</t>
  </si>
  <si>
    <t>Product_9737</t>
  </si>
  <si>
    <t>O1000929</t>
  </si>
  <si>
    <t>C2448</t>
  </si>
  <si>
    <t>P52737</t>
  </si>
  <si>
    <t>Product_2508</t>
  </si>
  <si>
    <t>S621</t>
  </si>
  <si>
    <t>O1000930</t>
  </si>
  <si>
    <t>C5436</t>
  </si>
  <si>
    <t>P70064</t>
  </si>
  <si>
    <t>Product_8306</t>
  </si>
  <si>
    <t>O1000931</t>
  </si>
  <si>
    <t>C4892</t>
  </si>
  <si>
    <t>P30280</t>
  </si>
  <si>
    <t>Product_7901</t>
  </si>
  <si>
    <t>O1000932</t>
  </si>
  <si>
    <t>C4829</t>
  </si>
  <si>
    <t>P41619</t>
  </si>
  <si>
    <t>Product_2702</t>
  </si>
  <si>
    <t>O1000933</t>
  </si>
  <si>
    <t>C7329</t>
  </si>
  <si>
    <t>P41946</t>
  </si>
  <si>
    <t>Product_3756</t>
  </si>
  <si>
    <t>S520</t>
  </si>
  <si>
    <t>O1000934</t>
  </si>
  <si>
    <t>P80344</t>
  </si>
  <si>
    <t>Product_3190</t>
  </si>
  <si>
    <t>S311</t>
  </si>
  <si>
    <t>O1000935</t>
  </si>
  <si>
    <t>C7630</t>
  </si>
  <si>
    <t>P84688</t>
  </si>
  <si>
    <t>Product_8018</t>
  </si>
  <si>
    <t>S967</t>
  </si>
  <si>
    <t>O1000936</t>
  </si>
  <si>
    <t>C2616</t>
  </si>
  <si>
    <t>P51456</t>
  </si>
  <si>
    <t>Product_5702</t>
  </si>
  <si>
    <t>S982</t>
  </si>
  <si>
    <t>O1000937</t>
  </si>
  <si>
    <t>P23818</t>
  </si>
  <si>
    <t>Product_2882</t>
  </si>
  <si>
    <t>O1000938</t>
  </si>
  <si>
    <t>C5208</t>
  </si>
  <si>
    <t>P75874</t>
  </si>
  <si>
    <t>S571</t>
  </si>
  <si>
    <t>O1000939</t>
  </si>
  <si>
    <t>C9659</t>
  </si>
  <si>
    <t>P24211</t>
  </si>
  <si>
    <t>Product_4589</t>
  </si>
  <si>
    <t>O1000940</t>
  </si>
  <si>
    <t>C4471</t>
  </si>
  <si>
    <t>P88605</t>
  </si>
  <si>
    <t>Product_3892</t>
  </si>
  <si>
    <t>S165</t>
  </si>
  <si>
    <t>O1000941</t>
  </si>
  <si>
    <t>C4726</t>
  </si>
  <si>
    <t>P47703</t>
  </si>
  <si>
    <t>Product_3183</t>
  </si>
  <si>
    <t>S133</t>
  </si>
  <si>
    <t>O1000942</t>
  </si>
  <si>
    <t>C5669</t>
  </si>
  <si>
    <t>P99405</t>
  </si>
  <si>
    <t>Product_9120</t>
  </si>
  <si>
    <t>S340</t>
  </si>
  <si>
    <t>O1000943</t>
  </si>
  <si>
    <t>C3813</t>
  </si>
  <si>
    <t>P45040</t>
  </si>
  <si>
    <t>O1000944</t>
  </si>
  <si>
    <t>C3415</t>
  </si>
  <si>
    <t>P43973</t>
  </si>
  <si>
    <t>Product_3217</t>
  </si>
  <si>
    <t>O1000945</t>
  </si>
  <si>
    <t>C6860</t>
  </si>
  <si>
    <t>P57240</t>
  </si>
  <si>
    <t>O1000946</t>
  </si>
  <si>
    <t>C7917</t>
  </si>
  <si>
    <t>P45221</t>
  </si>
  <si>
    <t>Product_1846</t>
  </si>
  <si>
    <t>O1000947</t>
  </si>
  <si>
    <t>C7602</t>
  </si>
  <si>
    <t>P32387</t>
  </si>
  <si>
    <t>Product_1491</t>
  </si>
  <si>
    <t>O1000948</t>
  </si>
  <si>
    <t>P70796</t>
  </si>
  <si>
    <t>Product_4254</t>
  </si>
  <si>
    <t>S904</t>
  </si>
  <si>
    <t>O1000949</t>
  </si>
  <si>
    <t>C5849</t>
  </si>
  <si>
    <t>P67532</t>
  </si>
  <si>
    <t>Product_7015</t>
  </si>
  <si>
    <t>O1000950</t>
  </si>
  <si>
    <t>C4808</t>
  </si>
  <si>
    <t>P80217</t>
  </si>
  <si>
    <t>Product_3186</t>
  </si>
  <si>
    <t>S941</t>
  </si>
  <si>
    <t>O1000951</t>
  </si>
  <si>
    <t>C2022</t>
  </si>
  <si>
    <t>P84045</t>
  </si>
  <si>
    <t>O1000952</t>
  </si>
  <si>
    <t>C8568</t>
  </si>
  <si>
    <t>P79227</t>
  </si>
  <si>
    <t>Product_5619</t>
  </si>
  <si>
    <t>O1000953</t>
  </si>
  <si>
    <t>C8101</t>
  </si>
  <si>
    <t>P23325</t>
  </si>
  <si>
    <t>Product_7345</t>
  </si>
  <si>
    <t>O1000954</t>
  </si>
  <si>
    <t>C8649</t>
  </si>
  <si>
    <t>P77197</t>
  </si>
  <si>
    <t>Product_8047</t>
  </si>
  <si>
    <t>S427</t>
  </si>
  <si>
    <t>O1000955</t>
  </si>
  <si>
    <t>C2747</t>
  </si>
  <si>
    <t>P56228</t>
  </si>
  <si>
    <t>Product_4014</t>
  </si>
  <si>
    <t>O1000956</t>
  </si>
  <si>
    <t>P75446</t>
  </si>
  <si>
    <t>O1000957</t>
  </si>
  <si>
    <t>C7492</t>
  </si>
  <si>
    <t>P69545</t>
  </si>
  <si>
    <t>Product_5468</t>
  </si>
  <si>
    <t>O1000958</t>
  </si>
  <si>
    <t>P10985</t>
  </si>
  <si>
    <t>Product_6765</t>
  </si>
  <si>
    <t>S316</t>
  </si>
  <si>
    <t>O1000959</t>
  </si>
  <si>
    <t>P78535</t>
  </si>
  <si>
    <t>Product_9008</t>
  </si>
  <si>
    <t>O1000960</t>
  </si>
  <si>
    <t>C9446</t>
  </si>
  <si>
    <t>P56446</t>
  </si>
  <si>
    <t>Product_5448</t>
  </si>
  <si>
    <t>O1000961</t>
  </si>
  <si>
    <t>C3745</t>
  </si>
  <si>
    <t>P56873</t>
  </si>
  <si>
    <t>Product_9146</t>
  </si>
  <si>
    <t>O1000962</t>
  </si>
  <si>
    <t>C1722</t>
  </si>
  <si>
    <t>P50206</t>
  </si>
  <si>
    <t>Product_2743</t>
  </si>
  <si>
    <t>O1000963</t>
  </si>
  <si>
    <t>C7538</t>
  </si>
  <si>
    <t>P49039</t>
  </si>
  <si>
    <t>Product_3938</t>
  </si>
  <si>
    <t>O1000964</t>
  </si>
  <si>
    <t>C7991</t>
  </si>
  <si>
    <t>P12592</t>
  </si>
  <si>
    <t>Product_5762</t>
  </si>
  <si>
    <t>O1000965</t>
  </si>
  <si>
    <t>C4358</t>
  </si>
  <si>
    <t>P81928</t>
  </si>
  <si>
    <t>Product_8771</t>
  </si>
  <si>
    <t>O1000966</t>
  </si>
  <si>
    <t>C2821</t>
  </si>
  <si>
    <t>P19788</t>
  </si>
  <si>
    <t>Product_1182</t>
  </si>
  <si>
    <t>O1000967</t>
  </si>
  <si>
    <t>C9466</t>
  </si>
  <si>
    <t>P73973</t>
  </si>
  <si>
    <t>Product_3827</t>
  </si>
  <si>
    <t>O1000968</t>
  </si>
  <si>
    <t>C6447</t>
  </si>
  <si>
    <t>P62062</t>
  </si>
  <si>
    <t>S462</t>
  </si>
  <si>
    <t>O1000969</t>
  </si>
  <si>
    <t>C1815</t>
  </si>
  <si>
    <t>P20637</t>
  </si>
  <si>
    <t>S221</t>
  </si>
  <si>
    <t>O1000970</t>
  </si>
  <si>
    <t>P73033</t>
  </si>
  <si>
    <t>Product_5074</t>
  </si>
  <si>
    <t>O1000971</t>
  </si>
  <si>
    <t>C9025</t>
  </si>
  <si>
    <t>P26824</t>
  </si>
  <si>
    <t>Product_9456</t>
  </si>
  <si>
    <t>O1000972</t>
  </si>
  <si>
    <t>C2787</t>
  </si>
  <si>
    <t>P53268</t>
  </si>
  <si>
    <t>Product_3648</t>
  </si>
  <si>
    <t>O1000973</t>
  </si>
  <si>
    <t>C8062</t>
  </si>
  <si>
    <t>P38189</t>
  </si>
  <si>
    <t>Product_1569</t>
  </si>
  <si>
    <t>O1000974</t>
  </si>
  <si>
    <t>C2799</t>
  </si>
  <si>
    <t>P90078</t>
  </si>
  <si>
    <t>Product_8817</t>
  </si>
  <si>
    <t>O1000975</t>
  </si>
  <si>
    <t>C7135</t>
  </si>
  <si>
    <t>P61325</t>
  </si>
  <si>
    <t>Product_7841</t>
  </si>
  <si>
    <t>O1000976</t>
  </si>
  <si>
    <t>C8094</t>
  </si>
  <si>
    <t>P53660</t>
  </si>
  <si>
    <t>Product_4714</t>
  </si>
  <si>
    <t>O1000977</t>
  </si>
  <si>
    <t>C5076</t>
  </si>
  <si>
    <t>P13593</t>
  </si>
  <si>
    <t>S856</t>
  </si>
  <si>
    <t>O1000978</t>
  </si>
  <si>
    <t>C2702</t>
  </si>
  <si>
    <t>P72431</t>
  </si>
  <si>
    <t>Product_9668</t>
  </si>
  <si>
    <t>O1000979</t>
  </si>
  <si>
    <t>C5645</t>
  </si>
  <si>
    <t>P85740</t>
  </si>
  <si>
    <t>Product_5735</t>
  </si>
  <si>
    <t>S473</t>
  </si>
  <si>
    <t>O1000980</t>
  </si>
  <si>
    <t>C6374</t>
  </si>
  <si>
    <t>P47196</t>
  </si>
  <si>
    <t>Product_2910</t>
  </si>
  <si>
    <t>O1000981</t>
  </si>
  <si>
    <t>C3217</t>
  </si>
  <si>
    <t>P43172</t>
  </si>
  <si>
    <t>Product_8721</t>
  </si>
  <si>
    <t>O1000982</t>
  </si>
  <si>
    <t>C8091</t>
  </si>
  <si>
    <t>P65166</t>
  </si>
  <si>
    <t>Product_8007</t>
  </si>
  <si>
    <t>O1000983</t>
  </si>
  <si>
    <t>C5206</t>
  </si>
  <si>
    <t>P16554</t>
  </si>
  <si>
    <t>Product_8208</t>
  </si>
  <si>
    <t>S202</t>
  </si>
  <si>
    <t>O1000984</t>
  </si>
  <si>
    <t>C9972</t>
  </si>
  <si>
    <t>P26921</t>
  </si>
  <si>
    <t>Product_4295</t>
  </si>
  <si>
    <t>O1000985</t>
  </si>
  <si>
    <t>C9459</t>
  </si>
  <si>
    <t>P44936</t>
  </si>
  <si>
    <t>Product_1677</t>
  </si>
  <si>
    <t>O1000986</t>
  </si>
  <si>
    <t>C6842</t>
  </si>
  <si>
    <t>P83806</t>
  </si>
  <si>
    <t>Product_9315</t>
  </si>
  <si>
    <t>O1000987</t>
  </si>
  <si>
    <t>C7528</t>
  </si>
  <si>
    <t>P35762</t>
  </si>
  <si>
    <t>Product_7844</t>
  </si>
  <si>
    <t>O1000988</t>
  </si>
  <si>
    <t>C6104</t>
  </si>
  <si>
    <t>P50176</t>
  </si>
  <si>
    <t>Product_1225</t>
  </si>
  <si>
    <t>O1000989</t>
  </si>
  <si>
    <t>C6968</t>
  </si>
  <si>
    <t>P38267</t>
  </si>
  <si>
    <t>Product_6948</t>
  </si>
  <si>
    <t>O1000990</t>
  </si>
  <si>
    <t>C6189</t>
  </si>
  <si>
    <t>P26321</t>
  </si>
  <si>
    <t>Product_6826</t>
  </si>
  <si>
    <t>S684</t>
  </si>
  <si>
    <t>O1000991</t>
  </si>
  <si>
    <t>C1236</t>
  </si>
  <si>
    <t>P63562</t>
  </si>
  <si>
    <t>Product_7853</t>
  </si>
  <si>
    <t>O1000992</t>
  </si>
  <si>
    <t>C1910</t>
  </si>
  <si>
    <t>P73577</t>
  </si>
  <si>
    <t>Product_3688</t>
  </si>
  <si>
    <t>O1000993</t>
  </si>
  <si>
    <t>P52667</t>
  </si>
  <si>
    <t>Product_6143</t>
  </si>
  <si>
    <t>O1000994</t>
  </si>
  <si>
    <t>P70359</t>
  </si>
  <si>
    <t>Product_4776</t>
  </si>
  <si>
    <t>O1000995</t>
  </si>
  <si>
    <t>C7666</t>
  </si>
  <si>
    <t>P36300</t>
  </si>
  <si>
    <t>Product_3418</t>
  </si>
  <si>
    <t>O1000996</t>
  </si>
  <si>
    <t>C9301</t>
  </si>
  <si>
    <t>P94556</t>
  </si>
  <si>
    <t>Product_9108</t>
  </si>
  <si>
    <t>O1000997</t>
  </si>
  <si>
    <t>C8254</t>
  </si>
  <si>
    <t>P92849</t>
  </si>
  <si>
    <t>O1000998</t>
  </si>
  <si>
    <t>C1354</t>
  </si>
  <si>
    <t>P37975</t>
  </si>
  <si>
    <t>Product_1231</t>
  </si>
  <si>
    <t>S928</t>
  </si>
  <si>
    <t>O1000999</t>
  </si>
  <si>
    <t>C3295</t>
  </si>
  <si>
    <t>P44832</t>
  </si>
  <si>
    <t>Product_4306</t>
  </si>
  <si>
    <t>S485</t>
  </si>
  <si>
    <t>Total Orders</t>
  </si>
  <si>
    <t>Total Sales Revenue</t>
  </si>
  <si>
    <t>Sum of unit</t>
  </si>
  <si>
    <t>Sum of quan</t>
  </si>
  <si>
    <t>Average Order Value</t>
  </si>
  <si>
    <t>Stock on Hand</t>
  </si>
  <si>
    <t>Average Lead Time</t>
  </si>
  <si>
    <t>Inventory Turnover Ratio</t>
  </si>
  <si>
    <t>Procurement Cost</t>
  </si>
  <si>
    <t>Transportation Cost</t>
  </si>
  <si>
    <t>Total Supply Chain Cost</t>
  </si>
  <si>
    <t>Cost per Unit</t>
  </si>
  <si>
    <t>Sum of qty</t>
  </si>
  <si>
    <t>total cost</t>
  </si>
  <si>
    <t>Average Delay</t>
  </si>
  <si>
    <t>Orders by Ship Mode</t>
  </si>
  <si>
    <t>Row Labels</t>
  </si>
  <si>
    <t>Grand Total</t>
  </si>
  <si>
    <t>Count of Order_ID</t>
  </si>
  <si>
    <t>Transport Mode Utilization</t>
  </si>
  <si>
    <t>On-Time Delivery %</t>
  </si>
  <si>
    <t>Forecast Accuracy</t>
  </si>
  <si>
    <t>Fill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</si>
</sst>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top"/>
    </xf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Chain.xlsx]Logistics &amp; Delivery KPIs!PivotTable7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Orders by Ship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'Logistics &amp; Delivery KPIs'!$G$11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'Logistics &amp; Delivery KPIs'!$F$12:$F$15</c:f>
              <c:strCache>
                <c:ptCount val="3"/>
                <c:pt idx="0">
                  <c:v>Express</c:v>
                </c:pt>
                <c:pt idx="1">
                  <c:v>Same-day</c:v>
                </c:pt>
                <c:pt idx="2">
                  <c:v>Standard</c:v>
                </c:pt>
              </c:strCache>
            </c:strRef>
          </c:cat>
          <c:val>
            <c:numRef>
              <c:f>'Logistics &amp; Delivery KPIs'!$G$12:$G$15</c:f>
              <c:numCache>
                <c:formatCode>General</c:formatCode>
                <c:ptCount val="3"/>
                <c:pt idx="0">
                  <c:v>285</c:v>
                </c:pt>
                <c:pt idx="1">
                  <c:v>88</c:v>
                </c:pt>
                <c:pt idx="2">
                  <c:v>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04-4CC7-A427-1691455B172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Chain.xlsx]Logistics &amp; Delivery KPIs!PivotTable8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Transport Mode Utilization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'Logistics &amp; Delivery KPIs'!$G$18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'Logistics &amp; Delivery KPIs'!$F$19:$F$23</c:f>
              <c:strCache>
                <c:ptCount val="4"/>
                <c:pt idx="0">
                  <c:v>Air</c:v>
                </c:pt>
                <c:pt idx="1">
                  <c:v>Rail</c:v>
                </c:pt>
                <c:pt idx="2">
                  <c:v>Road</c:v>
                </c:pt>
                <c:pt idx="3">
                  <c:v>Sea</c:v>
                </c:pt>
              </c:strCache>
            </c:strRef>
          </c:cat>
          <c:val>
            <c:numRef>
              <c:f>'Logistics &amp; Delivery KPIs'!$G$19:$G$23</c:f>
              <c:numCache>
                <c:formatCode>General</c:formatCode>
                <c:ptCount val="4"/>
                <c:pt idx="0">
                  <c:v>254</c:v>
                </c:pt>
                <c:pt idx="1">
                  <c:v>251</c:v>
                </c:pt>
                <c:pt idx="2">
                  <c:v>253</c:v>
                </c:pt>
                <c:pt idx="3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9C-4667-933F-424DD40A0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992559"/>
        <c:axId val="189001679"/>
      </c:barChart>
      <c:catAx>
        <c:axId val="188992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01679"/>
        <c:crosses val="autoZero"/>
        <c:auto val="1"/>
        <c:lblAlgn val="ctr"/>
        <c:lblOffset val="100"/>
        <c:noMultiLvlLbl val="0"/>
      </c:catAx>
      <c:valAx>
        <c:axId val="18900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92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Chain.xlsx]Logistics &amp; Delivery KPIs!PivotTable7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Orders by Ship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'Logistics &amp; Delivery KPIs'!$G$11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DE4-486F-A245-D9B9C5EFE1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E4-486F-A245-D9B9C5EFE1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DE4-486F-A245-D9B9C5EFE1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'Logistics &amp; Delivery KPIs'!$F$12:$F$15</c:f>
              <c:strCache>
                <c:ptCount val="3"/>
                <c:pt idx="0">
                  <c:v>Express</c:v>
                </c:pt>
                <c:pt idx="1">
                  <c:v>Same-day</c:v>
                </c:pt>
                <c:pt idx="2">
                  <c:v>Standard</c:v>
                </c:pt>
              </c:strCache>
            </c:strRef>
          </c:cat>
          <c:val>
            <c:numRef>
              <c:f>'Logistics &amp; Delivery KPIs'!$G$12:$G$15</c:f>
              <c:numCache>
                <c:formatCode>General</c:formatCode>
                <c:ptCount val="3"/>
                <c:pt idx="0">
                  <c:v>285</c:v>
                </c:pt>
                <c:pt idx="1">
                  <c:v>88</c:v>
                </c:pt>
                <c:pt idx="2">
                  <c:v>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DE4-486F-A245-D9B9C5EFE16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Chain.xlsx]Logistics &amp; Delivery KPIs!PivotTable8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Transport Mode Utilization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'Logistics &amp; Delivery KPIs'!$G$18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'Logistics &amp; Delivery KPIs'!$F$19:$F$23</c:f>
              <c:strCache>
                <c:ptCount val="4"/>
                <c:pt idx="0">
                  <c:v>Air</c:v>
                </c:pt>
                <c:pt idx="1">
                  <c:v>Rail</c:v>
                </c:pt>
                <c:pt idx="2">
                  <c:v>Road</c:v>
                </c:pt>
                <c:pt idx="3">
                  <c:v>Sea</c:v>
                </c:pt>
              </c:strCache>
            </c:strRef>
          </c:cat>
          <c:val>
            <c:numRef>
              <c:f>'Logistics &amp; Delivery KPIs'!$G$19:$G$23</c:f>
              <c:numCache>
                <c:formatCode>General</c:formatCode>
                <c:ptCount val="4"/>
                <c:pt idx="0">
                  <c:v>254</c:v>
                </c:pt>
                <c:pt idx="1">
                  <c:v>251</c:v>
                </c:pt>
                <c:pt idx="2">
                  <c:v>253</c:v>
                </c:pt>
                <c:pt idx="3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FC-414B-8697-81C9882EDA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8992559"/>
        <c:axId val="189001679"/>
      </c:barChart>
      <c:catAx>
        <c:axId val="188992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01679"/>
        <c:crosses val="autoZero"/>
        <c:auto val="1"/>
        <c:lblAlgn val="ctr"/>
        <c:lblOffset val="100"/>
        <c:noMultiLvlLbl val="0"/>
      </c:catAx>
      <c:valAx>
        <c:axId val="18900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92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554691</xdr:colOff>
      <xdr:row>9</xdr:row>
      <xdr:rowOff>17929</xdr:rowOff>
    </xdr:from>
    <xdr:to>
      <xdr:col>16</xdr:col>
      <xdr:colOff>285750</xdr:colOff>
      <xdr:row>23</xdr:row>
      <xdr:rowOff>49305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0ABE99-21D7-3336-C852-98EC1782B5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599514</xdr:colOff>
      <xdr:row>24</xdr:row>
      <xdr:rowOff>219634</xdr:rowOff>
    </xdr:from>
    <xdr:to>
      <xdr:col>16</xdr:col>
      <xdr:colOff>330573</xdr:colOff>
      <xdr:row>39</xdr:row>
      <xdr:rowOff>60511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238320-A5CD-17C0-AAA1-9B27E92AD3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0</xdr:row>
      <xdr:rowOff>9525</xdr:rowOff>
    </xdr:from>
    <xdr:to>
      <xdr:col>19</xdr:col>
      <xdr:colOff>581025</xdr:colOff>
      <xdr:row>2</xdr:row>
      <xdr:rowOff>123825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5DC1175-9765-1E1C-6714-ED5401216FA2}"/>
            </a:ext>
          </a:extLst>
        </xdr:cNvPr>
        <xdr:cNvSpPr/>
      </xdr:nvSpPr>
      <xdr:spPr>
        <a:xfrm>
          <a:off x="1200150" y="9525"/>
          <a:ext cx="10963275" cy="495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0</xdr:row>
      <xdr:rowOff>19050</xdr:rowOff>
    </xdr:from>
    <xdr:to>
      <xdr:col>12</xdr:col>
      <xdr:colOff>600075</xdr:colOff>
      <xdr:row>2</xdr:row>
      <xdr:rowOff>142875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5609646-EE95-16A8-606B-E83A01209E38}"/>
            </a:ext>
          </a:extLst>
        </xdr:cNvPr>
        <xdr:cNvSpPr txBox="1"/>
      </xdr:nvSpPr>
      <xdr:spPr>
        <a:xfrm>
          <a:off x="4267200" y="19050"/>
          <a:ext cx="3648075" cy="504825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0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Supply Chain Dashboard</a:t>
          </a:r>
        </a:p>
      </xdr:txBody>
    </xdr:sp>
    <xdr:clientData/>
  </xdr:twoCellAnchor>
  <xdr:twoCellAnchor>
    <xdr:from>
      <xdr:col>5</xdr:col>
      <xdr:colOff>9525</xdr:colOff>
      <xdr:row>6</xdr:row>
      <xdr:rowOff>9524</xdr:rowOff>
    </xdr:from>
    <xdr:to>
      <xdr:col>12</xdr:col>
      <xdr:colOff>295275</xdr:colOff>
      <xdr:row>22</xdr:row>
      <xdr:rowOff>57149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2AC50A-9EE9-45EC-929A-3A6C5A5442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304800</xdr:colOff>
      <xdr:row>5</xdr:row>
      <xdr:rowOff>190499</xdr:rowOff>
    </xdr:from>
    <xdr:to>
      <xdr:col>20</xdr:col>
      <xdr:colOff>0</xdr:colOff>
      <xdr:row>22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EA94422-9993-4E83-B906-2E1E2F5727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13</xdr:row>
      <xdr:rowOff>161925</xdr:rowOff>
    </xdr:from>
    <xdr:to>
      <xdr:col>3</xdr:col>
      <xdr:colOff>1143000</xdr:colOff>
      <xdr:row>16</xdr:row>
      <xdr:rowOff>85725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10BC89A-9FAA-17ED-B1CE-EA39A5C5B773}"/>
            </a:ext>
          </a:extLst>
        </xdr:cNvPr>
        <xdr:cNvSpPr txBox="1"/>
      </xdr:nvSpPr>
      <xdr:spPr>
        <a:xfrm>
          <a:off x="1219200" y="2638425"/>
          <a:ext cx="1752600" cy="49530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>
              <a:solidFill>
                <a:schemeClr val="bg1"/>
              </a:solidFill>
            </a:rPr>
            <a:t>Average Delay</a:t>
          </a:r>
        </a:p>
        <a:p>
          <a:pPr algn="ctr"/>
          <a:r>
            <a:rPr lang="en-IN" sz="11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0.789</a:t>
          </a:r>
          <a:r>
            <a:rPr lang="en-IN">
              <a:solidFill>
                <a:schemeClr val="bg1"/>
              </a:solidFill>
            </a:rPr>
            <a:t> </a:t>
          </a:r>
          <a:endParaRPr lang="en-IN" sz="11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0</xdr:colOff>
      <xdr:row>16</xdr:row>
      <xdr:rowOff>85724</xdr:rowOff>
    </xdr:from>
    <xdr:to>
      <xdr:col>4</xdr:col>
      <xdr:colOff>0</xdr:colOff>
      <xdr:row>19</xdr:row>
      <xdr:rowOff>28575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E330E67-F256-1415-C761-08113BE06B4C}"/>
            </a:ext>
          </a:extLst>
        </xdr:cNvPr>
        <xdr:cNvSpPr txBox="1"/>
      </xdr:nvSpPr>
      <xdr:spPr>
        <a:xfrm>
          <a:off x="1219200" y="3133724"/>
          <a:ext cx="1762125" cy="514351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>
              <a:solidFill>
                <a:schemeClr val="bg1"/>
              </a:solidFill>
            </a:rPr>
            <a:t>On-Time Delivery %</a:t>
          </a:r>
        </a:p>
        <a:p>
          <a:pPr algn="ctr"/>
          <a:r>
            <a:rPr lang="en-IN" sz="11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0.9</a:t>
          </a:r>
          <a:r>
            <a:rPr lang="en-IN">
              <a:solidFill>
                <a:schemeClr val="bg1"/>
              </a:solidFill>
            </a:rPr>
            <a:t> </a:t>
          </a:r>
          <a:endParaRPr lang="en-IN" sz="1100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19050</xdr:colOff>
      <xdr:row>2</xdr:row>
      <xdr:rowOff>133349</xdr:rowOff>
    </xdr:from>
    <xdr:to>
      <xdr:col>8</xdr:col>
      <xdr:colOff>9525</xdr:colOff>
      <xdr:row>5</xdr:row>
      <xdr:rowOff>180974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92F5B95-09F2-D76C-A1C4-A7C4F6AE7496}"/>
            </a:ext>
          </a:extLst>
        </xdr:cNvPr>
        <xdr:cNvSpPr txBox="1"/>
      </xdr:nvSpPr>
      <xdr:spPr>
        <a:xfrm>
          <a:off x="3009900" y="514349"/>
          <a:ext cx="1819275" cy="619125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300">
              <a:solidFill>
                <a:schemeClr val="bg1"/>
              </a:solidFill>
            </a:rPr>
            <a:t>Total Orders</a:t>
          </a:r>
        </a:p>
        <a:p>
          <a:pPr algn="ctr"/>
          <a:r>
            <a:rPr lang="en-IN" sz="13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1000</a:t>
          </a:r>
          <a:r>
            <a:rPr lang="en-IN" sz="1300">
              <a:solidFill>
                <a:schemeClr val="bg1"/>
              </a:solidFill>
            </a:rPr>
            <a:t> </a:t>
          </a:r>
        </a:p>
      </xdr:txBody>
    </xdr:sp>
    <xdr:clientData/>
  </xdr:twoCellAnchor>
  <xdr:twoCellAnchor>
    <xdr:from>
      <xdr:col>8</xdr:col>
      <xdr:colOff>0</xdr:colOff>
      <xdr:row>2</xdr:row>
      <xdr:rowOff>142874</xdr:rowOff>
    </xdr:from>
    <xdr:to>
      <xdr:col>10</xdr:col>
      <xdr:colOff>600075</xdr:colOff>
      <xdr:row>5</xdr:row>
      <xdr:rowOff>190499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45CCECD-C8D6-4463-A6A6-BAF42FE874D6}"/>
            </a:ext>
          </a:extLst>
        </xdr:cNvPr>
        <xdr:cNvSpPr txBox="1"/>
      </xdr:nvSpPr>
      <xdr:spPr>
        <a:xfrm>
          <a:off x="4819650" y="523874"/>
          <a:ext cx="1819275" cy="619125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>
              <a:solidFill>
                <a:schemeClr val="bg1"/>
              </a:solidFill>
            </a:rPr>
            <a:t>Total Sales Revenue</a:t>
          </a:r>
        </a:p>
        <a:p>
          <a:pPr algn="ctr"/>
          <a:r>
            <a:rPr lang="en-IN" sz="12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12543933545</a:t>
          </a:r>
          <a:r>
            <a:rPr lang="en-IN" sz="1200">
              <a:solidFill>
                <a:schemeClr val="bg1"/>
              </a:solidFill>
            </a:rPr>
            <a:t> </a:t>
          </a:r>
        </a:p>
      </xdr:txBody>
    </xdr:sp>
    <xdr:clientData/>
  </xdr:twoCellAnchor>
  <xdr:twoCellAnchor>
    <xdr:from>
      <xdr:col>11</xdr:col>
      <xdr:colOff>0</xdr:colOff>
      <xdr:row>2</xdr:row>
      <xdr:rowOff>142875</xdr:rowOff>
    </xdr:from>
    <xdr:to>
      <xdr:col>13</xdr:col>
      <xdr:colOff>600075</xdr:colOff>
      <xdr:row>6</xdr:row>
      <xdr:rowOff>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B057B2E-9087-4606-A8B6-E2D076310906}"/>
            </a:ext>
          </a:extLst>
        </xdr:cNvPr>
        <xdr:cNvSpPr txBox="1"/>
      </xdr:nvSpPr>
      <xdr:spPr>
        <a:xfrm>
          <a:off x="6648450" y="523875"/>
          <a:ext cx="1819275" cy="619125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>
              <a:solidFill>
                <a:schemeClr val="bg1"/>
              </a:solidFill>
            </a:rPr>
            <a:t>Average Order Value</a:t>
          </a:r>
        </a:p>
        <a:p>
          <a:pPr algn="ctr"/>
          <a:r>
            <a:rPr lang="en-IN" sz="12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12543933.5</a:t>
          </a:r>
          <a:r>
            <a:rPr lang="en-IN" sz="1200">
              <a:solidFill>
                <a:schemeClr val="bg1"/>
              </a:solidFill>
            </a:rPr>
            <a:t> </a:t>
          </a:r>
        </a:p>
      </xdr:txBody>
    </xdr:sp>
    <xdr:clientData/>
  </xdr:twoCellAnchor>
  <xdr:twoCellAnchor>
    <xdr:from>
      <xdr:col>14</xdr:col>
      <xdr:colOff>0</xdr:colOff>
      <xdr:row>2</xdr:row>
      <xdr:rowOff>133350</xdr:rowOff>
    </xdr:from>
    <xdr:to>
      <xdr:col>16</xdr:col>
      <xdr:colOff>600075</xdr:colOff>
      <xdr:row>5</xdr:row>
      <xdr:rowOff>180975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36F439F-7794-45AE-9F2F-9B357FDD54E2}"/>
            </a:ext>
          </a:extLst>
        </xdr:cNvPr>
        <xdr:cNvSpPr txBox="1"/>
      </xdr:nvSpPr>
      <xdr:spPr>
        <a:xfrm>
          <a:off x="8477250" y="514350"/>
          <a:ext cx="1819275" cy="619125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300">
              <a:solidFill>
                <a:schemeClr val="bg1"/>
              </a:solidFill>
            </a:rPr>
            <a:t>Total Orders</a:t>
          </a:r>
        </a:p>
        <a:p>
          <a:pPr algn="ctr"/>
          <a:r>
            <a:rPr lang="en-IN" sz="13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1000</a:t>
          </a:r>
          <a:r>
            <a:rPr lang="en-IN" sz="1300">
              <a:solidFill>
                <a:schemeClr val="bg1"/>
              </a:solidFill>
            </a:rPr>
            <a:t> 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17.573781828702" createdVersion="8" refreshedVersion="8" minRefreshableVersion="3" recordCount="1000" xr:uid="{5DBDA718-25F0-4DAE-9A37-B362C4D9FFEC}">
  <cacheSource type="worksheet">
    <worksheetSource ref="A1:AE1001" sheet="Supply Chain"/>
  </cacheSource>
  <cacheFields count="31">
    <cacheField name="Order_ID" numFmtId="0">
      <sharedItems count="1000">
        <s v="O1000000"/>
        <s v="O1000001"/>
        <s v="O1000002"/>
        <s v="O1000003"/>
        <s v="O1000004"/>
        <s v="O1000005"/>
        <s v="O1000006"/>
        <s v="O1000007"/>
        <s v="O1000008"/>
        <s v="O1000009"/>
        <s v="O1000010"/>
        <s v="O1000011"/>
        <s v="O1000012"/>
        <s v="O1000013"/>
        <s v="O1000014"/>
        <s v="O1000015"/>
        <s v="O1000016"/>
        <s v="O1000017"/>
        <s v="O1000018"/>
        <s v="O1000019"/>
        <s v="O1000020"/>
        <s v="O1000021"/>
        <s v="O1000022"/>
        <s v="O1000023"/>
        <s v="O1000024"/>
        <s v="O1000025"/>
        <s v="O1000026"/>
        <s v="O1000027"/>
        <s v="O1000028"/>
        <s v="O1000029"/>
        <s v="O1000030"/>
        <s v="O1000031"/>
        <s v="O1000032"/>
        <s v="O1000033"/>
        <s v="O1000034"/>
        <s v="O1000035"/>
        <s v="O1000036"/>
        <s v="O1000037"/>
        <s v="O1000038"/>
        <s v="O1000039"/>
        <s v="O1000040"/>
        <s v="O1000041"/>
        <s v="O1000042"/>
        <s v="O1000043"/>
        <s v="O1000044"/>
        <s v="O1000045"/>
        <s v="O1000046"/>
        <s v="O1000047"/>
        <s v="O1000048"/>
        <s v="O1000049"/>
        <s v="O1000050"/>
        <s v="O1000051"/>
        <s v="O1000052"/>
        <s v="O1000053"/>
        <s v="O1000054"/>
        <s v="O1000055"/>
        <s v="O1000056"/>
        <s v="O1000057"/>
        <s v="O1000058"/>
        <s v="O1000059"/>
        <s v="O1000060"/>
        <s v="O1000061"/>
        <s v="O1000062"/>
        <s v="O1000063"/>
        <s v="O1000064"/>
        <s v="O1000065"/>
        <s v="O1000066"/>
        <s v="O1000067"/>
        <s v="O1000068"/>
        <s v="O1000069"/>
        <s v="O1000070"/>
        <s v="O1000071"/>
        <s v="O1000072"/>
        <s v="O1000073"/>
        <s v="O1000074"/>
        <s v="O1000075"/>
        <s v="O1000076"/>
        <s v="O1000077"/>
        <s v="O1000078"/>
        <s v="O1000079"/>
        <s v="O1000080"/>
        <s v="O1000081"/>
        <s v="O1000082"/>
        <s v="O1000083"/>
        <s v="O1000084"/>
        <s v="O1000085"/>
        <s v="O1000086"/>
        <s v="O1000087"/>
        <s v="O1000088"/>
        <s v="O1000089"/>
        <s v="O1000090"/>
        <s v="O1000091"/>
        <s v="O1000092"/>
        <s v="O1000093"/>
        <s v="O1000094"/>
        <s v="O1000095"/>
        <s v="O1000096"/>
        <s v="O1000097"/>
        <s v="O1000098"/>
        <s v="O1000099"/>
        <s v="O1000100"/>
        <s v="O1000101"/>
        <s v="O1000102"/>
        <s v="O1000103"/>
        <s v="O1000104"/>
        <s v="O1000105"/>
        <s v="O1000106"/>
        <s v="O1000107"/>
        <s v="O1000108"/>
        <s v="O1000109"/>
        <s v="O1000110"/>
        <s v="O1000111"/>
        <s v="O1000112"/>
        <s v="O1000113"/>
        <s v="O1000114"/>
        <s v="O1000115"/>
        <s v="O1000116"/>
        <s v="O1000117"/>
        <s v="O1000118"/>
        <s v="O1000119"/>
        <s v="O1000120"/>
        <s v="O1000121"/>
        <s v="O1000122"/>
        <s v="O1000123"/>
        <s v="O1000124"/>
        <s v="O1000125"/>
        <s v="O1000126"/>
        <s v="O1000127"/>
        <s v="O1000128"/>
        <s v="O1000129"/>
        <s v="O1000130"/>
        <s v="O1000131"/>
        <s v="O1000132"/>
        <s v="O1000133"/>
        <s v="O1000134"/>
        <s v="O1000135"/>
        <s v="O1000136"/>
        <s v="O1000137"/>
        <s v="O1000138"/>
        <s v="O1000139"/>
        <s v="O1000140"/>
        <s v="O1000141"/>
        <s v="O1000142"/>
        <s v="O1000143"/>
        <s v="O1000144"/>
        <s v="O1000145"/>
        <s v="O1000146"/>
        <s v="O1000147"/>
        <s v="O1000148"/>
        <s v="O1000149"/>
        <s v="O1000150"/>
        <s v="O1000151"/>
        <s v="O1000152"/>
        <s v="O1000153"/>
        <s v="O1000154"/>
        <s v="O1000155"/>
        <s v="O1000156"/>
        <s v="O1000157"/>
        <s v="O1000158"/>
        <s v="O1000159"/>
        <s v="O1000160"/>
        <s v="O1000161"/>
        <s v="O1000162"/>
        <s v="O1000163"/>
        <s v="O1000164"/>
        <s v="O1000165"/>
        <s v="O1000166"/>
        <s v="O1000167"/>
        <s v="O1000168"/>
        <s v="O1000169"/>
        <s v="O1000170"/>
        <s v="O1000171"/>
        <s v="O1000172"/>
        <s v="O1000173"/>
        <s v="O1000174"/>
        <s v="O1000175"/>
        <s v="O1000176"/>
        <s v="O1000177"/>
        <s v="O1000178"/>
        <s v="O1000179"/>
        <s v="O1000180"/>
        <s v="O1000181"/>
        <s v="O1000182"/>
        <s v="O1000183"/>
        <s v="O1000184"/>
        <s v="O1000185"/>
        <s v="O1000186"/>
        <s v="O1000187"/>
        <s v="O1000188"/>
        <s v="O1000189"/>
        <s v="O1000190"/>
        <s v="O1000191"/>
        <s v="O1000192"/>
        <s v="O1000193"/>
        <s v="O1000194"/>
        <s v="O1000195"/>
        <s v="O1000196"/>
        <s v="O1000197"/>
        <s v="O1000198"/>
        <s v="O1000199"/>
        <s v="O1000200"/>
        <s v="O1000201"/>
        <s v="O1000202"/>
        <s v="O1000203"/>
        <s v="O1000204"/>
        <s v="O1000205"/>
        <s v="O1000206"/>
        <s v="O1000207"/>
        <s v="O1000208"/>
        <s v="O1000209"/>
        <s v="O1000210"/>
        <s v="O1000211"/>
        <s v="O1000212"/>
        <s v="O1000213"/>
        <s v="O1000214"/>
        <s v="O1000215"/>
        <s v="O1000216"/>
        <s v="O1000217"/>
        <s v="O1000218"/>
        <s v="O1000219"/>
        <s v="O1000220"/>
        <s v="O1000221"/>
        <s v="O1000222"/>
        <s v="O1000223"/>
        <s v="O1000224"/>
        <s v="O1000225"/>
        <s v="O1000226"/>
        <s v="O1000227"/>
        <s v="O1000228"/>
        <s v="O1000229"/>
        <s v="O1000230"/>
        <s v="O1000231"/>
        <s v="O1000232"/>
        <s v="O1000233"/>
        <s v="O1000234"/>
        <s v="O1000235"/>
        <s v="O1000236"/>
        <s v="O1000237"/>
        <s v="O1000238"/>
        <s v="O1000239"/>
        <s v="O1000240"/>
        <s v="O1000241"/>
        <s v="O1000242"/>
        <s v="O1000243"/>
        <s v="O1000244"/>
        <s v="O1000245"/>
        <s v="O1000246"/>
        <s v="O1000247"/>
        <s v="O1000248"/>
        <s v="O1000249"/>
        <s v="O1000250"/>
        <s v="O1000251"/>
        <s v="O1000252"/>
        <s v="O1000253"/>
        <s v="O1000254"/>
        <s v="O1000255"/>
        <s v="O1000256"/>
        <s v="O1000257"/>
        <s v="O1000258"/>
        <s v="O1000259"/>
        <s v="O1000260"/>
        <s v="O1000261"/>
        <s v="O1000262"/>
        <s v="O1000263"/>
        <s v="O1000264"/>
        <s v="O1000265"/>
        <s v="O1000266"/>
        <s v="O1000267"/>
        <s v="O1000268"/>
        <s v="O1000269"/>
        <s v="O1000270"/>
        <s v="O1000271"/>
        <s v="O1000272"/>
        <s v="O1000273"/>
        <s v="O1000274"/>
        <s v="O1000275"/>
        <s v="O1000276"/>
        <s v="O1000277"/>
        <s v="O1000278"/>
        <s v="O1000279"/>
        <s v="O1000280"/>
        <s v="O1000281"/>
        <s v="O1000282"/>
        <s v="O1000283"/>
        <s v="O1000284"/>
        <s v="O1000285"/>
        <s v="O1000286"/>
        <s v="O1000287"/>
        <s v="O1000288"/>
        <s v="O1000289"/>
        <s v="O1000290"/>
        <s v="O1000291"/>
        <s v="O1000292"/>
        <s v="O1000293"/>
        <s v="O1000294"/>
        <s v="O1000295"/>
        <s v="O1000296"/>
        <s v="O1000297"/>
        <s v="O1000298"/>
        <s v="O1000299"/>
        <s v="O1000300"/>
        <s v="O1000301"/>
        <s v="O1000302"/>
        <s v="O1000303"/>
        <s v="O1000304"/>
        <s v="O1000305"/>
        <s v="O1000306"/>
        <s v="O1000307"/>
        <s v="O1000308"/>
        <s v="O1000309"/>
        <s v="O1000310"/>
        <s v="O1000311"/>
        <s v="O1000312"/>
        <s v="O1000313"/>
        <s v="O1000314"/>
        <s v="O1000315"/>
        <s v="O1000316"/>
        <s v="O1000317"/>
        <s v="O1000318"/>
        <s v="O1000319"/>
        <s v="O1000320"/>
        <s v="O1000321"/>
        <s v="O1000322"/>
        <s v="O1000323"/>
        <s v="O1000324"/>
        <s v="O1000325"/>
        <s v="O1000326"/>
        <s v="O1000327"/>
        <s v="O1000328"/>
        <s v="O1000329"/>
        <s v="O1000330"/>
        <s v="O1000331"/>
        <s v="O1000332"/>
        <s v="O1000333"/>
        <s v="O1000334"/>
        <s v="O1000335"/>
        <s v="O1000336"/>
        <s v="O1000337"/>
        <s v="O1000338"/>
        <s v="O1000339"/>
        <s v="O1000340"/>
        <s v="O1000341"/>
        <s v="O1000342"/>
        <s v="O1000343"/>
        <s v="O1000344"/>
        <s v="O1000345"/>
        <s v="O1000346"/>
        <s v="O1000347"/>
        <s v="O1000348"/>
        <s v="O1000349"/>
        <s v="O1000350"/>
        <s v="O1000351"/>
        <s v="O1000352"/>
        <s v="O1000353"/>
        <s v="O1000354"/>
        <s v="O1000355"/>
        <s v="O1000356"/>
        <s v="O1000357"/>
        <s v="O1000358"/>
        <s v="O1000359"/>
        <s v="O1000360"/>
        <s v="O1000361"/>
        <s v="O1000362"/>
        <s v="O1000363"/>
        <s v="O1000364"/>
        <s v="O1000365"/>
        <s v="O1000366"/>
        <s v="O1000367"/>
        <s v="O1000368"/>
        <s v="O1000369"/>
        <s v="O1000370"/>
        <s v="O1000371"/>
        <s v="O1000372"/>
        <s v="O1000373"/>
        <s v="O1000374"/>
        <s v="O1000375"/>
        <s v="O1000376"/>
        <s v="O1000377"/>
        <s v="O1000378"/>
        <s v="O1000379"/>
        <s v="O1000380"/>
        <s v="O1000381"/>
        <s v="O1000382"/>
        <s v="O1000383"/>
        <s v="O1000384"/>
        <s v="O1000385"/>
        <s v="O1000386"/>
        <s v="O1000387"/>
        <s v="O1000388"/>
        <s v="O1000389"/>
        <s v="O1000390"/>
        <s v="O1000391"/>
        <s v="O1000392"/>
        <s v="O1000393"/>
        <s v="O1000394"/>
        <s v="O1000395"/>
        <s v="O1000396"/>
        <s v="O1000397"/>
        <s v="O1000398"/>
        <s v="O1000399"/>
        <s v="O1000400"/>
        <s v="O1000401"/>
        <s v="O1000402"/>
        <s v="O1000403"/>
        <s v="O1000404"/>
        <s v="O1000405"/>
        <s v="O1000406"/>
        <s v="O1000407"/>
        <s v="O1000408"/>
        <s v="O1000409"/>
        <s v="O1000410"/>
        <s v="O1000411"/>
        <s v="O1000412"/>
        <s v="O1000413"/>
        <s v="O1000414"/>
        <s v="O1000415"/>
        <s v="O1000416"/>
        <s v="O1000417"/>
        <s v="O1000418"/>
        <s v="O1000419"/>
        <s v="O1000420"/>
        <s v="O1000421"/>
        <s v="O1000422"/>
        <s v="O1000423"/>
        <s v="O1000424"/>
        <s v="O1000425"/>
        <s v="O1000426"/>
        <s v="O1000427"/>
        <s v="O1000428"/>
        <s v="O1000429"/>
        <s v="O1000430"/>
        <s v="O1000431"/>
        <s v="O1000432"/>
        <s v="O1000433"/>
        <s v="O1000434"/>
        <s v="O1000435"/>
        <s v="O1000436"/>
        <s v="O1000437"/>
        <s v="O1000438"/>
        <s v="O1000439"/>
        <s v="O1000440"/>
        <s v="O1000441"/>
        <s v="O1000442"/>
        <s v="O1000443"/>
        <s v="O1000444"/>
        <s v="O1000445"/>
        <s v="O1000446"/>
        <s v="O1000447"/>
        <s v="O1000448"/>
        <s v="O1000449"/>
        <s v="O1000450"/>
        <s v="O1000451"/>
        <s v="O1000452"/>
        <s v="O1000453"/>
        <s v="O1000454"/>
        <s v="O1000455"/>
        <s v="O1000456"/>
        <s v="O1000457"/>
        <s v="O1000458"/>
        <s v="O1000459"/>
        <s v="O1000460"/>
        <s v="O1000461"/>
        <s v="O1000462"/>
        <s v="O1000463"/>
        <s v="O1000464"/>
        <s v="O1000465"/>
        <s v="O1000466"/>
        <s v="O1000467"/>
        <s v="O1000468"/>
        <s v="O1000469"/>
        <s v="O1000470"/>
        <s v="O1000471"/>
        <s v="O1000472"/>
        <s v="O1000473"/>
        <s v="O1000474"/>
        <s v="O1000475"/>
        <s v="O1000476"/>
        <s v="O1000477"/>
        <s v="O1000478"/>
        <s v="O1000479"/>
        <s v="O1000480"/>
        <s v="O1000481"/>
        <s v="O1000482"/>
        <s v="O1000483"/>
        <s v="O1000484"/>
        <s v="O1000485"/>
        <s v="O1000486"/>
        <s v="O1000487"/>
        <s v="O1000488"/>
        <s v="O1000489"/>
        <s v="O1000490"/>
        <s v="O1000491"/>
        <s v="O1000492"/>
        <s v="O1000493"/>
        <s v="O1000494"/>
        <s v="O1000495"/>
        <s v="O1000496"/>
        <s v="O1000497"/>
        <s v="O1000498"/>
        <s v="O1000499"/>
        <s v="O1000500"/>
        <s v="O1000501"/>
        <s v="O1000502"/>
        <s v="O1000503"/>
        <s v="O1000504"/>
        <s v="O1000505"/>
        <s v="O1000506"/>
        <s v="O1000507"/>
        <s v="O1000508"/>
        <s v="O1000509"/>
        <s v="O1000510"/>
        <s v="O1000511"/>
        <s v="O1000512"/>
        <s v="O1000513"/>
        <s v="O1000514"/>
        <s v="O1000515"/>
        <s v="O1000516"/>
        <s v="O1000517"/>
        <s v="O1000518"/>
        <s v="O1000519"/>
        <s v="O1000520"/>
        <s v="O1000521"/>
        <s v="O1000522"/>
        <s v="O1000523"/>
        <s v="O1000524"/>
        <s v="O1000525"/>
        <s v="O1000526"/>
        <s v="O1000527"/>
        <s v="O1000528"/>
        <s v="O1000529"/>
        <s v="O1000530"/>
        <s v="O1000531"/>
        <s v="O1000532"/>
        <s v="O1000533"/>
        <s v="O1000534"/>
        <s v="O1000535"/>
        <s v="O1000536"/>
        <s v="O1000537"/>
        <s v="O1000538"/>
        <s v="O1000539"/>
        <s v="O1000540"/>
        <s v="O1000541"/>
        <s v="O1000542"/>
        <s v="O1000543"/>
        <s v="O1000544"/>
        <s v="O1000545"/>
        <s v="O1000546"/>
        <s v="O1000547"/>
        <s v="O1000548"/>
        <s v="O1000549"/>
        <s v="O1000550"/>
        <s v="O1000551"/>
        <s v="O1000552"/>
        <s v="O1000553"/>
        <s v="O1000554"/>
        <s v="O1000555"/>
        <s v="O1000556"/>
        <s v="O1000557"/>
        <s v="O1000558"/>
        <s v="O1000559"/>
        <s v="O1000560"/>
        <s v="O1000561"/>
        <s v="O1000562"/>
        <s v="O1000563"/>
        <s v="O1000564"/>
        <s v="O1000565"/>
        <s v="O1000566"/>
        <s v="O1000567"/>
        <s v="O1000568"/>
        <s v="O1000569"/>
        <s v="O1000570"/>
        <s v="O1000571"/>
        <s v="O1000572"/>
        <s v="O1000573"/>
        <s v="O1000574"/>
        <s v="O1000575"/>
        <s v="O1000576"/>
        <s v="O1000577"/>
        <s v="O1000578"/>
        <s v="O1000579"/>
        <s v="O1000580"/>
        <s v="O1000581"/>
        <s v="O1000582"/>
        <s v="O1000583"/>
        <s v="O1000584"/>
        <s v="O1000585"/>
        <s v="O1000586"/>
        <s v="O1000587"/>
        <s v="O1000588"/>
        <s v="O1000589"/>
        <s v="O1000590"/>
        <s v="O1000591"/>
        <s v="O1000592"/>
        <s v="O1000593"/>
        <s v="O1000594"/>
        <s v="O1000595"/>
        <s v="O1000596"/>
        <s v="O1000597"/>
        <s v="O1000598"/>
        <s v="O1000599"/>
        <s v="O1000600"/>
        <s v="O1000601"/>
        <s v="O1000602"/>
        <s v="O1000603"/>
        <s v="O1000604"/>
        <s v="O1000605"/>
        <s v="O1000606"/>
        <s v="O1000607"/>
        <s v="O1000608"/>
        <s v="O1000609"/>
        <s v="O1000610"/>
        <s v="O1000611"/>
        <s v="O1000612"/>
        <s v="O1000613"/>
        <s v="O1000614"/>
        <s v="O1000615"/>
        <s v="O1000616"/>
        <s v="O1000617"/>
        <s v="O1000618"/>
        <s v="O1000619"/>
        <s v="O1000620"/>
        <s v="O1000621"/>
        <s v="O1000622"/>
        <s v="O1000623"/>
        <s v="O1000624"/>
        <s v="O1000625"/>
        <s v="O1000626"/>
        <s v="O1000627"/>
        <s v="O1000628"/>
        <s v="O1000629"/>
        <s v="O1000630"/>
        <s v="O1000631"/>
        <s v="O1000632"/>
        <s v="O1000633"/>
        <s v="O1000634"/>
        <s v="O1000635"/>
        <s v="O1000636"/>
        <s v="O1000637"/>
        <s v="O1000638"/>
        <s v="O1000639"/>
        <s v="O1000640"/>
        <s v="O1000641"/>
        <s v="O1000642"/>
        <s v="O1000643"/>
        <s v="O1000644"/>
        <s v="O1000645"/>
        <s v="O1000646"/>
        <s v="O1000647"/>
        <s v="O1000648"/>
        <s v="O1000649"/>
        <s v="O1000650"/>
        <s v="O1000651"/>
        <s v="O1000652"/>
        <s v="O1000653"/>
        <s v="O1000654"/>
        <s v="O1000655"/>
        <s v="O1000656"/>
        <s v="O1000657"/>
        <s v="O1000658"/>
        <s v="O1000659"/>
        <s v="O1000660"/>
        <s v="O1000661"/>
        <s v="O1000662"/>
        <s v="O1000663"/>
        <s v="O1000664"/>
        <s v="O1000665"/>
        <s v="O1000666"/>
        <s v="O1000667"/>
        <s v="O1000668"/>
        <s v="O1000669"/>
        <s v="O1000670"/>
        <s v="O1000671"/>
        <s v="O1000672"/>
        <s v="O1000673"/>
        <s v="O1000674"/>
        <s v="O1000675"/>
        <s v="O1000676"/>
        <s v="O1000677"/>
        <s v="O1000678"/>
        <s v="O1000679"/>
        <s v="O1000680"/>
        <s v="O1000681"/>
        <s v="O1000682"/>
        <s v="O1000683"/>
        <s v="O1000684"/>
        <s v="O1000685"/>
        <s v="O1000686"/>
        <s v="O1000687"/>
        <s v="O1000688"/>
        <s v="O1000689"/>
        <s v="O1000690"/>
        <s v="O1000691"/>
        <s v="O1000692"/>
        <s v="O1000693"/>
        <s v="O1000694"/>
        <s v="O1000695"/>
        <s v="O1000696"/>
        <s v="O1000697"/>
        <s v="O1000698"/>
        <s v="O1000699"/>
        <s v="O1000700"/>
        <s v="O1000701"/>
        <s v="O1000702"/>
        <s v="O1000703"/>
        <s v="O1000704"/>
        <s v="O1000705"/>
        <s v="O1000706"/>
        <s v="O1000707"/>
        <s v="O1000708"/>
        <s v="O1000709"/>
        <s v="O1000710"/>
        <s v="O1000711"/>
        <s v="O1000712"/>
        <s v="O1000713"/>
        <s v="O1000714"/>
        <s v="O1000715"/>
        <s v="O1000716"/>
        <s v="O1000717"/>
        <s v="O1000718"/>
        <s v="O1000719"/>
        <s v="O1000720"/>
        <s v="O1000721"/>
        <s v="O1000722"/>
        <s v="O1000723"/>
        <s v="O1000724"/>
        <s v="O1000725"/>
        <s v="O1000726"/>
        <s v="O1000727"/>
        <s v="O1000728"/>
        <s v="O1000729"/>
        <s v="O1000730"/>
        <s v="O1000731"/>
        <s v="O1000732"/>
        <s v="O1000733"/>
        <s v="O1000734"/>
        <s v="O1000735"/>
        <s v="O1000736"/>
        <s v="O1000737"/>
        <s v="O1000738"/>
        <s v="O1000739"/>
        <s v="O1000740"/>
        <s v="O1000741"/>
        <s v="O1000742"/>
        <s v="O1000743"/>
        <s v="O1000744"/>
        <s v="O1000745"/>
        <s v="O1000746"/>
        <s v="O1000747"/>
        <s v="O1000748"/>
        <s v="O1000749"/>
        <s v="O1000750"/>
        <s v="O1000751"/>
        <s v="O1000752"/>
        <s v="O1000753"/>
        <s v="O1000754"/>
        <s v="O1000755"/>
        <s v="O1000756"/>
        <s v="O1000757"/>
        <s v="O1000758"/>
        <s v="O1000759"/>
        <s v="O1000760"/>
        <s v="O1000761"/>
        <s v="O1000762"/>
        <s v="O1000763"/>
        <s v="O1000764"/>
        <s v="O1000765"/>
        <s v="O1000766"/>
        <s v="O1000767"/>
        <s v="O1000768"/>
        <s v="O1000769"/>
        <s v="O1000770"/>
        <s v="O1000771"/>
        <s v="O1000772"/>
        <s v="O1000773"/>
        <s v="O1000774"/>
        <s v="O1000775"/>
        <s v="O1000776"/>
        <s v="O1000777"/>
        <s v="O1000778"/>
        <s v="O1000779"/>
        <s v="O1000780"/>
        <s v="O1000781"/>
        <s v="O1000782"/>
        <s v="O1000783"/>
        <s v="O1000784"/>
        <s v="O1000785"/>
        <s v="O1000786"/>
        <s v="O1000787"/>
        <s v="O1000788"/>
        <s v="O1000789"/>
        <s v="O1000790"/>
        <s v="O1000791"/>
        <s v="O1000792"/>
        <s v="O1000793"/>
        <s v="O1000794"/>
        <s v="O1000795"/>
        <s v="O1000796"/>
        <s v="O1000797"/>
        <s v="O1000798"/>
        <s v="O1000799"/>
        <s v="O1000800"/>
        <s v="O1000801"/>
        <s v="O1000802"/>
        <s v="O1000803"/>
        <s v="O1000804"/>
        <s v="O1000805"/>
        <s v="O1000806"/>
        <s v="O1000807"/>
        <s v="O1000808"/>
        <s v="O1000809"/>
        <s v="O1000810"/>
        <s v="O1000811"/>
        <s v="O1000812"/>
        <s v="O1000813"/>
        <s v="O1000814"/>
        <s v="O1000815"/>
        <s v="O1000816"/>
        <s v="O1000817"/>
        <s v="O1000818"/>
        <s v="O1000819"/>
        <s v="O1000820"/>
        <s v="O1000821"/>
        <s v="O1000822"/>
        <s v="O1000823"/>
        <s v="O1000824"/>
        <s v="O1000825"/>
        <s v="O1000826"/>
        <s v="O1000827"/>
        <s v="O1000828"/>
        <s v="O1000829"/>
        <s v="O1000830"/>
        <s v="O1000831"/>
        <s v="O1000832"/>
        <s v="O1000833"/>
        <s v="O1000834"/>
        <s v="O1000835"/>
        <s v="O1000836"/>
        <s v="O1000837"/>
        <s v="O1000838"/>
        <s v="O1000839"/>
        <s v="O1000840"/>
        <s v="O1000841"/>
        <s v="O1000842"/>
        <s v="O1000843"/>
        <s v="O1000844"/>
        <s v="O1000845"/>
        <s v="O1000846"/>
        <s v="O1000847"/>
        <s v="O1000848"/>
        <s v="O1000849"/>
        <s v="O1000850"/>
        <s v="O1000851"/>
        <s v="O1000852"/>
        <s v="O1000853"/>
        <s v="O1000854"/>
        <s v="O1000855"/>
        <s v="O1000856"/>
        <s v="O1000857"/>
        <s v="O1000858"/>
        <s v="O1000859"/>
        <s v="O1000860"/>
        <s v="O1000861"/>
        <s v="O1000862"/>
        <s v="O1000863"/>
        <s v="O1000864"/>
        <s v="O1000865"/>
        <s v="O1000866"/>
        <s v="O1000867"/>
        <s v="O1000868"/>
        <s v="O1000869"/>
        <s v="O1000870"/>
        <s v="O1000871"/>
        <s v="O1000872"/>
        <s v="O1000873"/>
        <s v="O1000874"/>
        <s v="O1000875"/>
        <s v="O1000876"/>
        <s v="O1000877"/>
        <s v="O1000878"/>
        <s v="O1000879"/>
        <s v="O1000880"/>
        <s v="O1000881"/>
        <s v="O1000882"/>
        <s v="O1000883"/>
        <s v="O1000884"/>
        <s v="O1000885"/>
        <s v="O1000886"/>
        <s v="O1000887"/>
        <s v="O1000888"/>
        <s v="O1000889"/>
        <s v="O1000890"/>
        <s v="O1000891"/>
        <s v="O1000892"/>
        <s v="O1000893"/>
        <s v="O1000894"/>
        <s v="O1000895"/>
        <s v="O1000896"/>
        <s v="O1000897"/>
        <s v="O1000898"/>
        <s v="O1000899"/>
        <s v="O1000900"/>
        <s v="O1000901"/>
        <s v="O1000902"/>
        <s v="O1000903"/>
        <s v="O1000904"/>
        <s v="O1000905"/>
        <s v="O1000906"/>
        <s v="O1000907"/>
        <s v="O1000908"/>
        <s v="O1000909"/>
        <s v="O1000910"/>
        <s v="O1000911"/>
        <s v="O1000912"/>
        <s v="O1000913"/>
        <s v="O1000914"/>
        <s v="O1000915"/>
        <s v="O1000916"/>
        <s v="O1000917"/>
        <s v="O1000918"/>
        <s v="O1000919"/>
        <s v="O1000920"/>
        <s v="O1000921"/>
        <s v="O1000922"/>
        <s v="O1000923"/>
        <s v="O1000924"/>
        <s v="O1000925"/>
        <s v="O1000926"/>
        <s v="O1000927"/>
        <s v="O1000928"/>
        <s v="O1000929"/>
        <s v="O1000930"/>
        <s v="O1000931"/>
        <s v="O1000932"/>
        <s v="O1000933"/>
        <s v="O1000934"/>
        <s v="O1000935"/>
        <s v="O1000936"/>
        <s v="O1000937"/>
        <s v="O1000938"/>
        <s v="O1000939"/>
        <s v="O1000940"/>
        <s v="O1000941"/>
        <s v="O1000942"/>
        <s v="O1000943"/>
        <s v="O1000944"/>
        <s v="O1000945"/>
        <s v="O1000946"/>
        <s v="O1000947"/>
        <s v="O1000948"/>
        <s v="O1000949"/>
        <s v="O1000950"/>
        <s v="O1000951"/>
        <s v="O1000952"/>
        <s v="O1000953"/>
        <s v="O1000954"/>
        <s v="O1000955"/>
        <s v="O1000956"/>
        <s v="O1000957"/>
        <s v="O1000958"/>
        <s v="O1000959"/>
        <s v="O1000960"/>
        <s v="O1000961"/>
        <s v="O1000962"/>
        <s v="O1000963"/>
        <s v="O1000964"/>
        <s v="O1000965"/>
        <s v="O1000966"/>
        <s v="O1000967"/>
        <s v="O1000968"/>
        <s v="O1000969"/>
        <s v="O1000970"/>
        <s v="O1000971"/>
        <s v="O1000972"/>
        <s v="O1000973"/>
        <s v="O1000974"/>
        <s v="O1000975"/>
        <s v="O1000976"/>
        <s v="O1000977"/>
        <s v="O1000978"/>
        <s v="O1000979"/>
        <s v="O1000980"/>
        <s v="O1000981"/>
        <s v="O1000982"/>
        <s v="O1000983"/>
        <s v="O1000984"/>
        <s v="O1000985"/>
        <s v="O1000986"/>
        <s v="O1000987"/>
        <s v="O1000988"/>
        <s v="O1000989"/>
        <s v="O1000990"/>
        <s v="O1000991"/>
        <s v="O1000992"/>
        <s v="O1000993"/>
        <s v="O1000994"/>
        <s v="O1000995"/>
        <s v="O1000996"/>
        <s v="O1000997"/>
        <s v="O1000998"/>
        <s v="O1000999"/>
      </sharedItems>
    </cacheField>
    <cacheField name="Customer_ID" numFmtId="0">
      <sharedItems/>
    </cacheField>
    <cacheField name="Order_Date" numFmtId="164">
      <sharedItems containsSemiMixedTypes="0" containsNonDate="0" containsDate="1" containsString="0" minDate="2020-01-01T00:00:00" maxDate="2025-01-02T00:00:00"/>
    </cacheField>
    <cacheField name="Ship_Date" numFmtId="164">
      <sharedItems containsSemiMixedTypes="0" containsNonDate="0" containsDate="1" containsString="0" minDate="2020-01-05T00:00:00" maxDate="2025-01-10T00:00:00"/>
    </cacheField>
    <cacheField name="Ship_Mode" numFmtId="0">
      <sharedItems count="3">
        <s v="Same-day"/>
        <s v="Express"/>
        <s v="Standard"/>
      </sharedItems>
    </cacheField>
    <cacheField name="Region" numFmtId="0">
      <sharedItems/>
    </cacheField>
    <cacheField name="Country" numFmtId="0">
      <sharedItems/>
    </cacheField>
    <cacheField name="City" numFmtId="0">
      <sharedItems/>
    </cacheField>
    <cacheField name="Product_ID" numFmtId="0">
      <sharedItems/>
    </cacheField>
    <cacheField name="Category" numFmtId="0">
      <sharedItems/>
    </cacheField>
    <cacheField name="Sub_Category" numFmtId="0">
      <sharedItems/>
    </cacheField>
    <cacheField name="Product_Name" numFmtId="0">
      <sharedItems/>
    </cacheField>
    <cacheField name="Unit_Price" numFmtId="0">
      <sharedItems containsSemiMixedTypes="0" containsString="0" containsNumber="1" minValue="5.26" maxValue="499.5"/>
    </cacheField>
    <cacheField name="Quantity" numFmtId="0">
      <sharedItems containsSemiMixedTypes="0" containsString="0" containsNumber="1" containsInteger="1" minValue="1" maxValue="99"/>
    </cacheField>
    <cacheField name="Supplier_ID" numFmtId="0">
      <sharedItems/>
    </cacheField>
    <cacheField name="Supplier_Name" numFmtId="0">
      <sharedItems/>
    </cacheField>
    <cacheField name="Warehouse_ID" numFmtId="0">
      <sharedItems/>
    </cacheField>
    <cacheField name="Transport_Mode" numFmtId="0">
      <sharedItems count="4">
        <s v="Air"/>
        <s v="Road"/>
        <s v="Rail"/>
        <s v="Sea"/>
      </sharedItems>
    </cacheField>
    <cacheField name="Carrier" numFmtId="0">
      <sharedItems/>
    </cacheField>
    <cacheField name="Route" numFmtId="0">
      <sharedItems/>
    </cacheField>
    <cacheField name="Stock_On_Hand" numFmtId="0">
      <sharedItems containsSemiMixedTypes="0" containsString="0" containsNumber="1" containsInteger="1" minValue="9" maxValue="4999"/>
    </cacheField>
    <cacheField name="Reorder_Level" numFmtId="0">
      <sharedItems containsSemiMixedTypes="0" containsString="0" containsNumber="1" containsInteger="1" minValue="50" maxValue="499"/>
    </cacheField>
    <cacheField name="Lead_Time_Days" numFmtId="0">
      <sharedItems containsSemiMixedTypes="0" containsString="0" containsNumber="1" containsInteger="1" minValue="1" maxValue="29"/>
    </cacheField>
    <cacheField name="Procurement_Cost" numFmtId="0">
      <sharedItems containsSemiMixedTypes="0" containsString="0" containsNumber="1" minValue="50.33" maxValue="1998.97"/>
    </cacheField>
    <cacheField name="Transportation_Cost" numFmtId="0">
      <sharedItems containsSemiMixedTypes="0" containsString="0" containsNumber="1" minValue="10.39" maxValue="499.23"/>
    </cacheField>
    <cacheField name="Total_Cost" numFmtId="0">
      <sharedItems containsSemiMixedTypes="0" containsString="0" containsNumber="1" minValue="86.34" maxValue="2442.4"/>
    </cacheField>
    <cacheField name="Delivery_Status" numFmtId="0">
      <sharedItems count="2">
        <s v="Delayed"/>
        <s v="On-time"/>
      </sharedItems>
    </cacheField>
    <cacheField name="Delay_Days" numFmtId="0">
      <sharedItems containsSemiMixedTypes="0" containsString="0" containsNumber="1" containsInteger="1" minValue="0" maxValue="14"/>
    </cacheField>
    <cacheField name="Fill_Rate" numFmtId="0">
      <sharedItems containsSemiMixedTypes="0" containsString="0" containsNumber="1" minValue="70.02" maxValue="99.96"/>
    </cacheField>
    <cacheField name="Forecast_Demand" numFmtId="0">
      <sharedItems containsSemiMixedTypes="0" containsString="0" containsNumber="1" containsInteger="1" minValue="50" maxValue="499"/>
    </cacheField>
    <cacheField name="Actual_Demand" numFmtId="0">
      <sharedItems containsSemiMixedTypes="0" containsString="0" containsNumber="1" containsInteger="1" minValue="10" maxValue="5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s v="C6915"/>
    <d v="2022-09-19T00:00:00"/>
    <d v="2020-11-25T00:00:00"/>
    <x v="0"/>
    <s v="Asia"/>
    <s v="USA"/>
    <s v="New York"/>
    <s v="P11470"/>
    <s v="Electronics"/>
    <s v="Snacks"/>
    <s v="Product_2649"/>
    <n v="373.69"/>
    <n v="55"/>
    <s v="S933"/>
    <s v="Alpha Corp"/>
    <s v="W10"/>
    <x v="0"/>
    <s v="FedEx"/>
    <s v="Beijing-New York"/>
    <n v="4259"/>
    <n v="214"/>
    <n v="9"/>
    <n v="1474.56"/>
    <n v="406.15"/>
    <n v="1880.71"/>
    <x v="0"/>
    <n v="8"/>
    <n v="93.39"/>
    <n v="341"/>
    <n v="291"/>
  </r>
  <r>
    <x v="1"/>
    <s v="C5679"/>
    <d v="2021-12-25T00:00:00"/>
    <d v="2020-10-15T00:00:00"/>
    <x v="1"/>
    <s v="North America"/>
    <s v="India"/>
    <s v="Berlin"/>
    <s v="P31237"/>
    <s v="Food"/>
    <s v="Medicines"/>
    <s v="Product_5052"/>
    <n v="264.69"/>
    <n v="3"/>
    <s v="S987"/>
    <s v="Delta Traders"/>
    <s v="W49"/>
    <x v="1"/>
    <s v="FedEx"/>
    <s v="Toronto-Cape Town"/>
    <n v="1173"/>
    <n v="386"/>
    <n v="24"/>
    <n v="1874.56"/>
    <n v="421.77"/>
    <n v="2296.33"/>
    <x v="1"/>
    <n v="0"/>
    <n v="95.29"/>
    <n v="482"/>
    <n v="477"/>
  </r>
  <r>
    <x v="2"/>
    <s v="C3498"/>
    <d v="2020-08-02T00:00:00"/>
    <d v="2023-07-16T00:00:00"/>
    <x v="2"/>
    <s v="North America"/>
    <s v="Canada"/>
    <s v="Mumbai"/>
    <s v="P97172"/>
    <s v="Electronics"/>
    <s v="Laptop"/>
    <s v="Product_3438"/>
    <n v="497.44"/>
    <n v="80"/>
    <s v="S822"/>
    <s v="Alpha Corp"/>
    <s v="W38"/>
    <x v="0"/>
    <s v="DHL"/>
    <s v="São Paulo-Cape Town"/>
    <n v="588"/>
    <n v="398"/>
    <n v="27"/>
    <n v="439.67"/>
    <n v="289.19"/>
    <n v="728.86"/>
    <x v="1"/>
    <n v="0"/>
    <n v="76.63"/>
    <n v="461"/>
    <n v="476"/>
  </r>
  <r>
    <x v="3"/>
    <s v="C8748"/>
    <d v="2022-10-11T00:00:00"/>
    <d v="2022-11-23T00:00:00"/>
    <x v="1"/>
    <s v="South America"/>
    <s v="China"/>
    <s v="Toronto"/>
    <s v="P95052"/>
    <s v="Apparel"/>
    <s v="Chair"/>
    <s v="Product_1125"/>
    <n v="266.87"/>
    <n v="44"/>
    <s v="S114"/>
    <s v="Gamma Inc"/>
    <s v="W45"/>
    <x v="2"/>
    <s v="Maersk"/>
    <s v="Cape Town-Toronto"/>
    <n v="4700"/>
    <n v="381"/>
    <n v="29"/>
    <n v="1378.1"/>
    <n v="321.73"/>
    <n v="1699.83"/>
    <x v="1"/>
    <n v="0"/>
    <n v="85.24"/>
    <n v="150"/>
    <n v="198"/>
  </r>
  <r>
    <x v="4"/>
    <s v="C7620"/>
    <d v="2021-07-26T00:00:00"/>
    <d v="2024-02-18T00:00:00"/>
    <x v="2"/>
    <s v="Africa"/>
    <s v="UK"/>
    <s v="Berlin"/>
    <s v="P76170"/>
    <s v="Pharma"/>
    <s v="Shirt"/>
    <s v="Product_7942"/>
    <n v="360.94"/>
    <n v="18"/>
    <s v="S554"/>
    <s v="Delta Traders"/>
    <s v="W16"/>
    <x v="2"/>
    <s v="BlueDart"/>
    <s v="Berlin-São Paulo"/>
    <n v="1795"/>
    <n v="415"/>
    <n v="27"/>
    <n v="861.29"/>
    <n v="351.29"/>
    <n v="1212.58"/>
    <x v="1"/>
    <n v="0"/>
    <n v="86.44"/>
    <n v="89"/>
    <n v="93"/>
  </r>
  <r>
    <x v="5"/>
    <s v="C2078"/>
    <d v="2023-11-24T00:00:00"/>
    <d v="2022-02-10T00:00:00"/>
    <x v="1"/>
    <s v="North America"/>
    <s v="Germany"/>
    <s v="New York"/>
    <s v="P74006"/>
    <s v="Furniture"/>
    <s v="Shirt"/>
    <s v="Product_5026"/>
    <n v="172.93"/>
    <n v="35"/>
    <s v="S135"/>
    <s v="Epsilon LLC"/>
    <s v="W15"/>
    <x v="1"/>
    <s v="DHL"/>
    <s v="Toronto-Toronto"/>
    <n v="1159"/>
    <n v="228"/>
    <n v="13"/>
    <n v="690.34"/>
    <n v="410.07"/>
    <n v="1100.4100000000001"/>
    <x v="1"/>
    <n v="0"/>
    <n v="88.12"/>
    <n v="348"/>
    <n v="325"/>
  </r>
  <r>
    <x v="6"/>
    <s v="C6228"/>
    <d v="2024-08-11T00:00:00"/>
    <d v="2024-11-05T00:00:00"/>
    <x v="2"/>
    <s v="Africa"/>
    <s v="South Africa"/>
    <s v="São Paulo"/>
    <s v="P48808"/>
    <s v="Electronics"/>
    <s v="Snacks"/>
    <s v="Product_3099"/>
    <n v="103.93"/>
    <n v="38"/>
    <s v="S974"/>
    <s v="Gamma Inc"/>
    <s v="W34"/>
    <x v="2"/>
    <s v="Maersk"/>
    <s v="Cape Town-São Paulo"/>
    <n v="3330"/>
    <n v="425"/>
    <n v="28"/>
    <n v="1828.88"/>
    <n v="314.18"/>
    <n v="2143.06"/>
    <x v="1"/>
    <n v="0"/>
    <n v="93.23"/>
    <n v="488"/>
    <n v="511"/>
  </r>
  <r>
    <x v="7"/>
    <s v="C7718"/>
    <d v="2021-03-31T00:00:00"/>
    <d v="2023-01-12T00:00:00"/>
    <x v="2"/>
    <s v="Asia"/>
    <s v="China"/>
    <s v="New York"/>
    <s v="P44869"/>
    <s v="Apparel"/>
    <s v="Shirt"/>
    <s v="Product_9956"/>
    <n v="130.35"/>
    <n v="32"/>
    <s v="S154"/>
    <s v="Alpha Corp"/>
    <s v="W6"/>
    <x v="1"/>
    <s v="UPS"/>
    <s v="Berlin-New York"/>
    <n v="4252"/>
    <n v="229"/>
    <n v="22"/>
    <n v="468.41"/>
    <n v="453.18"/>
    <n v="921.59"/>
    <x v="1"/>
    <n v="0"/>
    <n v="86.46"/>
    <n v="425"/>
    <n v="378"/>
  </r>
  <r>
    <x v="8"/>
    <s v="C3973"/>
    <d v="2022-12-25T00:00:00"/>
    <d v="2023-08-07T00:00:00"/>
    <x v="1"/>
    <s v="Asia"/>
    <s v="China"/>
    <s v="Berlin"/>
    <s v="P71314"/>
    <s v="Electronics"/>
    <s v="Medicines"/>
    <s v="Product_8108"/>
    <n v="45.53"/>
    <n v="27"/>
    <s v="S357"/>
    <s v="Alpha Corp"/>
    <s v="W25"/>
    <x v="2"/>
    <s v="UPS"/>
    <s v="New York-Beijing"/>
    <n v="1395"/>
    <n v="419"/>
    <n v="27"/>
    <n v="1249.0999999999999"/>
    <n v="147.27000000000001"/>
    <n v="1396.37"/>
    <x v="0"/>
    <n v="5"/>
    <n v="98.59"/>
    <n v="379"/>
    <n v="402"/>
  </r>
  <r>
    <x v="9"/>
    <s v="C1323"/>
    <d v="2020-01-24T00:00:00"/>
    <d v="2021-03-07T00:00:00"/>
    <x v="1"/>
    <s v="Asia"/>
    <s v="Germany"/>
    <s v="New York"/>
    <s v="P89439"/>
    <s v="Food"/>
    <s v="Snacks"/>
    <s v="Product_6620"/>
    <n v="65.62"/>
    <n v="65"/>
    <s v="S160"/>
    <s v="Beta Ltd"/>
    <s v="W5"/>
    <x v="0"/>
    <s v="UPS"/>
    <s v="London-Berlin"/>
    <n v="1590"/>
    <n v="246"/>
    <n v="29"/>
    <n v="1632.88"/>
    <n v="415.97"/>
    <n v="2048.85"/>
    <x v="0"/>
    <n v="11"/>
    <n v="84.77"/>
    <n v="300"/>
    <n v="306"/>
  </r>
  <r>
    <x v="10"/>
    <s v="C3178"/>
    <d v="2020-01-24T00:00:00"/>
    <d v="2020-08-16T00:00:00"/>
    <x v="0"/>
    <s v="Europe"/>
    <s v="USA"/>
    <s v="Beijing"/>
    <s v="P30947"/>
    <s v="Pharma"/>
    <s v="Shirt"/>
    <s v="Product_2942"/>
    <n v="309.55"/>
    <n v="93"/>
    <s v="S132"/>
    <s v="Alpha Corp"/>
    <s v="W4"/>
    <x v="3"/>
    <s v="DHL"/>
    <s v="Mumbai-Cape Town"/>
    <n v="2116"/>
    <n v="291"/>
    <n v="4"/>
    <n v="384.63"/>
    <n v="337.66"/>
    <n v="722.29"/>
    <x v="1"/>
    <n v="0"/>
    <n v="94.8"/>
    <n v="425"/>
    <n v="386"/>
  </r>
  <r>
    <x v="11"/>
    <s v="C3505"/>
    <d v="2024-12-05T00:00:00"/>
    <d v="2020-07-18T00:00:00"/>
    <x v="1"/>
    <s v="Europe"/>
    <s v="China"/>
    <s v="Berlin"/>
    <s v="P88708"/>
    <s v="Electronics"/>
    <s v="Shirt"/>
    <s v="Product_7793"/>
    <n v="186.56"/>
    <n v="93"/>
    <s v="S546"/>
    <s v="Alpha Corp"/>
    <s v="W47"/>
    <x v="1"/>
    <s v="UPS"/>
    <s v="Cape Town-Mumbai"/>
    <n v="4911"/>
    <n v="358"/>
    <n v="18"/>
    <n v="706.31"/>
    <n v="293.54000000000002"/>
    <n v="999.84999999999991"/>
    <x v="1"/>
    <n v="0"/>
    <n v="70.02"/>
    <n v="257"/>
    <n v="257"/>
  </r>
  <r>
    <x v="12"/>
    <s v="C4735"/>
    <d v="2023-09-25T00:00:00"/>
    <d v="2020-07-12T00:00:00"/>
    <x v="2"/>
    <s v="South America"/>
    <s v="South Africa"/>
    <s v="Cape Town"/>
    <s v="P83879"/>
    <s v="Furniture"/>
    <s v="Snacks"/>
    <s v="Product_5247"/>
    <n v="88.2"/>
    <n v="91"/>
    <s v="S468"/>
    <s v="Epsilon LLC"/>
    <s v="W29"/>
    <x v="2"/>
    <s v="DHL"/>
    <s v="Beijing-London"/>
    <n v="2805"/>
    <n v="490"/>
    <n v="2"/>
    <n v="1263.24"/>
    <n v="80.16"/>
    <n v="1343.4"/>
    <x v="1"/>
    <n v="0"/>
    <n v="76.64"/>
    <n v="428"/>
    <n v="434"/>
  </r>
  <r>
    <x v="13"/>
    <s v="C1316"/>
    <d v="2023-12-12T00:00:00"/>
    <d v="2024-04-21T00:00:00"/>
    <x v="2"/>
    <s v="South America"/>
    <s v="South Africa"/>
    <s v="São Paulo"/>
    <s v="P57583"/>
    <s v="Apparel"/>
    <s v="Shirt"/>
    <s v="Product_5819"/>
    <n v="165.4"/>
    <n v="55"/>
    <s v="S674"/>
    <s v="Delta Traders"/>
    <s v="W1"/>
    <x v="0"/>
    <s v="DHL"/>
    <s v="Berlin-Cape Town"/>
    <n v="4728"/>
    <n v="220"/>
    <n v="26"/>
    <n v="1831.52"/>
    <n v="70.27"/>
    <n v="1901.79"/>
    <x v="0"/>
    <n v="10"/>
    <n v="91.19"/>
    <n v="252"/>
    <n v="222"/>
  </r>
  <r>
    <x v="14"/>
    <s v="C8897"/>
    <d v="2024-10-20T00:00:00"/>
    <d v="2021-08-27T00:00:00"/>
    <x v="1"/>
    <s v="North America"/>
    <s v="UK"/>
    <s v="Beijing"/>
    <s v="P41902"/>
    <s v="Furniture"/>
    <s v="Chair"/>
    <s v="Product_9575"/>
    <n v="20.3"/>
    <n v="56"/>
    <s v="S777"/>
    <s v="Beta Ltd"/>
    <s v="W40"/>
    <x v="0"/>
    <s v="DHL"/>
    <s v="Beijing-Cape Town"/>
    <n v="3385"/>
    <n v="274"/>
    <n v="6"/>
    <n v="1243.6500000000001"/>
    <n v="168.46"/>
    <n v="1412.11"/>
    <x v="1"/>
    <n v="0"/>
    <n v="83.04"/>
    <n v="421"/>
    <n v="445"/>
  </r>
  <r>
    <x v="15"/>
    <s v="C9273"/>
    <d v="2022-08-12T00:00:00"/>
    <d v="2024-05-17T00:00:00"/>
    <x v="1"/>
    <s v="North America"/>
    <s v="India"/>
    <s v="Beijing"/>
    <s v="P60450"/>
    <s v="Furniture"/>
    <s v="Shirt"/>
    <s v="Product_6493"/>
    <n v="94.21"/>
    <n v="19"/>
    <s v="S303"/>
    <s v="Alpha Corp"/>
    <s v="W9"/>
    <x v="2"/>
    <s v="BlueDart"/>
    <s v="Berlin-Beijing"/>
    <n v="551"/>
    <n v="202"/>
    <n v="20"/>
    <n v="245.11"/>
    <n v="180.68"/>
    <n v="425.79"/>
    <x v="1"/>
    <n v="0"/>
    <n v="93.23"/>
    <n v="199"/>
    <n v="218"/>
  </r>
  <r>
    <x v="16"/>
    <s v="C8456"/>
    <d v="2022-05-07T00:00:00"/>
    <d v="2021-12-24T00:00:00"/>
    <x v="1"/>
    <s v="South America"/>
    <s v="USA"/>
    <s v="Mumbai"/>
    <s v="P55882"/>
    <s v="Electronics"/>
    <s v="Snacks"/>
    <s v="Product_7962"/>
    <n v="33"/>
    <n v="16"/>
    <s v="S613"/>
    <s v="Gamma Inc"/>
    <s v="W1"/>
    <x v="2"/>
    <s v="Maersk"/>
    <s v="Mumbai-New York"/>
    <n v="2548"/>
    <n v="53"/>
    <n v="8"/>
    <n v="1545.99"/>
    <n v="22.39"/>
    <n v="1568.38"/>
    <x v="1"/>
    <n v="0"/>
    <n v="76.39"/>
    <n v="320"/>
    <n v="313"/>
  </r>
  <r>
    <x v="17"/>
    <s v="C2608"/>
    <d v="2020-07-10T00:00:00"/>
    <d v="2024-08-26T00:00:00"/>
    <x v="2"/>
    <s v="North America"/>
    <s v="South Africa"/>
    <s v="Beijing"/>
    <s v="P80701"/>
    <s v="Furniture"/>
    <s v="Chair"/>
    <s v="Product_1835"/>
    <n v="397.89"/>
    <n v="60"/>
    <s v="S227"/>
    <s v="Delta Traders"/>
    <s v="W3"/>
    <x v="0"/>
    <s v="UPS"/>
    <s v="New York-Cape Town"/>
    <n v="1899"/>
    <n v="368"/>
    <n v="1"/>
    <n v="1961.05"/>
    <n v="348.86"/>
    <n v="2309.91"/>
    <x v="1"/>
    <n v="0"/>
    <n v="92.39"/>
    <n v="263"/>
    <n v="226"/>
  </r>
  <r>
    <x v="18"/>
    <s v="C3534"/>
    <d v="2020-09-08T00:00:00"/>
    <d v="2023-05-10T00:00:00"/>
    <x v="2"/>
    <s v="Europe"/>
    <s v="USA"/>
    <s v="São Paulo"/>
    <s v="P73290"/>
    <s v="Apparel"/>
    <s v="Shirt"/>
    <s v="Product_4581"/>
    <n v="127.64"/>
    <n v="27"/>
    <s v="S665"/>
    <s v="Epsilon LLC"/>
    <s v="W4"/>
    <x v="1"/>
    <s v="BlueDart"/>
    <s v="Toronto-Toronto"/>
    <n v="2169"/>
    <n v="153"/>
    <n v="12"/>
    <n v="972.32"/>
    <n v="327.31"/>
    <n v="1299.6300000000001"/>
    <x v="1"/>
    <n v="0"/>
    <n v="74.36"/>
    <n v="356"/>
    <n v="350"/>
  </r>
  <r>
    <x v="19"/>
    <s v="C6902"/>
    <d v="2024-04-12T00:00:00"/>
    <d v="2024-02-28T00:00:00"/>
    <x v="2"/>
    <s v="North America"/>
    <s v="Germany"/>
    <s v="São Paulo"/>
    <s v="P73074"/>
    <s v="Electronics"/>
    <s v="Medicines"/>
    <s v="Product_5496"/>
    <n v="209.01"/>
    <n v="84"/>
    <s v="S742"/>
    <s v="Beta Ltd"/>
    <s v="W28"/>
    <x v="2"/>
    <s v="UPS"/>
    <s v="Cape Town-New York"/>
    <n v="4885"/>
    <n v="158"/>
    <n v="1"/>
    <n v="1991.58"/>
    <n v="297.87"/>
    <n v="2289.4499999999998"/>
    <x v="1"/>
    <n v="0"/>
    <n v="80.67"/>
    <n v="456"/>
    <n v="477"/>
  </r>
  <r>
    <x v="20"/>
    <s v="C9827"/>
    <d v="2021-01-11T00:00:00"/>
    <d v="2020-03-21T00:00:00"/>
    <x v="2"/>
    <s v="South America"/>
    <s v="Canada"/>
    <s v="London"/>
    <s v="P76655"/>
    <s v="Furniture"/>
    <s v="Medicines"/>
    <s v="Product_9273"/>
    <n v="173.65"/>
    <n v="94"/>
    <s v="S752"/>
    <s v="Gamma Inc"/>
    <s v="W28"/>
    <x v="0"/>
    <s v="Maersk"/>
    <s v="Mumbai-São Paulo"/>
    <n v="3809"/>
    <n v="442"/>
    <n v="27"/>
    <n v="842.25"/>
    <n v="325.32"/>
    <n v="1167.57"/>
    <x v="1"/>
    <n v="0"/>
    <n v="81.75"/>
    <n v="298"/>
    <n v="300"/>
  </r>
  <r>
    <x v="21"/>
    <s v="C4756"/>
    <d v="2023-03-10T00:00:00"/>
    <d v="2024-11-05T00:00:00"/>
    <x v="1"/>
    <s v="Africa"/>
    <s v="Germany"/>
    <s v="São Paulo"/>
    <s v="P33615"/>
    <s v="Electronics"/>
    <s v="Shirt"/>
    <s v="Product_2246"/>
    <n v="118.26"/>
    <n v="88"/>
    <s v="S448"/>
    <s v="Beta Ltd"/>
    <s v="W26"/>
    <x v="1"/>
    <s v="Maersk"/>
    <s v="Cape Town-Mumbai"/>
    <n v="3553"/>
    <n v="417"/>
    <n v="25"/>
    <n v="1100.94"/>
    <n v="287.49"/>
    <n v="1388.43"/>
    <x v="0"/>
    <n v="5"/>
    <n v="94.24"/>
    <n v="466"/>
    <n v="491"/>
  </r>
  <r>
    <x v="22"/>
    <s v="C6997"/>
    <d v="2020-07-31T00:00:00"/>
    <d v="2020-07-09T00:00:00"/>
    <x v="0"/>
    <s v="Europe"/>
    <s v="USA"/>
    <s v="Toronto"/>
    <s v="P63903"/>
    <s v="Electronics"/>
    <s v="Laptop"/>
    <s v="Product_3631"/>
    <n v="282.82"/>
    <n v="52"/>
    <s v="S825"/>
    <s v="Delta Traders"/>
    <s v="W44"/>
    <x v="3"/>
    <s v="BlueDart"/>
    <s v="Cape Town-London"/>
    <n v="2101"/>
    <n v="169"/>
    <n v="8"/>
    <n v="1318.04"/>
    <n v="448.9"/>
    <n v="1766.94"/>
    <x v="1"/>
    <n v="0"/>
    <n v="93.64"/>
    <n v="128"/>
    <n v="123"/>
  </r>
  <r>
    <x v="23"/>
    <s v="C1028"/>
    <d v="2021-08-18T00:00:00"/>
    <d v="2020-08-01T00:00:00"/>
    <x v="2"/>
    <s v="South America"/>
    <s v="USA"/>
    <s v="Berlin"/>
    <s v="P73032"/>
    <s v="Apparel"/>
    <s v="Shirt"/>
    <s v="Product_4249"/>
    <n v="332.15"/>
    <n v="64"/>
    <s v="S576"/>
    <s v="Alpha Corp"/>
    <s v="W8"/>
    <x v="2"/>
    <s v="DHL"/>
    <s v="London-São Paulo"/>
    <n v="2108"/>
    <n v="181"/>
    <n v="5"/>
    <n v="596.41"/>
    <n v="250.91"/>
    <n v="847.31999999999994"/>
    <x v="1"/>
    <n v="0"/>
    <n v="70.77"/>
    <n v="316"/>
    <n v="343"/>
  </r>
  <r>
    <x v="24"/>
    <s v="C4401"/>
    <d v="2023-01-16T00:00:00"/>
    <d v="2022-02-15T00:00:00"/>
    <x v="2"/>
    <s v="South America"/>
    <s v="USA"/>
    <s v="Cape Town"/>
    <s v="P81838"/>
    <s v="Pharma"/>
    <s v="Snacks"/>
    <s v="Product_7998"/>
    <n v="320.01"/>
    <n v="42"/>
    <s v="S412"/>
    <s v="Epsilon LLC"/>
    <s v="W30"/>
    <x v="1"/>
    <s v="Maersk"/>
    <s v="London-Toronto"/>
    <n v="861"/>
    <n v="169"/>
    <n v="24"/>
    <n v="1865.44"/>
    <n v="442.41"/>
    <n v="2307.85"/>
    <x v="1"/>
    <n v="0"/>
    <n v="78.569999999999993"/>
    <n v="335"/>
    <n v="311"/>
  </r>
  <r>
    <x v="25"/>
    <s v="C4979"/>
    <d v="2024-05-29T00:00:00"/>
    <d v="2024-11-29T00:00:00"/>
    <x v="1"/>
    <s v="Asia"/>
    <s v="China"/>
    <s v="Berlin"/>
    <s v="P19545"/>
    <s v="Furniture"/>
    <s v="Shirt"/>
    <s v="Product_1951"/>
    <n v="386.85"/>
    <n v="93"/>
    <s v="S664"/>
    <s v="Beta Ltd"/>
    <s v="W15"/>
    <x v="0"/>
    <s v="BlueDart"/>
    <s v="Berlin-Toronto"/>
    <n v="1879"/>
    <n v="64"/>
    <n v="4"/>
    <n v="1019.67"/>
    <n v="486.56"/>
    <n v="1506.23"/>
    <x v="1"/>
    <n v="0"/>
    <n v="95.27"/>
    <n v="85"/>
    <n v="121"/>
  </r>
  <r>
    <x v="26"/>
    <s v="C9865"/>
    <d v="2022-12-10T00:00:00"/>
    <d v="2020-12-27T00:00:00"/>
    <x v="2"/>
    <s v="Africa"/>
    <s v="Germany"/>
    <s v="Mumbai"/>
    <s v="P41769"/>
    <s v="Electronics"/>
    <s v="Chair"/>
    <s v="Product_8270"/>
    <n v="145.83000000000001"/>
    <n v="81"/>
    <s v="S710"/>
    <s v="Alpha Corp"/>
    <s v="W7"/>
    <x v="1"/>
    <s v="Maersk"/>
    <s v="New York-São Paulo"/>
    <n v="2241"/>
    <n v="314"/>
    <n v="14"/>
    <n v="1043.45"/>
    <n v="220.42"/>
    <n v="1263.8699999999999"/>
    <x v="1"/>
    <n v="0"/>
    <n v="81.22"/>
    <n v="325"/>
    <n v="287"/>
  </r>
  <r>
    <x v="27"/>
    <s v="C4004"/>
    <d v="2021-07-20T00:00:00"/>
    <d v="2024-12-04T00:00:00"/>
    <x v="1"/>
    <s v="Europe"/>
    <s v="Canada"/>
    <s v="Cape Town"/>
    <s v="P80089"/>
    <s v="Furniture"/>
    <s v="Chair"/>
    <s v="Product_6190"/>
    <n v="468.12"/>
    <n v="82"/>
    <s v="S764"/>
    <s v="Delta Traders"/>
    <s v="W4"/>
    <x v="2"/>
    <s v="Maersk"/>
    <s v="Cape Town-New York"/>
    <n v="4837"/>
    <n v="267"/>
    <n v="10"/>
    <n v="1473.47"/>
    <n v="10.39"/>
    <n v="1483.86"/>
    <x v="1"/>
    <n v="0"/>
    <n v="79.400000000000006"/>
    <n v="297"/>
    <n v="342"/>
  </r>
  <r>
    <x v="28"/>
    <s v="C6243"/>
    <d v="2022-05-18T00:00:00"/>
    <d v="2020-03-24T00:00:00"/>
    <x v="2"/>
    <s v="South America"/>
    <s v="USA"/>
    <s v="Berlin"/>
    <s v="P51876"/>
    <s v="Furniture"/>
    <s v="Snacks"/>
    <s v="Product_8864"/>
    <n v="242.57"/>
    <n v="80"/>
    <s v="S306"/>
    <s v="Gamma Inc"/>
    <s v="W25"/>
    <x v="2"/>
    <s v="UPS"/>
    <s v="São Paulo-London"/>
    <n v="4069"/>
    <n v="438"/>
    <n v="29"/>
    <n v="1043.1099999999999"/>
    <n v="204.1"/>
    <n v="1247.21"/>
    <x v="1"/>
    <n v="0"/>
    <n v="83.57"/>
    <n v="121"/>
    <n v="161"/>
  </r>
  <r>
    <x v="29"/>
    <s v="C4550"/>
    <d v="2021-06-21T00:00:00"/>
    <d v="2023-06-01T00:00:00"/>
    <x v="1"/>
    <s v="South America"/>
    <s v="South Africa"/>
    <s v="Berlin"/>
    <s v="P14179"/>
    <s v="Apparel"/>
    <s v="Medicines"/>
    <s v="Product_5050"/>
    <n v="351.99"/>
    <n v="13"/>
    <s v="S936"/>
    <s v="Delta Traders"/>
    <s v="W44"/>
    <x v="2"/>
    <s v="UPS"/>
    <s v="Beijing-Berlin"/>
    <n v="844"/>
    <n v="135"/>
    <n v="22"/>
    <n v="828.72"/>
    <n v="468.59"/>
    <n v="1297.31"/>
    <x v="0"/>
    <n v="1"/>
    <n v="93.61"/>
    <n v="69"/>
    <n v="22"/>
  </r>
  <r>
    <x v="30"/>
    <s v="C4586"/>
    <d v="2020-01-19T00:00:00"/>
    <d v="2021-04-09T00:00:00"/>
    <x v="1"/>
    <s v="Europe"/>
    <s v="China"/>
    <s v="Toronto"/>
    <s v="P88270"/>
    <s v="Food"/>
    <s v="Laptop"/>
    <s v="Product_5914"/>
    <n v="411.06"/>
    <n v="7"/>
    <s v="S366"/>
    <s v="Beta Ltd"/>
    <s v="W30"/>
    <x v="2"/>
    <s v="UPS"/>
    <s v="Toronto-Cape Town"/>
    <n v="94"/>
    <n v="201"/>
    <n v="25"/>
    <n v="1488.94"/>
    <n v="168.71"/>
    <n v="1657.65"/>
    <x v="1"/>
    <n v="0"/>
    <n v="79.900000000000006"/>
    <n v="107"/>
    <n v="114"/>
  </r>
  <r>
    <x v="31"/>
    <s v="C1027"/>
    <d v="2024-11-07T00:00:00"/>
    <d v="2024-08-12T00:00:00"/>
    <x v="2"/>
    <s v="Africa"/>
    <s v="USA"/>
    <s v="São Paulo"/>
    <s v="P33413"/>
    <s v="Apparel"/>
    <s v="Snacks"/>
    <s v="Product_4375"/>
    <n v="137.82"/>
    <n v="54"/>
    <s v="S203"/>
    <s v="Alpha Corp"/>
    <s v="W13"/>
    <x v="1"/>
    <s v="DHL"/>
    <s v="São Paulo-Mumbai"/>
    <n v="69"/>
    <n v="344"/>
    <n v="25"/>
    <n v="1967.45"/>
    <n v="375.64"/>
    <n v="2343.09"/>
    <x v="1"/>
    <n v="0"/>
    <n v="83.54"/>
    <n v="438"/>
    <n v="395"/>
  </r>
  <r>
    <x v="32"/>
    <s v="C9007"/>
    <d v="2023-08-08T00:00:00"/>
    <d v="2021-11-14T00:00:00"/>
    <x v="1"/>
    <s v="Europe"/>
    <s v="Canada"/>
    <s v="Mumbai"/>
    <s v="P20293"/>
    <s v="Electronics"/>
    <s v="Laptop"/>
    <s v="Product_3138"/>
    <n v="300.33999999999997"/>
    <n v="24"/>
    <s v="S104"/>
    <s v="Beta Ltd"/>
    <s v="W30"/>
    <x v="0"/>
    <s v="UPS"/>
    <s v="Mumbai-Mumbai"/>
    <n v="4925"/>
    <n v="263"/>
    <n v="24"/>
    <n v="1282.05"/>
    <n v="333.53"/>
    <n v="1615.58"/>
    <x v="1"/>
    <n v="0"/>
    <n v="89.63"/>
    <n v="210"/>
    <n v="216"/>
  </r>
  <r>
    <x v="33"/>
    <s v="C5653"/>
    <d v="2020-07-10T00:00:00"/>
    <d v="2023-11-08T00:00:00"/>
    <x v="2"/>
    <s v="North America"/>
    <s v="USA"/>
    <s v="Toronto"/>
    <s v="P14009"/>
    <s v="Pharma"/>
    <s v="Medicines"/>
    <s v="Product_9358"/>
    <n v="216.49"/>
    <n v="37"/>
    <s v="S156"/>
    <s v="Beta Ltd"/>
    <s v="W25"/>
    <x v="3"/>
    <s v="BlueDart"/>
    <s v="London-Cape Town"/>
    <n v="3907"/>
    <n v="302"/>
    <n v="15"/>
    <n v="1106.1099999999999"/>
    <n v="27.21"/>
    <n v="1133.32"/>
    <x v="1"/>
    <n v="0"/>
    <n v="71.8"/>
    <n v="53"/>
    <n v="52"/>
  </r>
  <r>
    <x v="34"/>
    <s v="C1669"/>
    <d v="2022-05-15T00:00:00"/>
    <d v="2021-12-03T00:00:00"/>
    <x v="2"/>
    <s v="South America"/>
    <s v="China"/>
    <s v="Berlin"/>
    <s v="P72467"/>
    <s v="Electronics"/>
    <s v="Chair"/>
    <s v="Product_2436"/>
    <n v="333.08"/>
    <n v="75"/>
    <s v="S386"/>
    <s v="Alpha Corp"/>
    <s v="W8"/>
    <x v="3"/>
    <s v="DHL"/>
    <s v="Beijing-Beijing"/>
    <n v="2211"/>
    <n v="55"/>
    <n v="11"/>
    <n v="578.38"/>
    <n v="28.73"/>
    <n v="607.11"/>
    <x v="0"/>
    <n v="9"/>
    <n v="94.51"/>
    <n v="319"/>
    <n v="343"/>
  </r>
  <r>
    <x v="35"/>
    <s v="C7631"/>
    <d v="2022-12-29T00:00:00"/>
    <d v="2022-07-18T00:00:00"/>
    <x v="2"/>
    <s v="Europe"/>
    <s v="China"/>
    <s v="Berlin"/>
    <s v="P41996"/>
    <s v="Furniture"/>
    <s v="Chair"/>
    <s v="Product_2400"/>
    <n v="145.38"/>
    <n v="1"/>
    <s v="S148"/>
    <s v="Beta Ltd"/>
    <s v="W37"/>
    <x v="3"/>
    <s v="Maersk"/>
    <s v="Cape Town-Berlin"/>
    <n v="3348"/>
    <n v="136"/>
    <n v="13"/>
    <n v="1821.62"/>
    <n v="340.54"/>
    <n v="2162.16"/>
    <x v="1"/>
    <n v="0"/>
    <n v="78.680000000000007"/>
    <n v="87"/>
    <n v="40"/>
  </r>
  <r>
    <x v="36"/>
    <s v="C3771"/>
    <d v="2020-02-21T00:00:00"/>
    <d v="2021-11-30T00:00:00"/>
    <x v="2"/>
    <s v="North America"/>
    <s v="UK"/>
    <s v="Beijing"/>
    <s v="P83068"/>
    <s v="Pharma"/>
    <s v="Medicines"/>
    <s v="Product_8341"/>
    <n v="480"/>
    <n v="51"/>
    <s v="S525"/>
    <s v="Delta Traders"/>
    <s v="W14"/>
    <x v="0"/>
    <s v="UPS"/>
    <s v="Cape Town-Mumbai"/>
    <n v="1715"/>
    <n v="134"/>
    <n v="4"/>
    <n v="1113.7"/>
    <n v="465.86"/>
    <n v="1579.56"/>
    <x v="1"/>
    <n v="0"/>
    <n v="98.67"/>
    <n v="94"/>
    <n v="120"/>
  </r>
  <r>
    <x v="37"/>
    <s v="C9325"/>
    <d v="2021-03-07T00:00:00"/>
    <d v="2022-03-07T00:00:00"/>
    <x v="1"/>
    <s v="Africa"/>
    <s v="UK"/>
    <s v="Toronto"/>
    <s v="P32637"/>
    <s v="Food"/>
    <s v="Shirt"/>
    <s v="Product_6247"/>
    <n v="470.66"/>
    <n v="68"/>
    <s v="S845"/>
    <s v="Alpha Corp"/>
    <s v="W23"/>
    <x v="2"/>
    <s v="FedEx"/>
    <s v="Berlin-Mumbai"/>
    <n v="4201"/>
    <n v="360"/>
    <n v="28"/>
    <n v="606.94000000000005"/>
    <n v="164.04"/>
    <n v="770.98"/>
    <x v="0"/>
    <n v="7"/>
    <n v="70.42"/>
    <n v="286"/>
    <n v="243"/>
  </r>
  <r>
    <x v="38"/>
    <s v="C9195"/>
    <d v="2021-02-02T00:00:00"/>
    <d v="2020-03-05T00:00:00"/>
    <x v="2"/>
    <s v="Asia"/>
    <s v="India"/>
    <s v="New York"/>
    <s v="P85329"/>
    <s v="Food"/>
    <s v="Medicines"/>
    <s v="Product_4233"/>
    <n v="180"/>
    <n v="67"/>
    <s v="S139"/>
    <s v="Alpha Corp"/>
    <s v="W4"/>
    <x v="1"/>
    <s v="BlueDart"/>
    <s v="São Paulo-Mumbai"/>
    <n v="1642"/>
    <n v="144"/>
    <n v="2"/>
    <n v="1800.52"/>
    <n v="464.69"/>
    <n v="2265.21"/>
    <x v="0"/>
    <n v="13"/>
    <n v="74.709999999999994"/>
    <n v="255"/>
    <n v="255"/>
  </r>
  <r>
    <x v="39"/>
    <s v="C4804"/>
    <d v="2023-08-06T00:00:00"/>
    <d v="2022-08-18T00:00:00"/>
    <x v="2"/>
    <s v="South America"/>
    <s v="Brazil"/>
    <s v="Beijing"/>
    <s v="P34699"/>
    <s v="Furniture"/>
    <s v="Laptop"/>
    <s v="Product_8882"/>
    <n v="99.22"/>
    <n v="60"/>
    <s v="S546"/>
    <s v="Epsilon LLC"/>
    <s v="W46"/>
    <x v="2"/>
    <s v="Maersk"/>
    <s v="Toronto-London"/>
    <n v="4384"/>
    <n v="346"/>
    <n v="21"/>
    <n v="1003.34"/>
    <n v="141.62"/>
    <n v="1144.96"/>
    <x v="1"/>
    <n v="0"/>
    <n v="76.63"/>
    <n v="433"/>
    <n v="448"/>
  </r>
  <r>
    <x v="40"/>
    <s v="C8013"/>
    <d v="2024-03-21T00:00:00"/>
    <d v="2024-12-07T00:00:00"/>
    <x v="2"/>
    <s v="South America"/>
    <s v="USA"/>
    <s v="Cape Town"/>
    <s v="P58551"/>
    <s v="Pharma"/>
    <s v="Snacks"/>
    <s v="Product_3985"/>
    <n v="214.03"/>
    <n v="46"/>
    <s v="S990"/>
    <s v="Beta Ltd"/>
    <s v="W35"/>
    <x v="2"/>
    <s v="DHL"/>
    <s v="Toronto-Toronto"/>
    <n v="141"/>
    <n v="93"/>
    <n v="22"/>
    <n v="720.04"/>
    <n v="53.53"/>
    <n v="773.56999999999994"/>
    <x v="1"/>
    <n v="0"/>
    <n v="70.56"/>
    <n v="136"/>
    <n v="142"/>
  </r>
  <r>
    <x v="41"/>
    <s v="C6886"/>
    <d v="2020-06-05T00:00:00"/>
    <d v="2023-09-03T00:00:00"/>
    <x v="2"/>
    <s v="Africa"/>
    <s v="Brazil"/>
    <s v="Toronto"/>
    <s v="P20658"/>
    <s v="Furniture"/>
    <s v="Chair"/>
    <s v="Product_3326"/>
    <n v="101.7"/>
    <n v="40"/>
    <s v="S112"/>
    <s v="Alpha Corp"/>
    <s v="W29"/>
    <x v="0"/>
    <s v="DHL"/>
    <s v="São Paulo-Beijing"/>
    <n v="2411"/>
    <n v="281"/>
    <n v="15"/>
    <n v="915.63"/>
    <n v="97.85"/>
    <n v="1013.48"/>
    <x v="1"/>
    <n v="0"/>
    <n v="79.010000000000005"/>
    <n v="411"/>
    <n v="389"/>
  </r>
  <r>
    <x v="42"/>
    <s v="C8484"/>
    <d v="2022-10-27T00:00:00"/>
    <d v="2024-10-17T00:00:00"/>
    <x v="2"/>
    <s v="Africa"/>
    <s v="South Africa"/>
    <s v="Toronto"/>
    <s v="P55047"/>
    <s v="Furniture"/>
    <s v="Medicines"/>
    <s v="Product_5447"/>
    <n v="35.479999999999997"/>
    <n v="88"/>
    <s v="S370"/>
    <s v="Alpha Corp"/>
    <s v="W28"/>
    <x v="0"/>
    <s v="BlueDart"/>
    <s v="Cape Town-New York"/>
    <n v="4523"/>
    <n v="193"/>
    <n v="25"/>
    <n v="1326.42"/>
    <n v="235.58"/>
    <n v="1562"/>
    <x v="1"/>
    <n v="0"/>
    <n v="79.67"/>
    <n v="306"/>
    <n v="256"/>
  </r>
  <r>
    <x v="43"/>
    <s v="C2385"/>
    <d v="2021-11-05T00:00:00"/>
    <d v="2021-09-15T00:00:00"/>
    <x v="1"/>
    <s v="Africa"/>
    <s v="Germany"/>
    <s v="Beijing"/>
    <s v="P53263"/>
    <s v="Apparel"/>
    <s v="Shirt"/>
    <s v="Product_6034"/>
    <n v="10.63"/>
    <n v="28"/>
    <s v="S505"/>
    <s v="Delta Traders"/>
    <s v="W39"/>
    <x v="3"/>
    <s v="FedEx"/>
    <s v="Toronto-São Paulo"/>
    <n v="2820"/>
    <n v="366"/>
    <n v="12"/>
    <n v="212.88"/>
    <n v="153.52000000000001"/>
    <n v="366.4"/>
    <x v="1"/>
    <n v="0"/>
    <n v="75.5"/>
    <n v="233"/>
    <n v="185"/>
  </r>
  <r>
    <x v="44"/>
    <s v="C2707"/>
    <d v="2023-10-13T00:00:00"/>
    <d v="2024-03-07T00:00:00"/>
    <x v="2"/>
    <s v="Africa"/>
    <s v="USA"/>
    <s v="New York"/>
    <s v="P47052"/>
    <s v="Food"/>
    <s v="Snacks"/>
    <s v="Product_7968"/>
    <n v="463.15"/>
    <n v="17"/>
    <s v="S602"/>
    <s v="Gamma Inc"/>
    <s v="W48"/>
    <x v="3"/>
    <s v="BlueDart"/>
    <s v="Beijing-São Paulo"/>
    <n v="4892"/>
    <n v="165"/>
    <n v="14"/>
    <n v="1330.81"/>
    <n v="261.88"/>
    <n v="1592.69"/>
    <x v="1"/>
    <n v="0"/>
    <n v="76.61"/>
    <n v="93"/>
    <n v="102"/>
  </r>
  <r>
    <x v="45"/>
    <s v="C9057"/>
    <d v="2022-11-29T00:00:00"/>
    <d v="2022-01-12T00:00:00"/>
    <x v="1"/>
    <s v="Europe"/>
    <s v="Germany"/>
    <s v="São Paulo"/>
    <s v="P76368"/>
    <s v="Pharma"/>
    <s v="Chair"/>
    <s v="Product_1373"/>
    <n v="208.71"/>
    <n v="61"/>
    <s v="S598"/>
    <s v="Epsilon LLC"/>
    <s v="W9"/>
    <x v="0"/>
    <s v="DHL"/>
    <s v="London-Berlin"/>
    <n v="4975"/>
    <n v="368"/>
    <n v="11"/>
    <n v="1868.54"/>
    <n v="45.52"/>
    <n v="1914.06"/>
    <x v="1"/>
    <n v="0"/>
    <n v="88.77"/>
    <n v="305"/>
    <n v="315"/>
  </r>
  <r>
    <x v="46"/>
    <s v="C1719"/>
    <d v="2021-11-12T00:00:00"/>
    <d v="2023-04-28T00:00:00"/>
    <x v="2"/>
    <s v="Africa"/>
    <s v="UK"/>
    <s v="Beijing"/>
    <s v="P41061"/>
    <s v="Electronics"/>
    <s v="Shirt"/>
    <s v="Product_9373"/>
    <n v="18.760000000000002"/>
    <n v="44"/>
    <s v="S272"/>
    <s v="Gamma Inc"/>
    <s v="W24"/>
    <x v="2"/>
    <s v="DHL"/>
    <s v="Mumbai-Mumbai"/>
    <n v="4633"/>
    <n v="97"/>
    <n v="15"/>
    <n v="391.26"/>
    <n v="106.04"/>
    <n v="497.3"/>
    <x v="1"/>
    <n v="0"/>
    <n v="71.75"/>
    <n v="411"/>
    <n v="364"/>
  </r>
  <r>
    <x v="47"/>
    <s v="C1158"/>
    <d v="2020-09-21T00:00:00"/>
    <d v="2024-06-27T00:00:00"/>
    <x v="1"/>
    <s v="Africa"/>
    <s v="South Africa"/>
    <s v="Cape Town"/>
    <s v="P13433"/>
    <s v="Food"/>
    <s v="Chair"/>
    <s v="Product_8058"/>
    <n v="93.37"/>
    <n v="86"/>
    <s v="S953"/>
    <s v="Alpha Corp"/>
    <s v="W13"/>
    <x v="0"/>
    <s v="UPS"/>
    <s v="London-Cape Town"/>
    <n v="1142"/>
    <n v="296"/>
    <n v="23"/>
    <n v="1209.5"/>
    <n v="292.60000000000002"/>
    <n v="1502.1"/>
    <x v="1"/>
    <n v="0"/>
    <n v="94.7"/>
    <n v="398"/>
    <n v="410"/>
  </r>
  <r>
    <x v="48"/>
    <s v="C4222"/>
    <d v="2024-03-23T00:00:00"/>
    <d v="2022-03-05T00:00:00"/>
    <x v="2"/>
    <s v="Africa"/>
    <s v="USA"/>
    <s v="Cape Town"/>
    <s v="P24556"/>
    <s v="Food"/>
    <s v="Snacks"/>
    <s v="Product_2099"/>
    <n v="365.29"/>
    <n v="29"/>
    <s v="S958"/>
    <s v="Gamma Inc"/>
    <s v="W5"/>
    <x v="1"/>
    <s v="Maersk"/>
    <s v="Cape Town-New York"/>
    <n v="4605"/>
    <n v="112"/>
    <n v="10"/>
    <n v="1592.91"/>
    <n v="57.77"/>
    <n v="1650.68"/>
    <x v="1"/>
    <n v="0"/>
    <n v="93.45"/>
    <n v="252"/>
    <n v="217"/>
  </r>
  <r>
    <x v="49"/>
    <s v="C8957"/>
    <d v="2022-08-11T00:00:00"/>
    <d v="2022-10-12T00:00:00"/>
    <x v="1"/>
    <s v="Asia"/>
    <s v="USA"/>
    <s v="Berlin"/>
    <s v="P61719"/>
    <s v="Pharma"/>
    <s v="Chair"/>
    <s v="Product_2368"/>
    <n v="110.25"/>
    <n v="52"/>
    <s v="S392"/>
    <s v="Alpha Corp"/>
    <s v="W26"/>
    <x v="0"/>
    <s v="UPS"/>
    <s v="Berlin-Beijing"/>
    <n v="2592"/>
    <n v="140"/>
    <n v="17"/>
    <n v="1427.44"/>
    <n v="305.92"/>
    <n v="1733.36"/>
    <x v="1"/>
    <n v="0"/>
    <n v="94.22"/>
    <n v="229"/>
    <n v="207"/>
  </r>
  <r>
    <x v="50"/>
    <s v="C7555"/>
    <d v="2023-01-22T00:00:00"/>
    <d v="2023-03-05T00:00:00"/>
    <x v="1"/>
    <s v="North America"/>
    <s v="Canada"/>
    <s v="London"/>
    <s v="P44863"/>
    <s v="Pharma"/>
    <s v="Shirt"/>
    <s v="Product_9770"/>
    <n v="205.05"/>
    <n v="48"/>
    <s v="S837"/>
    <s v="Delta Traders"/>
    <s v="W17"/>
    <x v="3"/>
    <s v="Maersk"/>
    <s v="São Paulo-New York"/>
    <n v="4968"/>
    <n v="316"/>
    <n v="4"/>
    <n v="1153.44"/>
    <n v="179.71"/>
    <n v="1333.15"/>
    <x v="1"/>
    <n v="0"/>
    <n v="86.04"/>
    <n v="198"/>
    <n v="178"/>
  </r>
  <r>
    <x v="51"/>
    <s v="C1034"/>
    <d v="2025-01-01T00:00:00"/>
    <d v="2022-02-09T00:00:00"/>
    <x v="0"/>
    <s v="Europe"/>
    <s v="USA"/>
    <s v="São Paulo"/>
    <s v="P73483"/>
    <s v="Apparel"/>
    <s v="Snacks"/>
    <s v="Product_2037"/>
    <n v="216.53"/>
    <n v="23"/>
    <s v="S814"/>
    <s v="Alpha Corp"/>
    <s v="W46"/>
    <x v="3"/>
    <s v="UPS"/>
    <s v="Berlin-Cape Town"/>
    <n v="4279"/>
    <n v="344"/>
    <n v="21"/>
    <n v="709.52"/>
    <n v="456.6"/>
    <n v="1166.1199999999999"/>
    <x v="1"/>
    <n v="0"/>
    <n v="90.13"/>
    <n v="400"/>
    <n v="380"/>
  </r>
  <r>
    <x v="52"/>
    <s v="C4232"/>
    <d v="2020-11-19T00:00:00"/>
    <d v="2022-07-31T00:00:00"/>
    <x v="1"/>
    <s v="South America"/>
    <s v="UK"/>
    <s v="São Paulo"/>
    <s v="P86055"/>
    <s v="Food"/>
    <s v="Chair"/>
    <s v="Product_4427"/>
    <n v="101.14"/>
    <n v="62"/>
    <s v="S613"/>
    <s v="Gamma Inc"/>
    <s v="W44"/>
    <x v="0"/>
    <s v="UPS"/>
    <s v="New York-New York"/>
    <n v="4009"/>
    <n v="402"/>
    <n v="4"/>
    <n v="1354.13"/>
    <n v="410.63"/>
    <n v="1764.76"/>
    <x v="1"/>
    <n v="0"/>
    <n v="93.56"/>
    <n v="201"/>
    <n v="202"/>
  </r>
  <r>
    <x v="53"/>
    <s v="C7882"/>
    <d v="2022-06-27T00:00:00"/>
    <d v="2021-01-06T00:00:00"/>
    <x v="2"/>
    <s v="South America"/>
    <s v="Brazil"/>
    <s v="Berlin"/>
    <s v="P85062"/>
    <s v="Pharma"/>
    <s v="Laptop"/>
    <s v="Product_6588"/>
    <n v="465.3"/>
    <n v="45"/>
    <s v="S278"/>
    <s v="Beta Ltd"/>
    <s v="W21"/>
    <x v="3"/>
    <s v="FedEx"/>
    <s v="London-Mumbai"/>
    <n v="4235"/>
    <n v="96"/>
    <n v="15"/>
    <n v="1212.1099999999999"/>
    <n v="115.93"/>
    <n v="1328.04"/>
    <x v="1"/>
    <n v="0"/>
    <n v="72.56"/>
    <n v="353"/>
    <n v="308"/>
  </r>
  <r>
    <x v="54"/>
    <s v="C7862"/>
    <d v="2021-04-24T00:00:00"/>
    <d v="2022-06-25T00:00:00"/>
    <x v="2"/>
    <s v="Africa"/>
    <s v="Germany"/>
    <s v="São Paulo"/>
    <s v="P74656"/>
    <s v="Food"/>
    <s v="Medicines"/>
    <s v="Product_9393"/>
    <n v="276.12"/>
    <n v="14"/>
    <s v="S157"/>
    <s v="Beta Ltd"/>
    <s v="W20"/>
    <x v="1"/>
    <s v="Maersk"/>
    <s v="Mumbai-Cape Town"/>
    <n v="4843"/>
    <n v="135"/>
    <n v="12"/>
    <n v="225.58"/>
    <n v="162.09"/>
    <n v="387.67"/>
    <x v="1"/>
    <n v="0"/>
    <n v="72.78"/>
    <n v="128"/>
    <n v="95"/>
  </r>
  <r>
    <x v="55"/>
    <s v="C9281"/>
    <d v="2021-08-24T00:00:00"/>
    <d v="2020-03-23T00:00:00"/>
    <x v="1"/>
    <s v="North America"/>
    <s v="India"/>
    <s v="Toronto"/>
    <s v="P72885"/>
    <s v="Food"/>
    <s v="Shirt"/>
    <s v="Product_1945"/>
    <n v="325.14999999999998"/>
    <n v="83"/>
    <s v="S763"/>
    <s v="Beta Ltd"/>
    <s v="W7"/>
    <x v="3"/>
    <s v="Maersk"/>
    <s v="Toronto-Mumbai"/>
    <n v="4036"/>
    <n v="69"/>
    <n v="10"/>
    <n v="1946.25"/>
    <n v="366.75"/>
    <n v="2313"/>
    <x v="1"/>
    <n v="0"/>
    <n v="86.74"/>
    <n v="486"/>
    <n v="490"/>
  </r>
  <r>
    <x v="56"/>
    <s v="C5357"/>
    <d v="2022-06-25T00:00:00"/>
    <d v="2021-09-11T00:00:00"/>
    <x v="2"/>
    <s v="North America"/>
    <s v="India"/>
    <s v="New York"/>
    <s v="P57269"/>
    <s v="Apparel"/>
    <s v="Laptop"/>
    <s v="Product_1181"/>
    <n v="11.75"/>
    <n v="81"/>
    <s v="S919"/>
    <s v="Gamma Inc"/>
    <s v="W5"/>
    <x v="1"/>
    <s v="BlueDart"/>
    <s v="Beijing-Berlin"/>
    <n v="4874"/>
    <n v="145"/>
    <n v="20"/>
    <n v="65.150000000000006"/>
    <n v="114.97"/>
    <n v="180.12"/>
    <x v="1"/>
    <n v="0"/>
    <n v="76.459999999999994"/>
    <n v="125"/>
    <n v="115"/>
  </r>
  <r>
    <x v="57"/>
    <s v="C3108"/>
    <d v="2023-12-20T00:00:00"/>
    <d v="2024-06-19T00:00:00"/>
    <x v="2"/>
    <s v="North America"/>
    <s v="Canada"/>
    <s v="London"/>
    <s v="P30310"/>
    <s v="Pharma"/>
    <s v="Snacks"/>
    <s v="Product_3264"/>
    <n v="203.59"/>
    <n v="55"/>
    <s v="S306"/>
    <s v="Gamma Inc"/>
    <s v="W48"/>
    <x v="1"/>
    <s v="Maersk"/>
    <s v="Mumbai-Berlin"/>
    <n v="1329"/>
    <n v="449"/>
    <n v="29"/>
    <n v="1258.25"/>
    <n v="152.4"/>
    <n v="1410.65"/>
    <x v="1"/>
    <n v="0"/>
    <n v="90.85"/>
    <n v="456"/>
    <n v="455"/>
  </r>
  <r>
    <x v="58"/>
    <s v="C3864"/>
    <d v="2024-09-08T00:00:00"/>
    <d v="2023-09-28T00:00:00"/>
    <x v="0"/>
    <s v="North America"/>
    <s v="UK"/>
    <s v="Beijing"/>
    <s v="P99548"/>
    <s v="Electronics"/>
    <s v="Laptop"/>
    <s v="Product_7680"/>
    <n v="76.849999999999994"/>
    <n v="10"/>
    <s v="S538"/>
    <s v="Epsilon LLC"/>
    <s v="W9"/>
    <x v="2"/>
    <s v="DHL"/>
    <s v="Berlin-Toronto"/>
    <n v="2697"/>
    <n v="484"/>
    <n v="11"/>
    <n v="533.53"/>
    <n v="376.26"/>
    <n v="909.79"/>
    <x v="1"/>
    <n v="0"/>
    <n v="73.2"/>
    <n v="255"/>
    <n v="255"/>
  </r>
  <r>
    <x v="59"/>
    <s v="C4873"/>
    <d v="2021-10-03T00:00:00"/>
    <d v="2023-09-26T00:00:00"/>
    <x v="2"/>
    <s v="Europe"/>
    <s v="South Africa"/>
    <s v="Cape Town"/>
    <s v="P46722"/>
    <s v="Pharma"/>
    <s v="Shirt"/>
    <s v="Product_1076"/>
    <n v="105.66"/>
    <n v="34"/>
    <s v="S285"/>
    <s v="Alpha Corp"/>
    <s v="W11"/>
    <x v="2"/>
    <s v="UPS"/>
    <s v="London-Toronto"/>
    <n v="1661"/>
    <n v="358"/>
    <n v="8"/>
    <n v="893.39"/>
    <n v="406.09"/>
    <n v="1299.48"/>
    <x v="1"/>
    <n v="0"/>
    <n v="76.42"/>
    <n v="483"/>
    <n v="511"/>
  </r>
  <r>
    <x v="60"/>
    <s v="C2688"/>
    <d v="2023-03-28T00:00:00"/>
    <d v="2020-03-14T00:00:00"/>
    <x v="2"/>
    <s v="Africa"/>
    <s v="UK"/>
    <s v="São Paulo"/>
    <s v="P55582"/>
    <s v="Electronics"/>
    <s v="Medicines"/>
    <s v="Product_5235"/>
    <n v="476.68"/>
    <n v="98"/>
    <s v="S930"/>
    <s v="Delta Traders"/>
    <s v="W31"/>
    <x v="1"/>
    <s v="FedEx"/>
    <s v="Beijing-Cape Town"/>
    <n v="4942"/>
    <n v="55"/>
    <n v="21"/>
    <n v="497.09"/>
    <n v="96.28"/>
    <n v="593.37"/>
    <x v="0"/>
    <n v="13"/>
    <n v="99.02"/>
    <n v="94"/>
    <n v="45"/>
  </r>
  <r>
    <x v="61"/>
    <s v="C6903"/>
    <d v="2024-12-10T00:00:00"/>
    <d v="2021-07-02T00:00:00"/>
    <x v="2"/>
    <s v="South America"/>
    <s v="USA"/>
    <s v="São Paulo"/>
    <s v="P39446"/>
    <s v="Food"/>
    <s v="Laptop"/>
    <s v="Product_5427"/>
    <n v="166.59"/>
    <n v="85"/>
    <s v="S198"/>
    <s v="Gamma Inc"/>
    <s v="W40"/>
    <x v="1"/>
    <s v="DHL"/>
    <s v="São Paulo-Toronto"/>
    <n v="3485"/>
    <n v="108"/>
    <n v="14"/>
    <n v="978.84"/>
    <n v="473.11"/>
    <n v="1451.95"/>
    <x v="1"/>
    <n v="0"/>
    <n v="82.29"/>
    <n v="78"/>
    <n v="123"/>
  </r>
  <r>
    <x v="62"/>
    <s v="C2104"/>
    <d v="2023-05-31T00:00:00"/>
    <d v="2024-02-16T00:00:00"/>
    <x v="2"/>
    <s v="Asia"/>
    <s v="USA"/>
    <s v="Toronto"/>
    <s v="P83264"/>
    <s v="Food"/>
    <s v="Medicines"/>
    <s v="Product_7891"/>
    <n v="33.25"/>
    <n v="10"/>
    <s v="S968"/>
    <s v="Epsilon LLC"/>
    <s v="W40"/>
    <x v="0"/>
    <s v="UPS"/>
    <s v="São Paulo-Cape Town"/>
    <n v="147"/>
    <n v="426"/>
    <n v="14"/>
    <n v="1774.41"/>
    <n v="347.7"/>
    <n v="2122.11"/>
    <x v="1"/>
    <n v="0"/>
    <n v="90.92"/>
    <n v="479"/>
    <n v="523"/>
  </r>
  <r>
    <x v="63"/>
    <s v="C1767"/>
    <d v="2024-01-20T00:00:00"/>
    <d v="2024-03-01T00:00:00"/>
    <x v="1"/>
    <s v="North America"/>
    <s v="UK"/>
    <s v="São Paulo"/>
    <s v="P15139"/>
    <s v="Pharma"/>
    <s v="Medicines"/>
    <s v="Product_2405"/>
    <n v="483.49"/>
    <n v="59"/>
    <s v="S379"/>
    <s v="Gamma Inc"/>
    <s v="W35"/>
    <x v="3"/>
    <s v="FedEx"/>
    <s v="Berlin-Berlin"/>
    <n v="2253"/>
    <n v="495"/>
    <n v="1"/>
    <n v="1916.37"/>
    <n v="51.89"/>
    <n v="1968.26"/>
    <x v="1"/>
    <n v="0"/>
    <n v="85.52"/>
    <n v="124"/>
    <n v="99"/>
  </r>
  <r>
    <x v="64"/>
    <s v="C5982"/>
    <d v="2024-04-11T00:00:00"/>
    <d v="2024-06-03T00:00:00"/>
    <x v="2"/>
    <s v="North America"/>
    <s v="South Africa"/>
    <s v="New York"/>
    <s v="P37343"/>
    <s v="Pharma"/>
    <s v="Chair"/>
    <s v="Product_8025"/>
    <n v="313.57"/>
    <n v="23"/>
    <s v="S919"/>
    <s v="Alpha Corp"/>
    <s v="W38"/>
    <x v="3"/>
    <s v="DHL"/>
    <s v="Cape Town-New York"/>
    <n v="2488"/>
    <n v="50"/>
    <n v="28"/>
    <n v="1727.84"/>
    <n v="103.95"/>
    <n v="1831.79"/>
    <x v="1"/>
    <n v="0"/>
    <n v="84.33"/>
    <n v="335"/>
    <n v="343"/>
  </r>
  <r>
    <x v="65"/>
    <s v="C6311"/>
    <d v="2022-02-18T00:00:00"/>
    <d v="2022-08-13T00:00:00"/>
    <x v="1"/>
    <s v="South America"/>
    <s v="China"/>
    <s v="Beijing"/>
    <s v="P41976"/>
    <s v="Furniture"/>
    <s v="Snacks"/>
    <s v="Product_4279"/>
    <n v="146.75"/>
    <n v="43"/>
    <s v="S440"/>
    <s v="Gamma Inc"/>
    <s v="W19"/>
    <x v="3"/>
    <s v="UPS"/>
    <s v="Berlin-Berlin"/>
    <n v="3200"/>
    <n v="86"/>
    <n v="20"/>
    <n v="1073.94"/>
    <n v="308.13"/>
    <n v="1382.07"/>
    <x v="1"/>
    <n v="0"/>
    <n v="98.94"/>
    <n v="386"/>
    <n v="384"/>
  </r>
  <r>
    <x v="66"/>
    <s v="C3432"/>
    <d v="2021-09-26T00:00:00"/>
    <d v="2023-05-05T00:00:00"/>
    <x v="2"/>
    <s v="Asia"/>
    <s v="China"/>
    <s v="Toronto"/>
    <s v="P86265"/>
    <s v="Apparel"/>
    <s v="Medicines"/>
    <s v="Product_2952"/>
    <n v="84.76"/>
    <n v="32"/>
    <s v="S285"/>
    <s v="Epsilon LLC"/>
    <s v="W34"/>
    <x v="2"/>
    <s v="FedEx"/>
    <s v="New York-São Paulo"/>
    <n v="4423"/>
    <n v="260"/>
    <n v="29"/>
    <n v="451.29"/>
    <n v="370.49"/>
    <n v="821.78"/>
    <x v="0"/>
    <n v="7"/>
    <n v="70.27"/>
    <n v="170"/>
    <n v="146"/>
  </r>
  <r>
    <x v="67"/>
    <s v="C8169"/>
    <d v="2023-03-16T00:00:00"/>
    <d v="2020-04-02T00:00:00"/>
    <x v="2"/>
    <s v="North America"/>
    <s v="UK"/>
    <s v="London"/>
    <s v="P21746"/>
    <s v="Electronics"/>
    <s v="Medicines"/>
    <s v="Product_2551"/>
    <n v="390.58"/>
    <n v="13"/>
    <s v="S557"/>
    <s v="Epsilon LLC"/>
    <s v="W23"/>
    <x v="0"/>
    <s v="Maersk"/>
    <s v="São Paulo-Mumbai"/>
    <n v="9"/>
    <n v="470"/>
    <n v="18"/>
    <n v="793.99"/>
    <n v="477.49"/>
    <n v="1271.48"/>
    <x v="1"/>
    <n v="0"/>
    <n v="91.78"/>
    <n v="133"/>
    <n v="89"/>
  </r>
  <r>
    <x v="68"/>
    <s v="C5354"/>
    <d v="2022-03-29T00:00:00"/>
    <d v="2021-09-19T00:00:00"/>
    <x v="0"/>
    <s v="Africa"/>
    <s v="UK"/>
    <s v="Toronto"/>
    <s v="P67037"/>
    <s v="Electronics"/>
    <s v="Medicines"/>
    <s v="Product_2494"/>
    <n v="461.67"/>
    <n v="17"/>
    <s v="S518"/>
    <s v="Alpha Corp"/>
    <s v="W5"/>
    <x v="2"/>
    <s v="BlueDart"/>
    <s v="London-Cape Town"/>
    <n v="3119"/>
    <n v="403"/>
    <n v="19"/>
    <n v="1454.25"/>
    <n v="161.87"/>
    <n v="1616.12"/>
    <x v="1"/>
    <n v="0"/>
    <n v="96.67"/>
    <n v="479"/>
    <n v="460"/>
  </r>
  <r>
    <x v="69"/>
    <s v="C1433"/>
    <d v="2020-03-21T00:00:00"/>
    <d v="2023-07-10T00:00:00"/>
    <x v="2"/>
    <s v="Africa"/>
    <s v="India"/>
    <s v="Beijing"/>
    <s v="P95486"/>
    <s v="Food"/>
    <s v="Medicines"/>
    <s v="Product_3428"/>
    <n v="179.86"/>
    <n v="11"/>
    <s v="S529"/>
    <s v="Alpha Corp"/>
    <s v="W5"/>
    <x v="3"/>
    <s v="Maersk"/>
    <s v="Beijing-Toronto"/>
    <n v="3541"/>
    <n v="355"/>
    <n v="25"/>
    <n v="994.43"/>
    <n v="429.07"/>
    <n v="1423.5"/>
    <x v="1"/>
    <n v="0"/>
    <n v="97.89"/>
    <n v="122"/>
    <n v="144"/>
  </r>
  <r>
    <x v="70"/>
    <s v="C9862"/>
    <d v="2022-07-26T00:00:00"/>
    <d v="2022-05-29T00:00:00"/>
    <x v="2"/>
    <s v="South America"/>
    <s v="India"/>
    <s v="Cape Town"/>
    <s v="P90795"/>
    <s v="Pharma"/>
    <s v="Shirt"/>
    <s v="Product_8719"/>
    <n v="113.1"/>
    <n v="87"/>
    <s v="S426"/>
    <s v="Alpha Corp"/>
    <s v="W12"/>
    <x v="3"/>
    <s v="Maersk"/>
    <s v="Cape Town-London"/>
    <n v="1673"/>
    <n v="493"/>
    <n v="5"/>
    <n v="1386.02"/>
    <n v="317.89999999999998"/>
    <n v="1703.92"/>
    <x v="1"/>
    <n v="0"/>
    <n v="97.31"/>
    <n v="480"/>
    <n v="451"/>
  </r>
  <r>
    <x v="71"/>
    <s v="C2478"/>
    <d v="2020-06-28T00:00:00"/>
    <d v="2024-07-16T00:00:00"/>
    <x v="2"/>
    <s v="Asia"/>
    <s v="South Africa"/>
    <s v="Berlin"/>
    <s v="P92524"/>
    <s v="Apparel"/>
    <s v="Laptop"/>
    <s v="Product_3468"/>
    <n v="129.01"/>
    <n v="62"/>
    <s v="S943"/>
    <s v="Epsilon LLC"/>
    <s v="W35"/>
    <x v="0"/>
    <s v="UPS"/>
    <s v="Cape Town-London"/>
    <n v="371"/>
    <n v="180"/>
    <n v="16"/>
    <n v="312.06"/>
    <n v="85.69"/>
    <n v="397.75"/>
    <x v="1"/>
    <n v="0"/>
    <n v="87.37"/>
    <n v="250"/>
    <n v="299"/>
  </r>
  <r>
    <x v="72"/>
    <s v="C2586"/>
    <d v="2020-01-28T00:00:00"/>
    <d v="2022-11-16T00:00:00"/>
    <x v="1"/>
    <s v="South America"/>
    <s v="USA"/>
    <s v="London"/>
    <s v="P61564"/>
    <s v="Apparel"/>
    <s v="Chair"/>
    <s v="Product_5349"/>
    <n v="294.23"/>
    <n v="31"/>
    <s v="S333"/>
    <s v="Delta Traders"/>
    <s v="W12"/>
    <x v="3"/>
    <s v="BlueDart"/>
    <s v="Beijing-Berlin"/>
    <n v="4004"/>
    <n v="425"/>
    <n v="6"/>
    <n v="627.67999999999995"/>
    <n v="329.71"/>
    <n v="957.38999999999987"/>
    <x v="1"/>
    <n v="0"/>
    <n v="90.19"/>
    <n v="267"/>
    <n v="238"/>
  </r>
  <r>
    <x v="73"/>
    <s v="C9473"/>
    <d v="2020-06-05T00:00:00"/>
    <d v="2020-04-11T00:00:00"/>
    <x v="2"/>
    <s v="North America"/>
    <s v="USA"/>
    <s v="New York"/>
    <s v="P57305"/>
    <s v="Electronics"/>
    <s v="Snacks"/>
    <s v="Product_4335"/>
    <n v="84.81"/>
    <n v="76"/>
    <s v="S664"/>
    <s v="Epsilon LLC"/>
    <s v="W27"/>
    <x v="2"/>
    <s v="UPS"/>
    <s v="Mumbai-Toronto"/>
    <n v="2204"/>
    <n v="205"/>
    <n v="26"/>
    <n v="1805.72"/>
    <n v="60.63"/>
    <n v="1866.35"/>
    <x v="0"/>
    <n v="10"/>
    <n v="91.14"/>
    <n v="449"/>
    <n v="441"/>
  </r>
  <r>
    <x v="74"/>
    <s v="C1081"/>
    <d v="2020-01-06T00:00:00"/>
    <d v="2023-11-27T00:00:00"/>
    <x v="1"/>
    <s v="Africa"/>
    <s v="Brazil"/>
    <s v="Beijing"/>
    <s v="P82940"/>
    <s v="Pharma"/>
    <s v="Chair"/>
    <s v="Product_7949"/>
    <n v="398.93"/>
    <n v="37"/>
    <s v="S243"/>
    <s v="Epsilon LLC"/>
    <s v="W13"/>
    <x v="3"/>
    <s v="DHL"/>
    <s v="São Paulo-Mumbai"/>
    <n v="1456"/>
    <n v="373"/>
    <n v="24"/>
    <n v="1916.61"/>
    <n v="465.67"/>
    <n v="2382.2800000000002"/>
    <x v="1"/>
    <n v="0"/>
    <n v="87.17"/>
    <n v="75"/>
    <n v="94"/>
  </r>
  <r>
    <x v="75"/>
    <s v="C5251"/>
    <d v="2024-01-10T00:00:00"/>
    <d v="2023-05-17T00:00:00"/>
    <x v="0"/>
    <s v="Europe"/>
    <s v="UK"/>
    <s v="Mumbai"/>
    <s v="P64802"/>
    <s v="Furniture"/>
    <s v="Chair"/>
    <s v="Product_5057"/>
    <n v="125.42"/>
    <n v="55"/>
    <s v="S159"/>
    <s v="Epsilon LLC"/>
    <s v="W43"/>
    <x v="0"/>
    <s v="Maersk"/>
    <s v="Toronto-Beijing"/>
    <n v="2429"/>
    <n v="287"/>
    <n v="10"/>
    <n v="1932.32"/>
    <n v="457.87"/>
    <n v="2390.19"/>
    <x v="1"/>
    <n v="0"/>
    <n v="73.22"/>
    <n v="458"/>
    <n v="460"/>
  </r>
  <r>
    <x v="76"/>
    <s v="C6830"/>
    <d v="2024-12-05T00:00:00"/>
    <d v="2023-07-05T00:00:00"/>
    <x v="2"/>
    <s v="North America"/>
    <s v="China"/>
    <s v="New York"/>
    <s v="P97281"/>
    <s v="Apparel"/>
    <s v="Snacks"/>
    <s v="Product_9140"/>
    <n v="421.19"/>
    <n v="94"/>
    <s v="S687"/>
    <s v="Gamma Inc"/>
    <s v="W25"/>
    <x v="3"/>
    <s v="BlueDart"/>
    <s v="Berlin-Beijing"/>
    <n v="1882"/>
    <n v="79"/>
    <n v="2"/>
    <n v="317.02999999999997"/>
    <n v="51.07"/>
    <n v="368.1"/>
    <x v="1"/>
    <n v="0"/>
    <n v="97.46"/>
    <n v="174"/>
    <n v="196"/>
  </r>
  <r>
    <x v="77"/>
    <s v="C5957"/>
    <d v="2022-02-26T00:00:00"/>
    <d v="2024-10-03T00:00:00"/>
    <x v="0"/>
    <s v="Africa"/>
    <s v="Germany"/>
    <s v="Berlin"/>
    <s v="P68363"/>
    <s v="Pharma"/>
    <s v="Medicines"/>
    <s v="Product_4015"/>
    <n v="477.18"/>
    <n v="3"/>
    <s v="S107"/>
    <s v="Beta Ltd"/>
    <s v="W46"/>
    <x v="3"/>
    <s v="Maersk"/>
    <s v="Toronto-São Paulo"/>
    <n v="3877"/>
    <n v="192"/>
    <n v="1"/>
    <n v="1855.28"/>
    <n v="50.64"/>
    <n v="1905.92"/>
    <x v="1"/>
    <n v="0"/>
    <n v="70.52"/>
    <n v="367"/>
    <n v="349"/>
  </r>
  <r>
    <x v="78"/>
    <s v="C1883"/>
    <d v="2024-03-18T00:00:00"/>
    <d v="2020-01-18T00:00:00"/>
    <x v="1"/>
    <s v="Asia"/>
    <s v="Brazil"/>
    <s v="London"/>
    <s v="P88870"/>
    <s v="Furniture"/>
    <s v="Shirt"/>
    <s v="Product_3258"/>
    <n v="337.18"/>
    <n v="93"/>
    <s v="S542"/>
    <s v="Gamma Inc"/>
    <s v="W32"/>
    <x v="1"/>
    <s v="UPS"/>
    <s v="London-Beijing"/>
    <n v="2196"/>
    <n v="82"/>
    <n v="18"/>
    <n v="1393.52"/>
    <n v="460.58"/>
    <n v="1854.1"/>
    <x v="1"/>
    <n v="0"/>
    <n v="92.1"/>
    <n v="52"/>
    <n v="71"/>
  </r>
  <r>
    <x v="79"/>
    <s v="C6759"/>
    <d v="2022-05-18T00:00:00"/>
    <d v="2020-02-08T00:00:00"/>
    <x v="1"/>
    <s v="North America"/>
    <s v="UK"/>
    <s v="Beijing"/>
    <s v="P64821"/>
    <s v="Pharma"/>
    <s v="Laptop"/>
    <s v="Product_9580"/>
    <n v="494.42"/>
    <n v="70"/>
    <s v="S253"/>
    <s v="Gamma Inc"/>
    <s v="W38"/>
    <x v="2"/>
    <s v="UPS"/>
    <s v="Cape Town-New York"/>
    <n v="2637"/>
    <n v="382"/>
    <n v="9"/>
    <n v="288.72000000000003"/>
    <n v="145.82"/>
    <n v="434.54"/>
    <x v="1"/>
    <n v="0"/>
    <n v="95.93"/>
    <n v="476"/>
    <n v="434"/>
  </r>
  <r>
    <x v="80"/>
    <s v="C2813"/>
    <d v="2021-09-17T00:00:00"/>
    <d v="2024-06-11T00:00:00"/>
    <x v="2"/>
    <s v="North America"/>
    <s v="China"/>
    <s v="Mumbai"/>
    <s v="P49725"/>
    <s v="Pharma"/>
    <s v="Laptop"/>
    <s v="Product_2052"/>
    <n v="318.36"/>
    <n v="32"/>
    <s v="S162"/>
    <s v="Alpha Corp"/>
    <s v="W14"/>
    <x v="2"/>
    <s v="BlueDart"/>
    <s v="Berlin-Toronto"/>
    <n v="2040"/>
    <n v="449"/>
    <n v="17"/>
    <n v="1988.88"/>
    <n v="48.76"/>
    <n v="2037.64"/>
    <x v="1"/>
    <n v="0"/>
    <n v="82.41"/>
    <n v="341"/>
    <n v="328"/>
  </r>
  <r>
    <x v="81"/>
    <s v="C9596"/>
    <d v="2021-04-23T00:00:00"/>
    <d v="2023-08-17T00:00:00"/>
    <x v="2"/>
    <s v="Africa"/>
    <s v="USA"/>
    <s v="London"/>
    <s v="P98544"/>
    <s v="Electronics"/>
    <s v="Chair"/>
    <s v="Product_5309"/>
    <n v="66.62"/>
    <n v="91"/>
    <s v="S565"/>
    <s v="Epsilon LLC"/>
    <s v="W35"/>
    <x v="0"/>
    <s v="Maersk"/>
    <s v="Cape Town-Mumbai"/>
    <n v="322"/>
    <n v="157"/>
    <n v="13"/>
    <n v="482.06"/>
    <n v="470.6"/>
    <n v="952.66000000000008"/>
    <x v="1"/>
    <n v="0"/>
    <n v="96.56"/>
    <n v="428"/>
    <n v="400"/>
  </r>
  <r>
    <x v="82"/>
    <s v="C3541"/>
    <d v="2022-05-29T00:00:00"/>
    <d v="2023-04-10T00:00:00"/>
    <x v="1"/>
    <s v="North America"/>
    <s v="UK"/>
    <s v="Beijing"/>
    <s v="P29986"/>
    <s v="Pharma"/>
    <s v="Snacks"/>
    <s v="Product_9262"/>
    <n v="382.6"/>
    <n v="58"/>
    <s v="S148"/>
    <s v="Epsilon LLC"/>
    <s v="W35"/>
    <x v="3"/>
    <s v="UPS"/>
    <s v="Beijing-London"/>
    <n v="4787"/>
    <n v="251"/>
    <n v="5"/>
    <n v="766.38"/>
    <n v="397.16"/>
    <n v="1163.54"/>
    <x v="1"/>
    <n v="0"/>
    <n v="98.72"/>
    <n v="159"/>
    <n v="199"/>
  </r>
  <r>
    <x v="83"/>
    <s v="C9877"/>
    <d v="2022-04-19T00:00:00"/>
    <d v="2022-10-26T00:00:00"/>
    <x v="0"/>
    <s v="North America"/>
    <s v="South Africa"/>
    <s v="São Paulo"/>
    <s v="P61253"/>
    <s v="Electronics"/>
    <s v="Shirt"/>
    <s v="Product_7232"/>
    <n v="265.38"/>
    <n v="3"/>
    <s v="S897"/>
    <s v="Beta Ltd"/>
    <s v="W31"/>
    <x v="3"/>
    <s v="BlueDart"/>
    <s v="São Paulo-New York"/>
    <n v="4928"/>
    <n v="263"/>
    <n v="16"/>
    <n v="230.38"/>
    <n v="481.69"/>
    <n v="712.06999999999994"/>
    <x v="0"/>
    <n v="8"/>
    <n v="71.47"/>
    <n v="64"/>
    <n v="85"/>
  </r>
  <r>
    <x v="84"/>
    <s v="C4954"/>
    <d v="2020-10-28T00:00:00"/>
    <d v="2023-02-28T00:00:00"/>
    <x v="2"/>
    <s v="South America"/>
    <s v="India"/>
    <s v="Toronto"/>
    <s v="P96856"/>
    <s v="Pharma"/>
    <s v="Shirt"/>
    <s v="Product_7480"/>
    <n v="345.62"/>
    <n v="94"/>
    <s v="S393"/>
    <s v="Beta Ltd"/>
    <s v="W16"/>
    <x v="2"/>
    <s v="DHL"/>
    <s v="New York-Beijing"/>
    <n v="2578"/>
    <n v="194"/>
    <n v="20"/>
    <n v="740.63"/>
    <n v="466.35"/>
    <n v="1206.98"/>
    <x v="1"/>
    <n v="0"/>
    <n v="72.010000000000005"/>
    <n v="271"/>
    <n v="273"/>
  </r>
  <r>
    <x v="85"/>
    <s v="C1507"/>
    <d v="2020-02-29T00:00:00"/>
    <d v="2022-07-31T00:00:00"/>
    <x v="2"/>
    <s v="Europe"/>
    <s v="USA"/>
    <s v="Mumbai"/>
    <s v="P71204"/>
    <s v="Electronics"/>
    <s v="Chair"/>
    <s v="Product_4267"/>
    <n v="202.34"/>
    <n v="90"/>
    <s v="S369"/>
    <s v="Beta Ltd"/>
    <s v="W30"/>
    <x v="3"/>
    <s v="UPS"/>
    <s v="Toronto-Toronto"/>
    <n v="1813"/>
    <n v="355"/>
    <n v="18"/>
    <n v="1709.45"/>
    <n v="52.8"/>
    <n v="1762.25"/>
    <x v="1"/>
    <n v="0"/>
    <n v="77.23"/>
    <n v="150"/>
    <n v="173"/>
  </r>
  <r>
    <x v="86"/>
    <s v="C8854"/>
    <d v="2021-11-12T00:00:00"/>
    <d v="2023-08-07T00:00:00"/>
    <x v="2"/>
    <s v="Europe"/>
    <s v="India"/>
    <s v="Mumbai"/>
    <s v="P68489"/>
    <s v="Pharma"/>
    <s v="Chair"/>
    <s v="Product_8424"/>
    <n v="334.08"/>
    <n v="31"/>
    <s v="S988"/>
    <s v="Delta Traders"/>
    <s v="W44"/>
    <x v="1"/>
    <s v="DHL"/>
    <s v="Berlin-New York"/>
    <n v="285"/>
    <n v="358"/>
    <n v="22"/>
    <n v="75.290000000000006"/>
    <n v="59.79"/>
    <n v="135.08000000000001"/>
    <x v="1"/>
    <n v="0"/>
    <n v="78.28"/>
    <n v="106"/>
    <n v="91"/>
  </r>
  <r>
    <x v="87"/>
    <s v="C5795"/>
    <d v="2024-09-22T00:00:00"/>
    <d v="2021-10-04T00:00:00"/>
    <x v="2"/>
    <s v="Asia"/>
    <s v="UK"/>
    <s v="Berlin"/>
    <s v="P58116"/>
    <s v="Furniture"/>
    <s v="Shirt"/>
    <s v="Product_6861"/>
    <n v="138.94"/>
    <n v="63"/>
    <s v="S522"/>
    <s v="Delta Traders"/>
    <s v="W23"/>
    <x v="2"/>
    <s v="DHL"/>
    <s v="Cape Town-Toronto"/>
    <n v="2031"/>
    <n v="394"/>
    <n v="10"/>
    <n v="307.20999999999998"/>
    <n v="404.94"/>
    <n v="712.15"/>
    <x v="0"/>
    <n v="6"/>
    <n v="93.45"/>
    <n v="269"/>
    <n v="276"/>
  </r>
  <r>
    <x v="88"/>
    <s v="C3846"/>
    <d v="2021-02-10T00:00:00"/>
    <d v="2022-06-10T00:00:00"/>
    <x v="2"/>
    <s v="Europe"/>
    <s v="India"/>
    <s v="Beijing"/>
    <s v="P27693"/>
    <s v="Apparel"/>
    <s v="Shirt"/>
    <s v="Product_9447"/>
    <n v="193.87"/>
    <n v="60"/>
    <s v="S995"/>
    <s v="Alpha Corp"/>
    <s v="W41"/>
    <x v="2"/>
    <s v="FedEx"/>
    <s v="Mumbai-Mumbai"/>
    <n v="314"/>
    <n v="197"/>
    <n v="19"/>
    <n v="562.65"/>
    <n v="216.69"/>
    <n v="779.33999999999992"/>
    <x v="1"/>
    <n v="0"/>
    <n v="98.85"/>
    <n v="422"/>
    <n v="435"/>
  </r>
  <r>
    <x v="89"/>
    <s v="C3309"/>
    <d v="2023-08-31T00:00:00"/>
    <d v="2020-09-10T00:00:00"/>
    <x v="2"/>
    <s v="Africa"/>
    <s v="Brazil"/>
    <s v="Beijing"/>
    <s v="P53138"/>
    <s v="Electronics"/>
    <s v="Shirt"/>
    <s v="Product_9835"/>
    <n v="260.93"/>
    <n v="54"/>
    <s v="S801"/>
    <s v="Beta Ltd"/>
    <s v="W13"/>
    <x v="1"/>
    <s v="FedEx"/>
    <s v="London-Mumbai"/>
    <n v="1922"/>
    <n v="247"/>
    <n v="18"/>
    <n v="250.84"/>
    <n v="235.61"/>
    <n v="486.45"/>
    <x v="0"/>
    <n v="4"/>
    <n v="85.03"/>
    <n v="199"/>
    <n v="247"/>
  </r>
  <r>
    <x v="90"/>
    <s v="C3502"/>
    <d v="2023-10-18T00:00:00"/>
    <d v="2024-10-29T00:00:00"/>
    <x v="2"/>
    <s v="Asia"/>
    <s v="China"/>
    <s v="New York"/>
    <s v="P93858"/>
    <s v="Pharma"/>
    <s v="Chair"/>
    <s v="Product_7956"/>
    <n v="131.12"/>
    <n v="19"/>
    <s v="S312"/>
    <s v="Beta Ltd"/>
    <s v="W14"/>
    <x v="0"/>
    <s v="FedEx"/>
    <s v="Beijing-Cape Town"/>
    <n v="981"/>
    <n v="383"/>
    <n v="19"/>
    <n v="499.6"/>
    <n v="298.77"/>
    <n v="798.37"/>
    <x v="1"/>
    <n v="0"/>
    <n v="93.08"/>
    <n v="290"/>
    <n v="292"/>
  </r>
  <r>
    <x v="91"/>
    <s v="C1182"/>
    <d v="2022-08-08T00:00:00"/>
    <d v="2023-03-13T00:00:00"/>
    <x v="2"/>
    <s v="Africa"/>
    <s v="Canada"/>
    <s v="Beijing"/>
    <s v="P74228"/>
    <s v="Apparel"/>
    <s v="Laptop"/>
    <s v="Product_6008"/>
    <n v="344.87"/>
    <n v="64"/>
    <s v="S310"/>
    <s v="Beta Ltd"/>
    <s v="W37"/>
    <x v="2"/>
    <s v="BlueDart"/>
    <s v="Cape Town-Beijing"/>
    <n v="573"/>
    <n v="266"/>
    <n v="22"/>
    <n v="911.46"/>
    <n v="432.92"/>
    <n v="1344.38"/>
    <x v="1"/>
    <n v="0"/>
    <n v="71.239999999999995"/>
    <n v="182"/>
    <n v="139"/>
  </r>
  <r>
    <x v="92"/>
    <s v="C5319"/>
    <d v="2020-01-05T00:00:00"/>
    <d v="2024-05-09T00:00:00"/>
    <x v="2"/>
    <s v="North America"/>
    <s v="China"/>
    <s v="New York"/>
    <s v="P57851"/>
    <s v="Pharma"/>
    <s v="Shirt"/>
    <s v="Product_7329"/>
    <n v="480.26"/>
    <n v="49"/>
    <s v="S550"/>
    <s v="Epsilon LLC"/>
    <s v="W20"/>
    <x v="1"/>
    <s v="Maersk"/>
    <s v="London-Cape Town"/>
    <n v="19"/>
    <n v="294"/>
    <n v="13"/>
    <n v="1232.99"/>
    <n v="204.09"/>
    <n v="1437.08"/>
    <x v="1"/>
    <n v="0"/>
    <n v="79.959999999999994"/>
    <n v="159"/>
    <n v="201"/>
  </r>
  <r>
    <x v="93"/>
    <s v="C5567"/>
    <d v="2022-06-23T00:00:00"/>
    <d v="2022-06-16T00:00:00"/>
    <x v="2"/>
    <s v="North America"/>
    <s v="UK"/>
    <s v="London"/>
    <s v="P87884"/>
    <s v="Pharma"/>
    <s v="Laptop"/>
    <s v="Product_4722"/>
    <n v="396.85"/>
    <n v="11"/>
    <s v="S166"/>
    <s v="Delta Traders"/>
    <s v="W38"/>
    <x v="1"/>
    <s v="BlueDart"/>
    <s v="New York-Toronto"/>
    <n v="4611"/>
    <n v="314"/>
    <n v="9"/>
    <n v="447.65"/>
    <n v="407.79"/>
    <n v="855.44"/>
    <x v="1"/>
    <n v="0"/>
    <n v="78.97"/>
    <n v="326"/>
    <n v="359"/>
  </r>
  <r>
    <x v="94"/>
    <s v="C4479"/>
    <d v="2020-05-31T00:00:00"/>
    <d v="2022-02-02T00:00:00"/>
    <x v="2"/>
    <s v="Asia"/>
    <s v="India"/>
    <s v="Toronto"/>
    <s v="P53001"/>
    <s v="Furniture"/>
    <s v="Medicines"/>
    <s v="Product_9786"/>
    <n v="202.73"/>
    <n v="60"/>
    <s v="S254"/>
    <s v="Epsilon LLC"/>
    <s v="W44"/>
    <x v="0"/>
    <s v="FedEx"/>
    <s v="New York-Mumbai"/>
    <n v="3869"/>
    <n v="326"/>
    <n v="16"/>
    <n v="136.93"/>
    <n v="71.87"/>
    <n v="208.8"/>
    <x v="1"/>
    <n v="0"/>
    <n v="84.22"/>
    <n v="134"/>
    <n v="150"/>
  </r>
  <r>
    <x v="95"/>
    <s v="C3143"/>
    <d v="2020-06-13T00:00:00"/>
    <d v="2021-07-20T00:00:00"/>
    <x v="2"/>
    <s v="North America"/>
    <s v="Germany"/>
    <s v="Berlin"/>
    <s v="P88474"/>
    <s v="Electronics"/>
    <s v="Chair"/>
    <s v="Product_3472"/>
    <n v="299.20999999999998"/>
    <n v="6"/>
    <s v="S690"/>
    <s v="Epsilon LLC"/>
    <s v="W32"/>
    <x v="2"/>
    <s v="UPS"/>
    <s v="Mumbai-Toronto"/>
    <n v="1359"/>
    <n v="492"/>
    <n v="19"/>
    <n v="990.92"/>
    <n v="227.18"/>
    <n v="1218.0999999999999"/>
    <x v="1"/>
    <n v="0"/>
    <n v="95.45"/>
    <n v="383"/>
    <n v="368"/>
  </r>
  <r>
    <x v="96"/>
    <s v="C3261"/>
    <d v="2023-03-19T00:00:00"/>
    <d v="2020-07-04T00:00:00"/>
    <x v="2"/>
    <s v="South America"/>
    <s v="Canada"/>
    <s v="São Paulo"/>
    <s v="P55479"/>
    <s v="Pharma"/>
    <s v="Snacks"/>
    <s v="Product_4954"/>
    <n v="384.51"/>
    <n v="4"/>
    <s v="S674"/>
    <s v="Delta Traders"/>
    <s v="W27"/>
    <x v="1"/>
    <s v="FedEx"/>
    <s v="London-London"/>
    <n v="3902"/>
    <n v="428"/>
    <n v="12"/>
    <n v="1950.62"/>
    <n v="262.37"/>
    <n v="2212.9899999999998"/>
    <x v="0"/>
    <n v="5"/>
    <n v="86.75"/>
    <n v="241"/>
    <n v="281"/>
  </r>
  <r>
    <x v="97"/>
    <s v="C3141"/>
    <d v="2021-03-24T00:00:00"/>
    <d v="2023-03-26T00:00:00"/>
    <x v="2"/>
    <s v="South America"/>
    <s v="South Africa"/>
    <s v="Cape Town"/>
    <s v="P43981"/>
    <s v="Pharma"/>
    <s v="Chair"/>
    <s v="Product_3272"/>
    <n v="257.55"/>
    <n v="98"/>
    <s v="S349"/>
    <s v="Gamma Inc"/>
    <s v="W39"/>
    <x v="3"/>
    <s v="BlueDart"/>
    <s v="Cape Town-São Paulo"/>
    <n v="1335"/>
    <n v="465"/>
    <n v="17"/>
    <n v="1186.31"/>
    <n v="225.66"/>
    <n v="1411.97"/>
    <x v="1"/>
    <n v="0"/>
    <n v="72.88"/>
    <n v="53"/>
    <n v="45"/>
  </r>
  <r>
    <x v="98"/>
    <s v="C4662"/>
    <d v="2020-08-27T00:00:00"/>
    <d v="2024-10-01T00:00:00"/>
    <x v="2"/>
    <s v="South America"/>
    <s v="USA"/>
    <s v="Mumbai"/>
    <s v="P18922"/>
    <s v="Food"/>
    <s v="Medicines"/>
    <s v="Product_8439"/>
    <n v="343.74"/>
    <n v="80"/>
    <s v="S347"/>
    <s v="Delta Traders"/>
    <s v="W14"/>
    <x v="1"/>
    <s v="DHL"/>
    <s v="London-Mumbai"/>
    <n v="3407"/>
    <n v="254"/>
    <n v="11"/>
    <n v="1259.18"/>
    <n v="159.79"/>
    <n v="1418.97"/>
    <x v="1"/>
    <n v="0"/>
    <n v="83.31"/>
    <n v="127"/>
    <n v="137"/>
  </r>
  <r>
    <x v="99"/>
    <s v="C1633"/>
    <d v="2023-12-21T00:00:00"/>
    <d v="2020-04-06T00:00:00"/>
    <x v="1"/>
    <s v="South America"/>
    <s v="USA"/>
    <s v="New York"/>
    <s v="P58658"/>
    <s v="Food"/>
    <s v="Chair"/>
    <s v="Product_1984"/>
    <n v="49.63"/>
    <n v="54"/>
    <s v="S438"/>
    <s v="Epsilon LLC"/>
    <s v="W48"/>
    <x v="1"/>
    <s v="FedEx"/>
    <s v="Mumbai-Mumbai"/>
    <n v="4208"/>
    <n v="227"/>
    <n v="8"/>
    <n v="1611.64"/>
    <n v="298.77999999999997"/>
    <n v="1910.42"/>
    <x v="0"/>
    <n v="9"/>
    <n v="92.49"/>
    <n v="182"/>
    <n v="195"/>
  </r>
  <r>
    <x v="100"/>
    <s v="C3638"/>
    <d v="2022-05-22T00:00:00"/>
    <d v="2023-07-05T00:00:00"/>
    <x v="1"/>
    <s v="Europe"/>
    <s v="UK"/>
    <s v="Mumbai"/>
    <s v="P29894"/>
    <s v="Electronics"/>
    <s v="Chair"/>
    <s v="Product_5689"/>
    <n v="217.4"/>
    <n v="52"/>
    <s v="S558"/>
    <s v="Epsilon LLC"/>
    <s v="W44"/>
    <x v="1"/>
    <s v="BlueDart"/>
    <s v="Cape Town-Cape Town"/>
    <n v="3788"/>
    <n v="271"/>
    <n v="18"/>
    <n v="142.26"/>
    <n v="414.86"/>
    <n v="557.12"/>
    <x v="1"/>
    <n v="0"/>
    <n v="70.540000000000006"/>
    <n v="488"/>
    <n v="516"/>
  </r>
  <r>
    <x v="101"/>
    <s v="C1912"/>
    <d v="2020-01-14T00:00:00"/>
    <d v="2020-09-19T00:00:00"/>
    <x v="1"/>
    <s v="Europe"/>
    <s v="UK"/>
    <s v="Berlin"/>
    <s v="P39846"/>
    <s v="Electronics"/>
    <s v="Shirt"/>
    <s v="Product_5225"/>
    <n v="156.72999999999999"/>
    <n v="9"/>
    <s v="S176"/>
    <s v="Gamma Inc"/>
    <s v="W28"/>
    <x v="3"/>
    <s v="Maersk"/>
    <s v="Cape Town-Berlin"/>
    <n v="4586"/>
    <n v="75"/>
    <n v="15"/>
    <n v="1947.99"/>
    <n v="369.69"/>
    <n v="2317.6799999999998"/>
    <x v="1"/>
    <n v="0"/>
    <n v="86.63"/>
    <n v="433"/>
    <n v="422"/>
  </r>
  <r>
    <x v="102"/>
    <s v="C6462"/>
    <d v="2022-03-21T00:00:00"/>
    <d v="2021-08-05T00:00:00"/>
    <x v="2"/>
    <s v="Europe"/>
    <s v="Germany"/>
    <s v="Cape Town"/>
    <s v="P63183"/>
    <s v="Food"/>
    <s v="Shirt"/>
    <s v="Product_2268"/>
    <n v="209.52"/>
    <n v="89"/>
    <s v="S594"/>
    <s v="Delta Traders"/>
    <s v="W42"/>
    <x v="1"/>
    <s v="Maersk"/>
    <s v="New York-São Paulo"/>
    <n v="3490"/>
    <n v="147"/>
    <n v="21"/>
    <n v="279.87"/>
    <n v="299.02999999999997"/>
    <n v="578.9"/>
    <x v="1"/>
    <n v="0"/>
    <n v="71.27"/>
    <n v="497"/>
    <n v="517"/>
  </r>
  <r>
    <x v="103"/>
    <s v="C2679"/>
    <d v="2021-11-10T00:00:00"/>
    <d v="2020-10-30T00:00:00"/>
    <x v="1"/>
    <s v="Africa"/>
    <s v="Canada"/>
    <s v="Beijing"/>
    <s v="P97033"/>
    <s v="Food"/>
    <s v="Medicines"/>
    <s v="Product_1121"/>
    <n v="104.74"/>
    <n v="35"/>
    <s v="S678"/>
    <s v="Beta Ltd"/>
    <s v="W4"/>
    <x v="0"/>
    <s v="UPS"/>
    <s v="São Paulo-Beijing"/>
    <n v="670"/>
    <n v="115"/>
    <n v="17"/>
    <n v="1865.24"/>
    <n v="376.87"/>
    <n v="2242.11"/>
    <x v="0"/>
    <n v="11"/>
    <n v="96.13"/>
    <n v="106"/>
    <n v="112"/>
  </r>
  <r>
    <x v="104"/>
    <s v="C1468"/>
    <d v="2022-12-17T00:00:00"/>
    <d v="2021-01-25T00:00:00"/>
    <x v="1"/>
    <s v="South America"/>
    <s v="Canada"/>
    <s v="Cape Town"/>
    <s v="P33196"/>
    <s v="Electronics"/>
    <s v="Chair"/>
    <s v="Product_5328"/>
    <n v="390.23"/>
    <n v="1"/>
    <s v="S820"/>
    <s v="Gamma Inc"/>
    <s v="W3"/>
    <x v="3"/>
    <s v="Maersk"/>
    <s v="São Paulo-Beijing"/>
    <n v="115"/>
    <n v="255"/>
    <n v="22"/>
    <n v="178.97"/>
    <n v="485.39"/>
    <n v="664.36"/>
    <x v="1"/>
    <n v="0"/>
    <n v="70.25"/>
    <n v="381"/>
    <n v="343"/>
  </r>
  <r>
    <x v="105"/>
    <s v="C6118"/>
    <d v="2021-03-20T00:00:00"/>
    <d v="2020-08-29T00:00:00"/>
    <x v="1"/>
    <s v="Europe"/>
    <s v="UK"/>
    <s v="Mumbai"/>
    <s v="P51661"/>
    <s v="Food"/>
    <s v="Medicines"/>
    <s v="Product_2647"/>
    <n v="344.38"/>
    <n v="33"/>
    <s v="S302"/>
    <s v="Alpha Corp"/>
    <s v="W33"/>
    <x v="2"/>
    <s v="Maersk"/>
    <s v="Berlin-Mumbai"/>
    <n v="4476"/>
    <n v="428"/>
    <n v="25"/>
    <n v="223.51"/>
    <n v="23.44"/>
    <n v="246.95"/>
    <x v="1"/>
    <n v="0"/>
    <n v="91.77"/>
    <n v="369"/>
    <n v="386"/>
  </r>
  <r>
    <x v="106"/>
    <s v="C3637"/>
    <d v="2023-03-24T00:00:00"/>
    <d v="2021-01-09T00:00:00"/>
    <x v="2"/>
    <s v="Europe"/>
    <s v="India"/>
    <s v="London"/>
    <s v="P60842"/>
    <s v="Food"/>
    <s v="Medicines"/>
    <s v="Product_4529"/>
    <n v="386.66"/>
    <n v="15"/>
    <s v="S563"/>
    <s v="Beta Ltd"/>
    <s v="W18"/>
    <x v="1"/>
    <s v="UPS"/>
    <s v="Toronto-São Paulo"/>
    <n v="247"/>
    <n v="109"/>
    <n v="27"/>
    <n v="1838.77"/>
    <n v="322.49"/>
    <n v="2161.2600000000002"/>
    <x v="1"/>
    <n v="0"/>
    <n v="97.31"/>
    <n v="67"/>
    <n v="62"/>
  </r>
  <r>
    <x v="107"/>
    <s v="C1558"/>
    <d v="2022-03-23T00:00:00"/>
    <d v="2020-09-27T00:00:00"/>
    <x v="2"/>
    <s v="North America"/>
    <s v="USA"/>
    <s v="São Paulo"/>
    <s v="P39268"/>
    <s v="Food"/>
    <s v="Shirt"/>
    <s v="Product_8678"/>
    <n v="368.24"/>
    <n v="71"/>
    <s v="S803"/>
    <s v="Gamma Inc"/>
    <s v="W31"/>
    <x v="3"/>
    <s v="BlueDart"/>
    <s v="São Paulo-Toronto"/>
    <n v="4821"/>
    <n v="406"/>
    <n v="12"/>
    <n v="638.46"/>
    <n v="439.14"/>
    <n v="1077.5999999999999"/>
    <x v="1"/>
    <n v="0"/>
    <n v="90.38"/>
    <n v="67"/>
    <n v="80"/>
  </r>
  <r>
    <x v="108"/>
    <s v="C1894"/>
    <d v="2021-08-11T00:00:00"/>
    <d v="2021-05-29T00:00:00"/>
    <x v="2"/>
    <s v="Asia"/>
    <s v="Brazil"/>
    <s v="London"/>
    <s v="P25820"/>
    <s v="Apparel"/>
    <s v="Laptop"/>
    <s v="Product_7545"/>
    <n v="90.27"/>
    <n v="98"/>
    <s v="S150"/>
    <s v="Beta Ltd"/>
    <s v="W34"/>
    <x v="1"/>
    <s v="FedEx"/>
    <s v="London-Mumbai"/>
    <n v="2529"/>
    <n v="370"/>
    <n v="9"/>
    <n v="1532.54"/>
    <n v="326.29000000000002"/>
    <n v="1858.83"/>
    <x v="1"/>
    <n v="0"/>
    <n v="83.69"/>
    <n v="157"/>
    <n v="153"/>
  </r>
  <r>
    <x v="109"/>
    <s v="C8742"/>
    <d v="2024-08-07T00:00:00"/>
    <d v="2023-04-01T00:00:00"/>
    <x v="2"/>
    <s v="Asia"/>
    <s v="UK"/>
    <s v="Mumbai"/>
    <s v="P48479"/>
    <s v="Electronics"/>
    <s v="Shirt"/>
    <s v="Product_7507"/>
    <n v="61.83"/>
    <n v="60"/>
    <s v="S958"/>
    <s v="Delta Traders"/>
    <s v="W1"/>
    <x v="3"/>
    <s v="BlueDart"/>
    <s v="Beijing-Mumbai"/>
    <n v="804"/>
    <n v="137"/>
    <n v="11"/>
    <n v="1239.28"/>
    <n v="59.25"/>
    <n v="1298.53"/>
    <x v="1"/>
    <n v="0"/>
    <n v="84.49"/>
    <n v="348"/>
    <n v="390"/>
  </r>
  <r>
    <x v="110"/>
    <s v="C1627"/>
    <d v="2021-11-29T00:00:00"/>
    <d v="2023-02-08T00:00:00"/>
    <x v="1"/>
    <s v="South America"/>
    <s v="South Africa"/>
    <s v="Beijing"/>
    <s v="P21428"/>
    <s v="Electronics"/>
    <s v="Shirt"/>
    <s v="Product_7189"/>
    <n v="310.95"/>
    <n v="46"/>
    <s v="S789"/>
    <s v="Epsilon LLC"/>
    <s v="W19"/>
    <x v="3"/>
    <s v="Maersk"/>
    <s v="Cape Town-Toronto"/>
    <n v="1733"/>
    <n v="315"/>
    <n v="5"/>
    <n v="927.3"/>
    <n v="161.94"/>
    <n v="1089.24"/>
    <x v="1"/>
    <n v="0"/>
    <n v="79.069999999999993"/>
    <n v="104"/>
    <n v="91"/>
  </r>
  <r>
    <x v="111"/>
    <s v="C9044"/>
    <d v="2023-12-26T00:00:00"/>
    <d v="2021-02-07T00:00:00"/>
    <x v="2"/>
    <s v="Africa"/>
    <s v="China"/>
    <s v="Mumbai"/>
    <s v="P27596"/>
    <s v="Furniture"/>
    <s v="Medicines"/>
    <s v="Product_7683"/>
    <n v="258.52999999999997"/>
    <n v="53"/>
    <s v="S909"/>
    <s v="Delta Traders"/>
    <s v="W7"/>
    <x v="2"/>
    <s v="UPS"/>
    <s v="Beijing-New York"/>
    <n v="2630"/>
    <n v="320"/>
    <n v="8"/>
    <n v="663.06"/>
    <n v="41.62"/>
    <n v="704.68"/>
    <x v="1"/>
    <n v="0"/>
    <n v="86.41"/>
    <n v="162"/>
    <n v="166"/>
  </r>
  <r>
    <x v="112"/>
    <s v="C1734"/>
    <d v="2023-09-04T00:00:00"/>
    <d v="2020-04-14T00:00:00"/>
    <x v="1"/>
    <s v="Asia"/>
    <s v="South Africa"/>
    <s v="São Paulo"/>
    <s v="P91054"/>
    <s v="Furniture"/>
    <s v="Chair"/>
    <s v="Product_1343"/>
    <n v="476.17"/>
    <n v="46"/>
    <s v="S625"/>
    <s v="Gamma Inc"/>
    <s v="W12"/>
    <x v="1"/>
    <s v="BlueDart"/>
    <s v="Toronto-New York"/>
    <n v="661"/>
    <n v="447"/>
    <n v="29"/>
    <n v="1143.97"/>
    <n v="304.23"/>
    <n v="1448.2"/>
    <x v="1"/>
    <n v="0"/>
    <n v="97.79"/>
    <n v="386"/>
    <n v="344"/>
  </r>
  <r>
    <x v="113"/>
    <s v="C7151"/>
    <d v="2021-11-26T00:00:00"/>
    <d v="2021-07-11T00:00:00"/>
    <x v="2"/>
    <s v="South America"/>
    <s v="South Africa"/>
    <s v="New York"/>
    <s v="P75802"/>
    <s v="Food"/>
    <s v="Snacks"/>
    <s v="Product_9998"/>
    <n v="148.63999999999999"/>
    <n v="30"/>
    <s v="S809"/>
    <s v="Alpha Corp"/>
    <s v="W33"/>
    <x v="2"/>
    <s v="UPS"/>
    <s v="Toronto-Toronto"/>
    <n v="3938"/>
    <n v="284"/>
    <n v="20"/>
    <n v="1829.71"/>
    <n v="454.91"/>
    <n v="2284.62"/>
    <x v="0"/>
    <n v="14"/>
    <n v="80.959999999999994"/>
    <n v="409"/>
    <n v="361"/>
  </r>
  <r>
    <x v="114"/>
    <s v="C8759"/>
    <d v="2020-01-22T00:00:00"/>
    <d v="2020-06-17T00:00:00"/>
    <x v="2"/>
    <s v="Europe"/>
    <s v="South Africa"/>
    <s v="Mumbai"/>
    <s v="P16332"/>
    <s v="Apparel"/>
    <s v="Medicines"/>
    <s v="Product_2982"/>
    <n v="488.97"/>
    <n v="47"/>
    <s v="S297"/>
    <s v="Alpha Corp"/>
    <s v="W32"/>
    <x v="0"/>
    <s v="UPS"/>
    <s v="Cape Town-New York"/>
    <n v="853"/>
    <n v="104"/>
    <n v="8"/>
    <n v="378"/>
    <n v="301.51"/>
    <n v="679.51"/>
    <x v="1"/>
    <n v="0"/>
    <n v="96.02"/>
    <n v="80"/>
    <n v="73"/>
  </r>
  <r>
    <x v="115"/>
    <s v="C7231"/>
    <d v="2024-04-18T00:00:00"/>
    <d v="2023-11-26T00:00:00"/>
    <x v="2"/>
    <s v="Asia"/>
    <s v="USA"/>
    <s v="Toronto"/>
    <s v="P85662"/>
    <s v="Furniture"/>
    <s v="Shirt"/>
    <s v="Product_5911"/>
    <n v="135.5"/>
    <n v="83"/>
    <s v="S303"/>
    <s v="Delta Traders"/>
    <s v="W43"/>
    <x v="1"/>
    <s v="BlueDart"/>
    <s v="Toronto-Cape Town"/>
    <n v="1583"/>
    <n v="189"/>
    <n v="24"/>
    <n v="731.71"/>
    <n v="472.48"/>
    <n v="1204.19"/>
    <x v="1"/>
    <n v="0"/>
    <n v="80.03"/>
    <n v="154"/>
    <n v="189"/>
  </r>
  <r>
    <x v="116"/>
    <s v="C1888"/>
    <d v="2020-09-02T00:00:00"/>
    <d v="2020-03-28T00:00:00"/>
    <x v="2"/>
    <s v="Europe"/>
    <s v="South Africa"/>
    <s v="London"/>
    <s v="P71673"/>
    <s v="Apparel"/>
    <s v="Laptop"/>
    <s v="Product_9067"/>
    <n v="367.64"/>
    <n v="11"/>
    <s v="S362"/>
    <s v="Alpha Corp"/>
    <s v="W47"/>
    <x v="2"/>
    <s v="FedEx"/>
    <s v="Toronto-Cape Town"/>
    <n v="2987"/>
    <n v="178"/>
    <n v="10"/>
    <n v="571.88"/>
    <n v="241.84"/>
    <n v="813.72"/>
    <x v="1"/>
    <n v="0"/>
    <n v="85.19"/>
    <n v="445"/>
    <n v="480"/>
  </r>
  <r>
    <x v="117"/>
    <s v="C6371"/>
    <d v="2024-04-09T00:00:00"/>
    <d v="2022-01-14T00:00:00"/>
    <x v="2"/>
    <s v="North America"/>
    <s v="South Africa"/>
    <s v="Toronto"/>
    <s v="P24328"/>
    <s v="Pharma"/>
    <s v="Shirt"/>
    <s v="Product_1410"/>
    <n v="112.02"/>
    <n v="37"/>
    <s v="S499"/>
    <s v="Epsilon LLC"/>
    <s v="W13"/>
    <x v="2"/>
    <s v="DHL"/>
    <s v="London-Toronto"/>
    <n v="1785"/>
    <n v="118"/>
    <n v="15"/>
    <n v="1334.92"/>
    <n v="206.15"/>
    <n v="1541.07"/>
    <x v="1"/>
    <n v="0"/>
    <n v="97.83"/>
    <n v="91"/>
    <n v="54"/>
  </r>
  <r>
    <x v="118"/>
    <s v="C8386"/>
    <d v="2021-03-27T00:00:00"/>
    <d v="2021-12-09T00:00:00"/>
    <x v="2"/>
    <s v="South America"/>
    <s v="Germany"/>
    <s v="Beijing"/>
    <s v="P92720"/>
    <s v="Electronics"/>
    <s v="Medicines"/>
    <s v="Product_8155"/>
    <n v="347.75"/>
    <n v="82"/>
    <s v="S522"/>
    <s v="Alpha Corp"/>
    <s v="W27"/>
    <x v="1"/>
    <s v="FedEx"/>
    <s v="Toronto-Cape Town"/>
    <n v="1340"/>
    <n v="435"/>
    <n v="1"/>
    <n v="1468.85"/>
    <n v="48.82"/>
    <n v="1517.67"/>
    <x v="1"/>
    <n v="0"/>
    <n v="97.01"/>
    <n v="469"/>
    <n v="512"/>
  </r>
  <r>
    <x v="119"/>
    <s v="C2163"/>
    <d v="2021-11-07T00:00:00"/>
    <d v="2023-09-22T00:00:00"/>
    <x v="2"/>
    <s v="Europe"/>
    <s v="China"/>
    <s v="Berlin"/>
    <s v="P95255"/>
    <s v="Furniture"/>
    <s v="Shirt"/>
    <s v="Product_8553"/>
    <n v="119.91"/>
    <n v="96"/>
    <s v="S152"/>
    <s v="Epsilon LLC"/>
    <s v="W8"/>
    <x v="2"/>
    <s v="Maersk"/>
    <s v="London-Beijing"/>
    <n v="541"/>
    <n v="477"/>
    <n v="17"/>
    <n v="327.96"/>
    <n v="136.38"/>
    <n v="464.34"/>
    <x v="0"/>
    <n v="7"/>
    <n v="81.98"/>
    <n v="114"/>
    <n v="118"/>
  </r>
  <r>
    <x v="120"/>
    <s v="C6193"/>
    <d v="2023-07-21T00:00:00"/>
    <d v="2020-05-13T00:00:00"/>
    <x v="1"/>
    <s v="Asia"/>
    <s v="Canada"/>
    <s v="São Paulo"/>
    <s v="P59476"/>
    <s v="Apparel"/>
    <s v="Chair"/>
    <s v="Product_5969"/>
    <n v="96.03"/>
    <n v="30"/>
    <s v="S142"/>
    <s v="Epsilon LLC"/>
    <s v="W12"/>
    <x v="2"/>
    <s v="Maersk"/>
    <s v="London-São Paulo"/>
    <n v="1217"/>
    <n v="275"/>
    <n v="11"/>
    <n v="1462.65"/>
    <n v="137.94999999999999"/>
    <n v="1600.6"/>
    <x v="1"/>
    <n v="0"/>
    <n v="85.19"/>
    <n v="132"/>
    <n v="117"/>
  </r>
  <r>
    <x v="121"/>
    <s v="C4126"/>
    <d v="2022-05-05T00:00:00"/>
    <d v="2024-12-27T00:00:00"/>
    <x v="2"/>
    <s v="South America"/>
    <s v="China"/>
    <s v="Toronto"/>
    <s v="P95137"/>
    <s v="Pharma"/>
    <s v="Chair"/>
    <s v="Product_7871"/>
    <n v="74.5"/>
    <n v="5"/>
    <s v="S886"/>
    <s v="Alpha Corp"/>
    <s v="W18"/>
    <x v="0"/>
    <s v="BlueDart"/>
    <s v="Beijing-Toronto"/>
    <n v="1121"/>
    <n v="54"/>
    <n v="15"/>
    <n v="635.11"/>
    <n v="435.32"/>
    <n v="1070.43"/>
    <x v="1"/>
    <n v="0"/>
    <n v="73.02"/>
    <n v="431"/>
    <n v="438"/>
  </r>
  <r>
    <x v="122"/>
    <s v="C9218"/>
    <d v="2022-08-19T00:00:00"/>
    <d v="2024-03-08T00:00:00"/>
    <x v="1"/>
    <s v="Asia"/>
    <s v="UK"/>
    <s v="Beijing"/>
    <s v="P78734"/>
    <s v="Apparel"/>
    <s v="Shirt"/>
    <s v="Product_5722"/>
    <n v="449.82"/>
    <n v="47"/>
    <s v="S378"/>
    <s v="Delta Traders"/>
    <s v="W44"/>
    <x v="1"/>
    <s v="UPS"/>
    <s v="Cape Town-Berlin"/>
    <n v="123"/>
    <n v="138"/>
    <n v="1"/>
    <n v="1618.62"/>
    <n v="297.57"/>
    <n v="1916.19"/>
    <x v="1"/>
    <n v="0"/>
    <n v="81.95"/>
    <n v="59"/>
    <n v="14"/>
  </r>
  <r>
    <x v="123"/>
    <s v="C5646"/>
    <d v="2021-05-17T00:00:00"/>
    <d v="2020-01-16T00:00:00"/>
    <x v="1"/>
    <s v="Asia"/>
    <s v="USA"/>
    <s v="Mumbai"/>
    <s v="P46263"/>
    <s v="Food"/>
    <s v="Shirt"/>
    <s v="Product_5242"/>
    <n v="290.57"/>
    <n v="61"/>
    <s v="S414"/>
    <s v="Gamma Inc"/>
    <s v="W35"/>
    <x v="1"/>
    <s v="BlueDart"/>
    <s v="Berlin-São Paulo"/>
    <n v="4275"/>
    <n v="418"/>
    <n v="27"/>
    <n v="382.13"/>
    <n v="378.99"/>
    <n v="761.12"/>
    <x v="1"/>
    <n v="0"/>
    <n v="95.09"/>
    <n v="110"/>
    <n v="91"/>
  </r>
  <r>
    <x v="124"/>
    <s v="C4902"/>
    <d v="2024-09-19T00:00:00"/>
    <d v="2024-05-16T00:00:00"/>
    <x v="2"/>
    <s v="Europe"/>
    <s v="USA"/>
    <s v="Beijing"/>
    <s v="P63763"/>
    <s v="Apparel"/>
    <s v="Snacks"/>
    <s v="Product_1420"/>
    <n v="236.09"/>
    <n v="91"/>
    <s v="S297"/>
    <s v="Delta Traders"/>
    <s v="W49"/>
    <x v="3"/>
    <s v="DHL"/>
    <s v="New York-New York"/>
    <n v="4999"/>
    <n v="453"/>
    <n v="23"/>
    <n v="1216.17"/>
    <n v="152.24"/>
    <n v="1368.41"/>
    <x v="1"/>
    <n v="0"/>
    <n v="88.91"/>
    <n v="157"/>
    <n v="135"/>
  </r>
  <r>
    <x v="125"/>
    <s v="C7267"/>
    <d v="2024-03-03T00:00:00"/>
    <d v="2021-07-03T00:00:00"/>
    <x v="0"/>
    <s v="Asia"/>
    <s v="UK"/>
    <s v="Cape Town"/>
    <s v="P47390"/>
    <s v="Food"/>
    <s v="Snacks"/>
    <s v="Product_4755"/>
    <n v="109.91"/>
    <n v="60"/>
    <s v="S823"/>
    <s v="Epsilon LLC"/>
    <s v="W16"/>
    <x v="3"/>
    <s v="UPS"/>
    <s v="London-Beijing"/>
    <n v="1759"/>
    <n v="473"/>
    <n v="12"/>
    <n v="194.23"/>
    <n v="326.69"/>
    <n v="520.91999999999996"/>
    <x v="1"/>
    <n v="0"/>
    <n v="83.49"/>
    <n v="318"/>
    <n v="357"/>
  </r>
  <r>
    <x v="126"/>
    <s v="C3614"/>
    <d v="2023-10-23T00:00:00"/>
    <d v="2023-04-05T00:00:00"/>
    <x v="2"/>
    <s v="Asia"/>
    <s v="India"/>
    <s v="New York"/>
    <s v="P48896"/>
    <s v="Electronics"/>
    <s v="Snacks"/>
    <s v="Product_9340"/>
    <n v="84"/>
    <n v="82"/>
    <s v="S513"/>
    <s v="Beta Ltd"/>
    <s v="W30"/>
    <x v="0"/>
    <s v="BlueDart"/>
    <s v="Mumbai-Mumbai"/>
    <n v="4775"/>
    <n v="161"/>
    <n v="26"/>
    <n v="626.12"/>
    <n v="457.98"/>
    <n v="1084.0999999999999"/>
    <x v="1"/>
    <n v="0"/>
    <n v="84.38"/>
    <n v="304"/>
    <n v="286"/>
  </r>
  <r>
    <x v="127"/>
    <s v="C6328"/>
    <d v="2022-12-24T00:00:00"/>
    <d v="2023-02-12T00:00:00"/>
    <x v="0"/>
    <s v="Europe"/>
    <s v="South Africa"/>
    <s v="Toronto"/>
    <s v="P34958"/>
    <s v="Food"/>
    <s v="Snacks"/>
    <s v="Product_9318"/>
    <n v="405.48"/>
    <n v="68"/>
    <s v="S866"/>
    <s v="Beta Ltd"/>
    <s v="W40"/>
    <x v="3"/>
    <s v="DHL"/>
    <s v="Beijing-Toronto"/>
    <n v="4156"/>
    <n v="196"/>
    <n v="22"/>
    <n v="1465.45"/>
    <n v="399.02"/>
    <n v="1864.47"/>
    <x v="1"/>
    <n v="0"/>
    <n v="93.84"/>
    <n v="179"/>
    <n v="221"/>
  </r>
  <r>
    <x v="128"/>
    <s v="C6034"/>
    <d v="2020-03-21T00:00:00"/>
    <d v="2021-12-27T00:00:00"/>
    <x v="1"/>
    <s v="Europe"/>
    <s v="South Africa"/>
    <s v="São Paulo"/>
    <s v="P35893"/>
    <s v="Electronics"/>
    <s v="Medicines"/>
    <s v="Product_2903"/>
    <n v="174.3"/>
    <n v="44"/>
    <s v="S277"/>
    <s v="Alpha Corp"/>
    <s v="W41"/>
    <x v="3"/>
    <s v="FedEx"/>
    <s v="Mumbai-Beijing"/>
    <n v="3843"/>
    <n v="143"/>
    <n v="12"/>
    <n v="511.53"/>
    <n v="444.71"/>
    <n v="956.24"/>
    <x v="1"/>
    <n v="0"/>
    <n v="71.31"/>
    <n v="276"/>
    <n v="293"/>
  </r>
  <r>
    <x v="129"/>
    <s v="C6764"/>
    <d v="2022-07-19T00:00:00"/>
    <d v="2023-09-22T00:00:00"/>
    <x v="0"/>
    <s v="South America"/>
    <s v="Brazil"/>
    <s v="São Paulo"/>
    <s v="P28212"/>
    <s v="Apparel"/>
    <s v="Shirt"/>
    <s v="Product_3634"/>
    <n v="433.76"/>
    <n v="77"/>
    <s v="S465"/>
    <s v="Beta Ltd"/>
    <s v="W43"/>
    <x v="2"/>
    <s v="Maersk"/>
    <s v="Toronto-São Paulo"/>
    <n v="2214"/>
    <n v="80"/>
    <n v="18"/>
    <n v="124.32"/>
    <n v="181.16"/>
    <n v="305.48"/>
    <x v="1"/>
    <n v="0"/>
    <n v="87.48"/>
    <n v="397"/>
    <n v="363"/>
  </r>
  <r>
    <x v="130"/>
    <s v="C3009"/>
    <d v="2024-07-27T00:00:00"/>
    <d v="2020-02-14T00:00:00"/>
    <x v="2"/>
    <s v="Europe"/>
    <s v="South Africa"/>
    <s v="New York"/>
    <s v="P78748"/>
    <s v="Food"/>
    <s v="Snacks"/>
    <s v="Product_9158"/>
    <n v="162.28"/>
    <n v="18"/>
    <s v="S472"/>
    <s v="Alpha Corp"/>
    <s v="W41"/>
    <x v="0"/>
    <s v="FedEx"/>
    <s v="London-London"/>
    <n v="2264"/>
    <n v="327"/>
    <n v="8"/>
    <n v="1549.07"/>
    <n v="362.81"/>
    <n v="1911.88"/>
    <x v="1"/>
    <n v="0"/>
    <n v="98.42"/>
    <n v="206"/>
    <n v="192"/>
  </r>
  <r>
    <x v="131"/>
    <s v="C1147"/>
    <d v="2024-07-02T00:00:00"/>
    <d v="2021-02-11T00:00:00"/>
    <x v="0"/>
    <s v="South America"/>
    <s v="South Africa"/>
    <s v="Mumbai"/>
    <s v="P29302"/>
    <s v="Food"/>
    <s v="Laptop"/>
    <s v="Product_8739"/>
    <n v="459.38"/>
    <n v="76"/>
    <s v="S499"/>
    <s v="Epsilon LLC"/>
    <s v="W29"/>
    <x v="0"/>
    <s v="BlueDart"/>
    <s v="São Paulo-Toronto"/>
    <n v="3027"/>
    <n v="260"/>
    <n v="3"/>
    <n v="1250.55"/>
    <n v="208.57"/>
    <n v="1459.12"/>
    <x v="1"/>
    <n v="0"/>
    <n v="75.989999999999995"/>
    <n v="289"/>
    <n v="281"/>
  </r>
  <r>
    <x v="132"/>
    <s v="C3712"/>
    <d v="2023-09-15T00:00:00"/>
    <d v="2021-05-08T00:00:00"/>
    <x v="1"/>
    <s v="Europe"/>
    <s v="China"/>
    <s v="London"/>
    <s v="P28733"/>
    <s v="Electronics"/>
    <s v="Shirt"/>
    <s v="Product_7943"/>
    <n v="412.6"/>
    <n v="49"/>
    <s v="S873"/>
    <s v="Alpha Corp"/>
    <s v="W10"/>
    <x v="3"/>
    <s v="FedEx"/>
    <s v="São Paulo-Toronto"/>
    <n v="271"/>
    <n v="273"/>
    <n v="10"/>
    <n v="1395.59"/>
    <n v="186.98"/>
    <n v="1582.57"/>
    <x v="1"/>
    <n v="0"/>
    <n v="85.41"/>
    <n v="245"/>
    <n v="221"/>
  </r>
  <r>
    <x v="133"/>
    <s v="C3278"/>
    <d v="2022-01-07T00:00:00"/>
    <d v="2022-12-01T00:00:00"/>
    <x v="1"/>
    <s v="North America"/>
    <s v="Brazil"/>
    <s v="Toronto"/>
    <s v="P30997"/>
    <s v="Apparel"/>
    <s v="Laptop"/>
    <s v="Product_4275"/>
    <n v="375.05"/>
    <n v="11"/>
    <s v="S553"/>
    <s v="Gamma Inc"/>
    <s v="W1"/>
    <x v="0"/>
    <s v="Maersk"/>
    <s v="New York-Mumbai"/>
    <n v="259"/>
    <n v="493"/>
    <n v="4"/>
    <n v="735.12"/>
    <n v="149.18"/>
    <n v="884.3"/>
    <x v="1"/>
    <n v="0"/>
    <n v="89.08"/>
    <n v="90"/>
    <n v="66"/>
  </r>
  <r>
    <x v="134"/>
    <s v="C8152"/>
    <d v="2021-12-29T00:00:00"/>
    <d v="2020-06-10T00:00:00"/>
    <x v="1"/>
    <s v="Europe"/>
    <s v="Canada"/>
    <s v="New York"/>
    <s v="P28790"/>
    <s v="Food"/>
    <s v="Chair"/>
    <s v="Product_2810"/>
    <n v="370.23"/>
    <n v="60"/>
    <s v="S161"/>
    <s v="Beta Ltd"/>
    <s v="W8"/>
    <x v="0"/>
    <s v="BlueDart"/>
    <s v="London-Berlin"/>
    <n v="2944"/>
    <n v="443"/>
    <n v="7"/>
    <n v="782.81"/>
    <n v="455.08"/>
    <n v="1237.8900000000001"/>
    <x v="1"/>
    <n v="0"/>
    <n v="95.67"/>
    <n v="443"/>
    <n v="490"/>
  </r>
  <r>
    <x v="135"/>
    <s v="C7943"/>
    <d v="2022-05-02T00:00:00"/>
    <d v="2020-02-07T00:00:00"/>
    <x v="2"/>
    <s v="South America"/>
    <s v="Canada"/>
    <s v="Cape Town"/>
    <s v="P95072"/>
    <s v="Food"/>
    <s v="Medicines"/>
    <s v="Product_5464"/>
    <n v="160.32"/>
    <n v="64"/>
    <s v="S759"/>
    <s v="Alpha Corp"/>
    <s v="W17"/>
    <x v="1"/>
    <s v="UPS"/>
    <s v="London-Mumbai"/>
    <n v="4730"/>
    <n v="308"/>
    <n v="7"/>
    <n v="1498.63"/>
    <n v="346.9"/>
    <n v="1845.53"/>
    <x v="1"/>
    <n v="0"/>
    <n v="72.98"/>
    <n v="141"/>
    <n v="93"/>
  </r>
  <r>
    <x v="136"/>
    <s v="C4204"/>
    <d v="2022-04-26T00:00:00"/>
    <d v="2020-12-16T00:00:00"/>
    <x v="1"/>
    <s v="Asia"/>
    <s v="India"/>
    <s v="São Paulo"/>
    <s v="P59417"/>
    <s v="Electronics"/>
    <s v="Snacks"/>
    <s v="Product_3666"/>
    <n v="65.790000000000006"/>
    <n v="75"/>
    <s v="S363"/>
    <s v="Delta Traders"/>
    <s v="W31"/>
    <x v="1"/>
    <s v="BlueDart"/>
    <s v="New York-São Paulo"/>
    <n v="125"/>
    <n v="337"/>
    <n v="25"/>
    <n v="1257.97"/>
    <n v="119.74"/>
    <n v="1377.71"/>
    <x v="1"/>
    <n v="0"/>
    <n v="77.739999999999995"/>
    <n v="138"/>
    <n v="117"/>
  </r>
  <r>
    <x v="137"/>
    <s v="C3995"/>
    <d v="2024-12-02T00:00:00"/>
    <d v="2020-11-19T00:00:00"/>
    <x v="1"/>
    <s v="Africa"/>
    <s v="South Africa"/>
    <s v="São Paulo"/>
    <s v="P55157"/>
    <s v="Electronics"/>
    <s v="Medicines"/>
    <s v="Product_9833"/>
    <n v="192.94"/>
    <n v="20"/>
    <s v="S663"/>
    <s v="Delta Traders"/>
    <s v="W9"/>
    <x v="3"/>
    <s v="Maersk"/>
    <s v="London-Cape Town"/>
    <n v="1084"/>
    <n v="90"/>
    <n v="10"/>
    <n v="1206.45"/>
    <n v="218.17"/>
    <n v="1424.62"/>
    <x v="1"/>
    <n v="0"/>
    <n v="75.22"/>
    <n v="440"/>
    <n v="478"/>
  </r>
  <r>
    <x v="138"/>
    <s v="C6341"/>
    <d v="2024-03-21T00:00:00"/>
    <d v="2023-07-24T00:00:00"/>
    <x v="2"/>
    <s v="Europe"/>
    <s v="Brazil"/>
    <s v="Beijing"/>
    <s v="P16125"/>
    <s v="Electronics"/>
    <s v="Laptop"/>
    <s v="Product_8174"/>
    <n v="427"/>
    <n v="34"/>
    <s v="S927"/>
    <s v="Epsilon LLC"/>
    <s v="W49"/>
    <x v="0"/>
    <s v="FedEx"/>
    <s v="Berlin-Toronto"/>
    <n v="274"/>
    <n v="386"/>
    <n v="19"/>
    <n v="606.52"/>
    <n v="196.42"/>
    <n v="802.93999999999994"/>
    <x v="1"/>
    <n v="0"/>
    <n v="76.52"/>
    <n v="61"/>
    <n v="83"/>
  </r>
  <r>
    <x v="139"/>
    <s v="C5152"/>
    <d v="2020-06-20T00:00:00"/>
    <d v="2020-01-31T00:00:00"/>
    <x v="2"/>
    <s v="North America"/>
    <s v="UK"/>
    <s v="São Paulo"/>
    <s v="P23133"/>
    <s v="Furniture"/>
    <s v="Medicines"/>
    <s v="Product_3839"/>
    <n v="43.02"/>
    <n v="95"/>
    <s v="S312"/>
    <s v="Gamma Inc"/>
    <s v="W27"/>
    <x v="2"/>
    <s v="Maersk"/>
    <s v="London-Cape Town"/>
    <n v="471"/>
    <n v="439"/>
    <n v="13"/>
    <n v="1716.32"/>
    <n v="170.88"/>
    <n v="1887.2"/>
    <x v="1"/>
    <n v="0"/>
    <n v="99.86"/>
    <n v="98"/>
    <n v="110"/>
  </r>
  <r>
    <x v="140"/>
    <s v="C8874"/>
    <d v="2022-07-23T00:00:00"/>
    <d v="2021-06-23T00:00:00"/>
    <x v="1"/>
    <s v="South America"/>
    <s v="India"/>
    <s v="Cape Town"/>
    <s v="P51256"/>
    <s v="Apparel"/>
    <s v="Shirt"/>
    <s v="Product_9235"/>
    <n v="188.39"/>
    <n v="42"/>
    <s v="S692"/>
    <s v="Epsilon LLC"/>
    <s v="W37"/>
    <x v="3"/>
    <s v="DHL"/>
    <s v="Berlin-São Paulo"/>
    <n v="3381"/>
    <n v="456"/>
    <n v="26"/>
    <n v="148.61000000000001"/>
    <n v="155.62"/>
    <n v="304.23"/>
    <x v="1"/>
    <n v="0"/>
    <n v="70.540000000000006"/>
    <n v="167"/>
    <n v="177"/>
  </r>
  <r>
    <x v="141"/>
    <s v="C6014"/>
    <d v="2020-05-04T00:00:00"/>
    <d v="2020-02-18T00:00:00"/>
    <x v="2"/>
    <s v="Asia"/>
    <s v="India"/>
    <s v="São Paulo"/>
    <s v="P10333"/>
    <s v="Apparel"/>
    <s v="Snacks"/>
    <s v="Product_6387"/>
    <n v="389.94"/>
    <n v="22"/>
    <s v="S555"/>
    <s v="Beta Ltd"/>
    <s v="W1"/>
    <x v="0"/>
    <s v="DHL"/>
    <s v="São Paulo-New York"/>
    <n v="204"/>
    <n v="182"/>
    <n v="25"/>
    <n v="1817.67"/>
    <n v="458.36"/>
    <n v="2276.0300000000002"/>
    <x v="1"/>
    <n v="0"/>
    <n v="79.989999999999995"/>
    <n v="305"/>
    <n v="259"/>
  </r>
  <r>
    <x v="142"/>
    <s v="C4606"/>
    <d v="2023-11-12T00:00:00"/>
    <d v="2024-12-11T00:00:00"/>
    <x v="0"/>
    <s v="Africa"/>
    <s v="Canada"/>
    <s v="Cape Town"/>
    <s v="P18307"/>
    <s v="Pharma"/>
    <s v="Snacks"/>
    <s v="Product_3696"/>
    <n v="477.85"/>
    <n v="55"/>
    <s v="S293"/>
    <s v="Epsilon LLC"/>
    <s v="W17"/>
    <x v="0"/>
    <s v="BlueDart"/>
    <s v="New York-Mumbai"/>
    <n v="1234"/>
    <n v="317"/>
    <n v="26"/>
    <n v="1766.82"/>
    <n v="294.64"/>
    <n v="2061.46"/>
    <x v="1"/>
    <n v="0"/>
    <n v="98.62"/>
    <n v="265"/>
    <n v="262"/>
  </r>
  <r>
    <x v="143"/>
    <s v="C2277"/>
    <d v="2024-12-27T00:00:00"/>
    <d v="2022-02-07T00:00:00"/>
    <x v="2"/>
    <s v="Africa"/>
    <s v="UK"/>
    <s v="Beijing"/>
    <s v="P50922"/>
    <s v="Food"/>
    <s v="Chair"/>
    <s v="Product_6622"/>
    <n v="270.39999999999998"/>
    <n v="2"/>
    <s v="S940"/>
    <s v="Delta Traders"/>
    <s v="W27"/>
    <x v="0"/>
    <s v="FedEx"/>
    <s v="Berlin-Mumbai"/>
    <n v="4892"/>
    <n v="93"/>
    <n v="15"/>
    <n v="1441.47"/>
    <n v="468.77"/>
    <n v="1910.24"/>
    <x v="1"/>
    <n v="0"/>
    <n v="83.11"/>
    <n v="433"/>
    <n v="395"/>
  </r>
  <r>
    <x v="144"/>
    <s v="C5012"/>
    <d v="2022-11-15T00:00:00"/>
    <d v="2023-04-04T00:00:00"/>
    <x v="1"/>
    <s v="Africa"/>
    <s v="China"/>
    <s v="Toronto"/>
    <s v="P56206"/>
    <s v="Furniture"/>
    <s v="Shirt"/>
    <s v="Product_2254"/>
    <n v="118.65"/>
    <n v="24"/>
    <s v="S820"/>
    <s v="Epsilon LLC"/>
    <s v="W30"/>
    <x v="2"/>
    <s v="DHL"/>
    <s v="Berlin-São Paulo"/>
    <n v="2532"/>
    <n v="228"/>
    <n v="13"/>
    <n v="1737.78"/>
    <n v="398.6"/>
    <n v="2136.38"/>
    <x v="1"/>
    <n v="0"/>
    <n v="93.95"/>
    <n v="185"/>
    <n v="212"/>
  </r>
  <r>
    <x v="145"/>
    <s v="C7436"/>
    <d v="2024-05-29T00:00:00"/>
    <d v="2023-05-11T00:00:00"/>
    <x v="1"/>
    <s v="North America"/>
    <s v="UK"/>
    <s v="Cape Town"/>
    <s v="P73170"/>
    <s v="Pharma"/>
    <s v="Medicines"/>
    <s v="Product_2824"/>
    <n v="104.63"/>
    <n v="48"/>
    <s v="S787"/>
    <s v="Alpha Corp"/>
    <s v="W25"/>
    <x v="0"/>
    <s v="BlueDart"/>
    <s v="Beijing-Toronto"/>
    <n v="3923"/>
    <n v="378"/>
    <n v="7"/>
    <n v="58.27"/>
    <n v="190.39"/>
    <n v="248.66"/>
    <x v="1"/>
    <n v="0"/>
    <n v="82.04"/>
    <n v="414"/>
    <n v="364"/>
  </r>
  <r>
    <x v="146"/>
    <s v="C6185"/>
    <d v="2020-03-06T00:00:00"/>
    <d v="2022-01-29T00:00:00"/>
    <x v="2"/>
    <s v="Africa"/>
    <s v="Brazil"/>
    <s v="São Paulo"/>
    <s v="P69958"/>
    <s v="Pharma"/>
    <s v="Chair"/>
    <s v="Product_3436"/>
    <n v="19.82"/>
    <n v="73"/>
    <s v="S738"/>
    <s v="Gamma Inc"/>
    <s v="W23"/>
    <x v="1"/>
    <s v="BlueDart"/>
    <s v="São Paulo-Beijing"/>
    <n v="3177"/>
    <n v="53"/>
    <n v="12"/>
    <n v="1884.99"/>
    <n v="406.51"/>
    <n v="2291.5"/>
    <x v="1"/>
    <n v="0"/>
    <n v="84.2"/>
    <n v="135"/>
    <n v="137"/>
  </r>
  <r>
    <x v="147"/>
    <s v="C5097"/>
    <d v="2021-05-08T00:00:00"/>
    <d v="2022-03-03T00:00:00"/>
    <x v="2"/>
    <s v="Asia"/>
    <s v="India"/>
    <s v="Berlin"/>
    <s v="P90899"/>
    <s v="Apparel"/>
    <s v="Medicines"/>
    <s v="Product_3930"/>
    <n v="281.52"/>
    <n v="73"/>
    <s v="S272"/>
    <s v="Beta Ltd"/>
    <s v="W3"/>
    <x v="0"/>
    <s v="DHL"/>
    <s v="Toronto-London"/>
    <n v="1547"/>
    <n v="143"/>
    <n v="5"/>
    <n v="638.04"/>
    <n v="474.56"/>
    <n v="1112.5999999999999"/>
    <x v="1"/>
    <n v="0"/>
    <n v="85.54"/>
    <n v="310"/>
    <n v="333"/>
  </r>
  <r>
    <x v="148"/>
    <s v="C2807"/>
    <d v="2024-01-12T00:00:00"/>
    <d v="2022-11-25T00:00:00"/>
    <x v="2"/>
    <s v="Asia"/>
    <s v="UK"/>
    <s v="São Paulo"/>
    <s v="P93436"/>
    <s v="Electronics"/>
    <s v="Shirt"/>
    <s v="Product_3685"/>
    <n v="272.89999999999998"/>
    <n v="40"/>
    <s v="S242"/>
    <s v="Beta Ltd"/>
    <s v="W45"/>
    <x v="2"/>
    <s v="FedEx"/>
    <s v="Cape Town-Toronto"/>
    <n v="4885"/>
    <n v="93"/>
    <n v="23"/>
    <n v="1901.1"/>
    <n v="422.31"/>
    <n v="2323.41"/>
    <x v="1"/>
    <n v="0"/>
    <n v="92.05"/>
    <n v="479"/>
    <n v="502"/>
  </r>
  <r>
    <x v="149"/>
    <s v="C9966"/>
    <d v="2022-05-03T00:00:00"/>
    <d v="2023-05-21T00:00:00"/>
    <x v="2"/>
    <s v="Africa"/>
    <s v="China"/>
    <s v="Cape Town"/>
    <s v="P69989"/>
    <s v="Apparel"/>
    <s v="Laptop"/>
    <s v="Product_7379"/>
    <n v="376.25"/>
    <n v="92"/>
    <s v="S897"/>
    <s v="Epsilon LLC"/>
    <s v="W18"/>
    <x v="2"/>
    <s v="BlueDart"/>
    <s v="London-London"/>
    <n v="1362"/>
    <n v="57"/>
    <n v="19"/>
    <n v="220.9"/>
    <n v="221.26"/>
    <n v="442.16"/>
    <x v="1"/>
    <n v="0"/>
    <n v="74.87"/>
    <n v="269"/>
    <n v="248"/>
  </r>
  <r>
    <x v="150"/>
    <s v="C9666"/>
    <d v="2020-05-14T00:00:00"/>
    <d v="2021-09-08T00:00:00"/>
    <x v="1"/>
    <s v="South America"/>
    <s v="China"/>
    <s v="New York"/>
    <s v="P37951"/>
    <s v="Food"/>
    <s v="Snacks"/>
    <s v="Product_5232"/>
    <n v="109.06"/>
    <n v="36"/>
    <s v="S248"/>
    <s v="Alpha Corp"/>
    <s v="W49"/>
    <x v="0"/>
    <s v="UPS"/>
    <s v="Mumbai-New York"/>
    <n v="1921"/>
    <n v="89"/>
    <n v="16"/>
    <n v="1125.45"/>
    <n v="296.18"/>
    <n v="1421.63"/>
    <x v="1"/>
    <n v="0"/>
    <n v="70.88"/>
    <n v="100"/>
    <n v="112"/>
  </r>
  <r>
    <x v="151"/>
    <s v="C1806"/>
    <d v="2020-10-29T00:00:00"/>
    <d v="2020-02-21T00:00:00"/>
    <x v="2"/>
    <s v="Europe"/>
    <s v="Brazil"/>
    <s v="Cape Town"/>
    <s v="P82618"/>
    <s v="Electronics"/>
    <s v="Snacks"/>
    <s v="Product_8157"/>
    <n v="367.78"/>
    <n v="87"/>
    <s v="S241"/>
    <s v="Epsilon LLC"/>
    <s v="W22"/>
    <x v="0"/>
    <s v="UPS"/>
    <s v="São Paulo-Berlin"/>
    <n v="504"/>
    <n v="483"/>
    <n v="6"/>
    <n v="825.61"/>
    <n v="423.33"/>
    <n v="1248.94"/>
    <x v="0"/>
    <n v="9"/>
    <n v="73.63"/>
    <n v="181"/>
    <n v="151"/>
  </r>
  <r>
    <x v="152"/>
    <s v="C6451"/>
    <d v="2022-04-03T00:00:00"/>
    <d v="2024-06-07T00:00:00"/>
    <x v="2"/>
    <s v="Asia"/>
    <s v="Brazil"/>
    <s v="London"/>
    <s v="P41773"/>
    <s v="Food"/>
    <s v="Chair"/>
    <s v="Product_4242"/>
    <n v="397.33"/>
    <n v="11"/>
    <s v="S996"/>
    <s v="Alpha Corp"/>
    <s v="W3"/>
    <x v="2"/>
    <s v="DHL"/>
    <s v="São Paulo-São Paulo"/>
    <n v="4998"/>
    <n v="96"/>
    <n v="14"/>
    <n v="1520.25"/>
    <n v="434.54"/>
    <n v="1954.79"/>
    <x v="1"/>
    <n v="0"/>
    <n v="85.45"/>
    <n v="487"/>
    <n v="481"/>
  </r>
  <r>
    <x v="153"/>
    <s v="C4076"/>
    <d v="2022-10-23T00:00:00"/>
    <d v="2023-12-18T00:00:00"/>
    <x v="0"/>
    <s v="South America"/>
    <s v="India"/>
    <s v="São Paulo"/>
    <s v="P58067"/>
    <s v="Furniture"/>
    <s v="Laptop"/>
    <s v="Product_1774"/>
    <n v="425.45"/>
    <n v="63"/>
    <s v="S360"/>
    <s v="Alpha Corp"/>
    <s v="W45"/>
    <x v="3"/>
    <s v="UPS"/>
    <s v="London-New York"/>
    <n v="1367"/>
    <n v="484"/>
    <n v="1"/>
    <n v="811.9"/>
    <n v="313.57"/>
    <n v="1125.47"/>
    <x v="1"/>
    <n v="0"/>
    <n v="78.47"/>
    <n v="127"/>
    <n v="162"/>
  </r>
  <r>
    <x v="154"/>
    <s v="C7031"/>
    <d v="2020-08-13T00:00:00"/>
    <d v="2022-10-09T00:00:00"/>
    <x v="2"/>
    <s v="South America"/>
    <s v="China"/>
    <s v="Toronto"/>
    <s v="P93211"/>
    <s v="Pharma"/>
    <s v="Medicines"/>
    <s v="Product_1552"/>
    <n v="11.06"/>
    <n v="69"/>
    <s v="S157"/>
    <s v="Delta Traders"/>
    <s v="W24"/>
    <x v="3"/>
    <s v="Maersk"/>
    <s v="São Paulo-Beijing"/>
    <n v="1723"/>
    <n v="67"/>
    <n v="19"/>
    <n v="473.9"/>
    <n v="205.95"/>
    <n v="679.84999999999991"/>
    <x v="1"/>
    <n v="0"/>
    <n v="88.11"/>
    <n v="156"/>
    <n v="173"/>
  </r>
  <r>
    <x v="155"/>
    <s v="C4633"/>
    <d v="2021-09-01T00:00:00"/>
    <d v="2024-11-28T00:00:00"/>
    <x v="1"/>
    <s v="Africa"/>
    <s v="China"/>
    <s v="New York"/>
    <s v="P17292"/>
    <s v="Food"/>
    <s v="Medicines"/>
    <s v="Product_1935"/>
    <n v="227.9"/>
    <n v="67"/>
    <s v="S315"/>
    <s v="Beta Ltd"/>
    <s v="W13"/>
    <x v="3"/>
    <s v="BlueDart"/>
    <s v="London-São Paulo"/>
    <n v="3821"/>
    <n v="462"/>
    <n v="4"/>
    <n v="542.05999999999995"/>
    <n v="471.5"/>
    <n v="1013.56"/>
    <x v="1"/>
    <n v="0"/>
    <n v="86.41"/>
    <n v="118"/>
    <n v="162"/>
  </r>
  <r>
    <x v="156"/>
    <s v="C9506"/>
    <d v="2020-02-14T00:00:00"/>
    <d v="2020-05-31T00:00:00"/>
    <x v="1"/>
    <s v="Africa"/>
    <s v="Brazil"/>
    <s v="New York"/>
    <s v="P40168"/>
    <s v="Electronics"/>
    <s v="Chair"/>
    <s v="Product_9676"/>
    <n v="267.14999999999998"/>
    <n v="54"/>
    <s v="S553"/>
    <s v="Gamma Inc"/>
    <s v="W27"/>
    <x v="2"/>
    <s v="UPS"/>
    <s v="Mumbai-São Paulo"/>
    <n v="1056"/>
    <n v="272"/>
    <n v="2"/>
    <n v="1422.62"/>
    <n v="328.64"/>
    <n v="1751.26"/>
    <x v="1"/>
    <n v="0"/>
    <n v="77.41"/>
    <n v="79"/>
    <n v="105"/>
  </r>
  <r>
    <x v="157"/>
    <s v="C9445"/>
    <d v="2023-02-13T00:00:00"/>
    <d v="2021-09-04T00:00:00"/>
    <x v="2"/>
    <s v="North America"/>
    <s v="UK"/>
    <s v="Berlin"/>
    <s v="P54538"/>
    <s v="Food"/>
    <s v="Chair"/>
    <s v="Product_4671"/>
    <n v="475.2"/>
    <n v="45"/>
    <s v="S582"/>
    <s v="Delta Traders"/>
    <s v="W24"/>
    <x v="3"/>
    <s v="UPS"/>
    <s v="New York-Toronto"/>
    <n v="4548"/>
    <n v="188"/>
    <n v="6"/>
    <n v="645.46"/>
    <n v="175.29"/>
    <n v="820.75"/>
    <x v="1"/>
    <n v="0"/>
    <n v="87.62"/>
    <n v="386"/>
    <n v="386"/>
  </r>
  <r>
    <x v="158"/>
    <s v="C8068"/>
    <d v="2024-12-08T00:00:00"/>
    <d v="2024-12-12T00:00:00"/>
    <x v="0"/>
    <s v="North America"/>
    <s v="Brazil"/>
    <s v="London"/>
    <s v="P35806"/>
    <s v="Pharma"/>
    <s v="Laptop"/>
    <s v="Product_4547"/>
    <n v="13.71"/>
    <n v="84"/>
    <s v="S460"/>
    <s v="Gamma Inc"/>
    <s v="W46"/>
    <x v="3"/>
    <s v="FedEx"/>
    <s v="London-São Paulo"/>
    <n v="1288"/>
    <n v="63"/>
    <n v="18"/>
    <n v="1513.45"/>
    <n v="29.72"/>
    <n v="1543.17"/>
    <x v="1"/>
    <n v="0"/>
    <n v="86.61"/>
    <n v="106"/>
    <n v="147"/>
  </r>
  <r>
    <x v="159"/>
    <s v="C3156"/>
    <d v="2023-03-19T00:00:00"/>
    <d v="2020-04-18T00:00:00"/>
    <x v="2"/>
    <s v="South America"/>
    <s v="India"/>
    <s v="Toronto"/>
    <s v="P80790"/>
    <s v="Electronics"/>
    <s v="Shirt"/>
    <s v="Product_7812"/>
    <n v="423.74"/>
    <n v="8"/>
    <s v="S863"/>
    <s v="Epsilon LLC"/>
    <s v="W41"/>
    <x v="2"/>
    <s v="UPS"/>
    <s v="Berlin-São Paulo"/>
    <n v="298"/>
    <n v="99"/>
    <n v="27"/>
    <n v="846.04"/>
    <n v="326.02999999999997"/>
    <n v="1172.07"/>
    <x v="1"/>
    <n v="0"/>
    <n v="81.16"/>
    <n v="77"/>
    <n v="125"/>
  </r>
  <r>
    <x v="160"/>
    <s v="C5125"/>
    <d v="2023-07-11T00:00:00"/>
    <d v="2024-10-02T00:00:00"/>
    <x v="1"/>
    <s v="Asia"/>
    <s v="India"/>
    <s v="Mumbai"/>
    <s v="P74868"/>
    <s v="Furniture"/>
    <s v="Chair"/>
    <s v="Product_7715"/>
    <n v="356.96"/>
    <n v="81"/>
    <s v="S189"/>
    <s v="Delta Traders"/>
    <s v="W42"/>
    <x v="1"/>
    <s v="FedEx"/>
    <s v="New York-São Paulo"/>
    <n v="3175"/>
    <n v="315"/>
    <n v="9"/>
    <n v="1959.56"/>
    <n v="449.28"/>
    <n v="2408.84"/>
    <x v="1"/>
    <n v="0"/>
    <n v="88.84"/>
    <n v="432"/>
    <n v="428"/>
  </r>
  <r>
    <x v="161"/>
    <s v="C9529"/>
    <d v="2022-09-28T00:00:00"/>
    <d v="2023-07-01T00:00:00"/>
    <x v="0"/>
    <s v="Europe"/>
    <s v="South Africa"/>
    <s v="Mumbai"/>
    <s v="P83693"/>
    <s v="Electronics"/>
    <s v="Medicines"/>
    <s v="Product_9069"/>
    <n v="193.29"/>
    <n v="24"/>
    <s v="S124"/>
    <s v="Gamma Inc"/>
    <s v="W43"/>
    <x v="0"/>
    <s v="DHL"/>
    <s v="Beijing-Toronto"/>
    <n v="966"/>
    <n v="369"/>
    <n v="7"/>
    <n v="1912.28"/>
    <n v="363.88"/>
    <n v="2276.16"/>
    <x v="1"/>
    <n v="0"/>
    <n v="90.84"/>
    <n v="349"/>
    <n v="329"/>
  </r>
  <r>
    <x v="162"/>
    <s v="C8244"/>
    <d v="2024-09-22T00:00:00"/>
    <d v="2021-09-20T00:00:00"/>
    <x v="2"/>
    <s v="Asia"/>
    <s v="Brazil"/>
    <s v="Beijing"/>
    <s v="P96738"/>
    <s v="Furniture"/>
    <s v="Snacks"/>
    <s v="Product_7852"/>
    <n v="202.8"/>
    <n v="15"/>
    <s v="S464"/>
    <s v="Epsilon LLC"/>
    <s v="W19"/>
    <x v="2"/>
    <s v="Maersk"/>
    <s v="São Paulo-Cape Town"/>
    <n v="4545"/>
    <n v="416"/>
    <n v="24"/>
    <n v="1244.1500000000001"/>
    <n v="378.14"/>
    <n v="1622.29"/>
    <x v="1"/>
    <n v="0"/>
    <n v="73.16"/>
    <n v="62"/>
    <n v="58"/>
  </r>
  <r>
    <x v="163"/>
    <s v="C5385"/>
    <d v="2023-07-30T00:00:00"/>
    <d v="2023-03-07T00:00:00"/>
    <x v="2"/>
    <s v="Africa"/>
    <s v="India"/>
    <s v="São Paulo"/>
    <s v="P68514"/>
    <s v="Pharma"/>
    <s v="Laptop"/>
    <s v="Product_4341"/>
    <n v="360.9"/>
    <n v="89"/>
    <s v="S900"/>
    <s v="Gamma Inc"/>
    <s v="W19"/>
    <x v="3"/>
    <s v="UPS"/>
    <s v="Cape Town-São Paulo"/>
    <n v="2577"/>
    <n v="466"/>
    <n v="21"/>
    <n v="716.53"/>
    <n v="80.22"/>
    <n v="796.75"/>
    <x v="1"/>
    <n v="0"/>
    <n v="93.14"/>
    <n v="140"/>
    <n v="144"/>
  </r>
  <r>
    <x v="164"/>
    <s v="C3901"/>
    <d v="2023-11-05T00:00:00"/>
    <d v="2024-04-21T00:00:00"/>
    <x v="1"/>
    <s v="Asia"/>
    <s v="USA"/>
    <s v="London"/>
    <s v="P83079"/>
    <s v="Apparel"/>
    <s v="Laptop"/>
    <s v="Product_3759"/>
    <n v="5.81"/>
    <n v="36"/>
    <s v="S897"/>
    <s v="Delta Traders"/>
    <s v="W32"/>
    <x v="1"/>
    <s v="DHL"/>
    <s v="New York-Toronto"/>
    <n v="2802"/>
    <n v="413"/>
    <n v="4"/>
    <n v="926.35"/>
    <n v="370.86"/>
    <n v="1297.21"/>
    <x v="1"/>
    <n v="0"/>
    <n v="86.63"/>
    <n v="457"/>
    <n v="482"/>
  </r>
  <r>
    <x v="165"/>
    <s v="C9813"/>
    <d v="2021-03-27T00:00:00"/>
    <d v="2021-07-07T00:00:00"/>
    <x v="1"/>
    <s v="South America"/>
    <s v="Brazil"/>
    <s v="Berlin"/>
    <s v="P54248"/>
    <s v="Food"/>
    <s v="Snacks"/>
    <s v="Product_5626"/>
    <n v="169.28"/>
    <n v="8"/>
    <s v="S749"/>
    <s v="Alpha Corp"/>
    <s v="W36"/>
    <x v="1"/>
    <s v="BlueDart"/>
    <s v="São Paulo-São Paulo"/>
    <n v="808"/>
    <n v="432"/>
    <n v="11"/>
    <n v="859.81"/>
    <n v="455.17"/>
    <n v="1314.98"/>
    <x v="1"/>
    <n v="0"/>
    <n v="75.900000000000006"/>
    <n v="194"/>
    <n v="239"/>
  </r>
  <r>
    <x v="166"/>
    <s v="C8892"/>
    <d v="2022-06-26T00:00:00"/>
    <d v="2021-08-20T00:00:00"/>
    <x v="1"/>
    <s v="North America"/>
    <s v="Brazil"/>
    <s v="New York"/>
    <s v="P45463"/>
    <s v="Pharma"/>
    <s v="Laptop"/>
    <s v="Product_9721"/>
    <n v="267.14"/>
    <n v="93"/>
    <s v="S467"/>
    <s v="Alpha Corp"/>
    <s v="W11"/>
    <x v="2"/>
    <s v="BlueDart"/>
    <s v="Berlin-New York"/>
    <n v="4090"/>
    <n v="457"/>
    <n v="21"/>
    <n v="913.85"/>
    <n v="166.26"/>
    <n v="1080.1099999999999"/>
    <x v="1"/>
    <n v="0"/>
    <n v="94.98"/>
    <n v="107"/>
    <n v="148"/>
  </r>
  <r>
    <x v="167"/>
    <s v="C6672"/>
    <d v="2021-01-24T00:00:00"/>
    <d v="2022-01-22T00:00:00"/>
    <x v="1"/>
    <s v="Africa"/>
    <s v="Brazil"/>
    <s v="Mumbai"/>
    <s v="P64135"/>
    <s v="Apparel"/>
    <s v="Shirt"/>
    <s v="Product_8641"/>
    <n v="297.36"/>
    <n v="38"/>
    <s v="S103"/>
    <s v="Delta Traders"/>
    <s v="W3"/>
    <x v="0"/>
    <s v="FedEx"/>
    <s v="São Paulo-Toronto"/>
    <n v="1311"/>
    <n v="387"/>
    <n v="12"/>
    <n v="869.18"/>
    <n v="62.51"/>
    <n v="931.68999999999994"/>
    <x v="1"/>
    <n v="0"/>
    <n v="97.71"/>
    <n v="346"/>
    <n v="339"/>
  </r>
  <r>
    <x v="168"/>
    <s v="C5809"/>
    <d v="2022-01-02T00:00:00"/>
    <d v="2021-11-02T00:00:00"/>
    <x v="1"/>
    <s v="North America"/>
    <s v="Canada"/>
    <s v="Mumbai"/>
    <s v="P10940"/>
    <s v="Electronics"/>
    <s v="Snacks"/>
    <s v="Product_7859"/>
    <n v="217"/>
    <n v="20"/>
    <s v="S771"/>
    <s v="Epsilon LLC"/>
    <s v="W3"/>
    <x v="2"/>
    <s v="UPS"/>
    <s v="São Paulo-New York"/>
    <n v="4118"/>
    <n v="133"/>
    <n v="17"/>
    <n v="801.16"/>
    <n v="295.33"/>
    <n v="1096.49"/>
    <x v="1"/>
    <n v="0"/>
    <n v="86.5"/>
    <n v="360"/>
    <n v="390"/>
  </r>
  <r>
    <x v="169"/>
    <s v="C2094"/>
    <d v="2020-09-23T00:00:00"/>
    <d v="2022-07-02T00:00:00"/>
    <x v="2"/>
    <s v="Africa"/>
    <s v="China"/>
    <s v="Cape Town"/>
    <s v="P37436"/>
    <s v="Food"/>
    <s v="Chair"/>
    <s v="Product_2916"/>
    <n v="188.09"/>
    <n v="67"/>
    <s v="S681"/>
    <s v="Delta Traders"/>
    <s v="W43"/>
    <x v="3"/>
    <s v="UPS"/>
    <s v="Toronto-Toronto"/>
    <n v="2569"/>
    <n v="283"/>
    <n v="4"/>
    <n v="773.39"/>
    <n v="107.53"/>
    <n v="880.92"/>
    <x v="1"/>
    <n v="0"/>
    <n v="85.12"/>
    <n v="225"/>
    <n v="211"/>
  </r>
  <r>
    <x v="170"/>
    <s v="C2496"/>
    <d v="2023-05-07T00:00:00"/>
    <d v="2020-10-26T00:00:00"/>
    <x v="0"/>
    <s v="Europe"/>
    <s v="Canada"/>
    <s v="Berlin"/>
    <s v="P83716"/>
    <s v="Food"/>
    <s v="Medicines"/>
    <s v="Product_7165"/>
    <n v="15.31"/>
    <n v="85"/>
    <s v="S715"/>
    <s v="Delta Traders"/>
    <s v="W30"/>
    <x v="2"/>
    <s v="BlueDart"/>
    <s v="Berlin-London"/>
    <n v="3755"/>
    <n v="177"/>
    <n v="1"/>
    <n v="656.07"/>
    <n v="90.06"/>
    <n v="746.13000000000011"/>
    <x v="1"/>
    <n v="0"/>
    <n v="73.400000000000006"/>
    <n v="377"/>
    <n v="337"/>
  </r>
  <r>
    <x v="171"/>
    <s v="C2146"/>
    <d v="2020-02-27T00:00:00"/>
    <d v="2024-05-08T00:00:00"/>
    <x v="2"/>
    <s v="Africa"/>
    <s v="China"/>
    <s v="Berlin"/>
    <s v="P21255"/>
    <s v="Pharma"/>
    <s v="Snacks"/>
    <s v="Product_5155"/>
    <n v="131.93"/>
    <n v="5"/>
    <s v="S456"/>
    <s v="Beta Ltd"/>
    <s v="W14"/>
    <x v="2"/>
    <s v="Maersk"/>
    <s v="Mumbai-Beijing"/>
    <n v="1641"/>
    <n v="339"/>
    <n v="23"/>
    <n v="923.34"/>
    <n v="439.24"/>
    <n v="1362.58"/>
    <x v="1"/>
    <n v="0"/>
    <n v="83.93"/>
    <n v="130"/>
    <n v="142"/>
  </r>
  <r>
    <x v="172"/>
    <s v="C5038"/>
    <d v="2020-11-11T00:00:00"/>
    <d v="2022-01-05T00:00:00"/>
    <x v="2"/>
    <s v="Europe"/>
    <s v="India"/>
    <s v="New York"/>
    <s v="P52453"/>
    <s v="Food"/>
    <s v="Medicines"/>
    <s v="Product_9413"/>
    <n v="32.549999999999997"/>
    <n v="52"/>
    <s v="S532"/>
    <s v="Alpha Corp"/>
    <s v="W12"/>
    <x v="3"/>
    <s v="UPS"/>
    <s v="London-Berlin"/>
    <n v="2143"/>
    <n v="106"/>
    <n v="11"/>
    <n v="691.88"/>
    <n v="88.57"/>
    <n v="780.45"/>
    <x v="1"/>
    <n v="0"/>
    <n v="92.31"/>
    <n v="283"/>
    <n v="270"/>
  </r>
  <r>
    <x v="173"/>
    <s v="C8147"/>
    <d v="2023-06-19T00:00:00"/>
    <d v="2023-05-23T00:00:00"/>
    <x v="2"/>
    <s v="North America"/>
    <s v="India"/>
    <s v="Cape Town"/>
    <s v="P37550"/>
    <s v="Food"/>
    <s v="Snacks"/>
    <s v="Product_1012"/>
    <n v="43.69"/>
    <n v="92"/>
    <s v="S545"/>
    <s v="Alpha Corp"/>
    <s v="W16"/>
    <x v="3"/>
    <s v="UPS"/>
    <s v="Mumbai-Cape Town"/>
    <n v="765"/>
    <n v="321"/>
    <n v="14"/>
    <n v="293.19"/>
    <n v="229.29"/>
    <n v="522.48"/>
    <x v="1"/>
    <n v="0"/>
    <n v="94.1"/>
    <n v="434"/>
    <n v="439"/>
  </r>
  <r>
    <x v="174"/>
    <s v="C8074"/>
    <d v="2021-04-04T00:00:00"/>
    <d v="2024-02-13T00:00:00"/>
    <x v="2"/>
    <s v="Europe"/>
    <s v="Germany"/>
    <s v="São Paulo"/>
    <s v="P83480"/>
    <s v="Furniture"/>
    <s v="Snacks"/>
    <s v="Product_5434"/>
    <n v="170.57"/>
    <n v="8"/>
    <s v="S983"/>
    <s v="Beta Ltd"/>
    <s v="W24"/>
    <x v="0"/>
    <s v="UPS"/>
    <s v="Mumbai-Berlin"/>
    <n v="1948"/>
    <n v="150"/>
    <n v="9"/>
    <n v="1362.85"/>
    <n v="111.53"/>
    <n v="1474.38"/>
    <x v="1"/>
    <n v="0"/>
    <n v="90.95"/>
    <n v="453"/>
    <n v="473"/>
  </r>
  <r>
    <x v="175"/>
    <s v="C1829"/>
    <d v="2022-09-06T00:00:00"/>
    <d v="2024-11-23T00:00:00"/>
    <x v="2"/>
    <s v="Asia"/>
    <s v="Canada"/>
    <s v="Berlin"/>
    <s v="P58754"/>
    <s v="Pharma"/>
    <s v="Medicines"/>
    <s v="Product_6303"/>
    <n v="170.17"/>
    <n v="34"/>
    <s v="S345"/>
    <s v="Beta Ltd"/>
    <s v="W3"/>
    <x v="2"/>
    <s v="DHL"/>
    <s v="Toronto-Mumbai"/>
    <n v="2435"/>
    <n v="469"/>
    <n v="5"/>
    <n v="1947.25"/>
    <n v="243.05"/>
    <n v="2190.3000000000002"/>
    <x v="1"/>
    <n v="0"/>
    <n v="75.459999999999994"/>
    <n v="100"/>
    <n v="147"/>
  </r>
  <r>
    <x v="176"/>
    <s v="C1964"/>
    <d v="2023-06-14T00:00:00"/>
    <d v="2024-01-24T00:00:00"/>
    <x v="2"/>
    <s v="Asia"/>
    <s v="Germany"/>
    <s v="Mumbai"/>
    <s v="P74083"/>
    <s v="Apparel"/>
    <s v="Snacks"/>
    <s v="Product_6519"/>
    <n v="107.39"/>
    <n v="79"/>
    <s v="S237"/>
    <s v="Alpha Corp"/>
    <s v="W37"/>
    <x v="1"/>
    <s v="Maersk"/>
    <s v="Cape Town-Cape Town"/>
    <n v="4983"/>
    <n v="489"/>
    <n v="2"/>
    <n v="1799.84"/>
    <n v="482.22"/>
    <n v="2282.06"/>
    <x v="1"/>
    <n v="0"/>
    <n v="80.64"/>
    <n v="304"/>
    <n v="349"/>
  </r>
  <r>
    <x v="177"/>
    <s v="C3952"/>
    <d v="2024-03-31T00:00:00"/>
    <d v="2023-01-24T00:00:00"/>
    <x v="2"/>
    <s v="North America"/>
    <s v="Germany"/>
    <s v="Mumbai"/>
    <s v="P49624"/>
    <s v="Food"/>
    <s v="Chair"/>
    <s v="Product_1622"/>
    <n v="106.12"/>
    <n v="4"/>
    <s v="S707"/>
    <s v="Alpha Corp"/>
    <s v="W31"/>
    <x v="3"/>
    <s v="FedEx"/>
    <s v="New York-London"/>
    <n v="2817"/>
    <n v="415"/>
    <n v="19"/>
    <n v="1739.72"/>
    <n v="391.17"/>
    <n v="2130.89"/>
    <x v="1"/>
    <n v="0"/>
    <n v="93.97"/>
    <n v="246"/>
    <n v="198"/>
  </r>
  <r>
    <x v="178"/>
    <s v="C9877"/>
    <d v="2022-07-28T00:00:00"/>
    <d v="2024-06-26T00:00:00"/>
    <x v="2"/>
    <s v="Asia"/>
    <s v="Brazil"/>
    <s v="Beijing"/>
    <s v="P85671"/>
    <s v="Apparel"/>
    <s v="Snacks"/>
    <s v="Product_4500"/>
    <n v="81.86"/>
    <n v="42"/>
    <s v="S116"/>
    <s v="Beta Ltd"/>
    <s v="W39"/>
    <x v="0"/>
    <s v="UPS"/>
    <s v="Beijing-Cape Town"/>
    <n v="3025"/>
    <n v="452"/>
    <n v="11"/>
    <n v="1629.07"/>
    <n v="309.37"/>
    <n v="1938.44"/>
    <x v="1"/>
    <n v="0"/>
    <n v="90.97"/>
    <n v="468"/>
    <n v="467"/>
  </r>
  <r>
    <x v="179"/>
    <s v="C6013"/>
    <d v="2022-04-24T00:00:00"/>
    <d v="2023-02-17T00:00:00"/>
    <x v="2"/>
    <s v="Africa"/>
    <s v="India"/>
    <s v="Berlin"/>
    <s v="P52488"/>
    <s v="Pharma"/>
    <s v="Medicines"/>
    <s v="Product_4012"/>
    <n v="183.69"/>
    <n v="37"/>
    <s v="S818"/>
    <s v="Epsilon LLC"/>
    <s v="W36"/>
    <x v="3"/>
    <s v="Maersk"/>
    <s v="London-Mumbai"/>
    <n v="1297"/>
    <n v="372"/>
    <n v="6"/>
    <n v="680.66"/>
    <n v="135.36000000000001"/>
    <n v="816.02"/>
    <x v="1"/>
    <n v="0"/>
    <n v="87.5"/>
    <n v="389"/>
    <n v="340"/>
  </r>
  <r>
    <x v="180"/>
    <s v="C4728"/>
    <d v="2024-09-07T00:00:00"/>
    <d v="2021-05-05T00:00:00"/>
    <x v="2"/>
    <s v="Europe"/>
    <s v="India"/>
    <s v="Berlin"/>
    <s v="P57487"/>
    <s v="Food"/>
    <s v="Medicines"/>
    <s v="Product_5455"/>
    <n v="248.6"/>
    <n v="11"/>
    <s v="S860"/>
    <s v="Epsilon LLC"/>
    <s v="W9"/>
    <x v="3"/>
    <s v="DHL"/>
    <s v="São Paulo-Toronto"/>
    <n v="3415"/>
    <n v="373"/>
    <n v="3"/>
    <n v="1746.49"/>
    <n v="87.93"/>
    <n v="1834.42"/>
    <x v="1"/>
    <n v="0"/>
    <n v="91.1"/>
    <n v="472"/>
    <n v="471"/>
  </r>
  <r>
    <x v="181"/>
    <s v="C7959"/>
    <d v="2021-07-03T00:00:00"/>
    <d v="2022-06-27T00:00:00"/>
    <x v="2"/>
    <s v="South America"/>
    <s v="Canada"/>
    <s v="Beijing"/>
    <s v="P59896"/>
    <s v="Electronics"/>
    <s v="Snacks"/>
    <s v="Product_2872"/>
    <n v="175.3"/>
    <n v="77"/>
    <s v="S472"/>
    <s v="Alpha Corp"/>
    <s v="W43"/>
    <x v="0"/>
    <s v="FedEx"/>
    <s v="Mumbai-Toronto"/>
    <n v="1967"/>
    <n v="288"/>
    <n v="4"/>
    <n v="896.14"/>
    <n v="268.5"/>
    <n v="1164.6400000000001"/>
    <x v="1"/>
    <n v="0"/>
    <n v="77.900000000000006"/>
    <n v="253"/>
    <n v="212"/>
  </r>
  <r>
    <x v="182"/>
    <s v="C3819"/>
    <d v="2024-07-08T00:00:00"/>
    <d v="2022-06-06T00:00:00"/>
    <x v="2"/>
    <s v="North America"/>
    <s v="South Africa"/>
    <s v="New York"/>
    <s v="P61113"/>
    <s v="Electronics"/>
    <s v="Shirt"/>
    <s v="Product_7492"/>
    <n v="475.89"/>
    <n v="54"/>
    <s v="S888"/>
    <s v="Beta Ltd"/>
    <s v="W15"/>
    <x v="0"/>
    <s v="BlueDart"/>
    <s v="Mumbai-New York"/>
    <n v="241"/>
    <n v="498"/>
    <n v="20"/>
    <n v="1543.65"/>
    <n v="22.15"/>
    <n v="1565.8"/>
    <x v="0"/>
    <n v="10"/>
    <n v="86.32"/>
    <n v="194"/>
    <n v="237"/>
  </r>
  <r>
    <x v="183"/>
    <s v="C5698"/>
    <d v="2021-12-10T00:00:00"/>
    <d v="2024-04-20T00:00:00"/>
    <x v="1"/>
    <s v="Europe"/>
    <s v="South Africa"/>
    <s v="Toronto"/>
    <s v="P37637"/>
    <s v="Furniture"/>
    <s v="Snacks"/>
    <s v="Product_6163"/>
    <n v="261.16000000000003"/>
    <n v="58"/>
    <s v="S214"/>
    <s v="Epsilon LLC"/>
    <s v="W9"/>
    <x v="2"/>
    <s v="DHL"/>
    <s v="Toronto-New York"/>
    <n v="2161"/>
    <n v="301"/>
    <n v="21"/>
    <n v="176.7"/>
    <n v="327.84"/>
    <n v="504.54"/>
    <x v="0"/>
    <n v="5"/>
    <n v="88.06"/>
    <n v="229"/>
    <n v="270"/>
  </r>
  <r>
    <x v="184"/>
    <s v="C6011"/>
    <d v="2022-02-10T00:00:00"/>
    <d v="2022-08-06T00:00:00"/>
    <x v="2"/>
    <s v="Asia"/>
    <s v="Germany"/>
    <s v="New York"/>
    <s v="P62496"/>
    <s v="Apparel"/>
    <s v="Chair"/>
    <s v="Product_4431"/>
    <n v="323.37"/>
    <n v="7"/>
    <s v="S508"/>
    <s v="Epsilon LLC"/>
    <s v="W24"/>
    <x v="3"/>
    <s v="UPS"/>
    <s v="Mumbai-Beijing"/>
    <n v="1864"/>
    <n v="73"/>
    <n v="3"/>
    <n v="438.63"/>
    <n v="12.74"/>
    <n v="451.37"/>
    <x v="1"/>
    <n v="0"/>
    <n v="71.27"/>
    <n v="246"/>
    <n v="229"/>
  </r>
  <r>
    <x v="185"/>
    <s v="C3914"/>
    <d v="2022-04-08T00:00:00"/>
    <d v="2023-01-25T00:00:00"/>
    <x v="2"/>
    <s v="Asia"/>
    <s v="China"/>
    <s v="Berlin"/>
    <s v="P26397"/>
    <s v="Furniture"/>
    <s v="Shirt"/>
    <s v="Product_5068"/>
    <n v="375.2"/>
    <n v="91"/>
    <s v="S696"/>
    <s v="Delta Traders"/>
    <s v="W11"/>
    <x v="1"/>
    <s v="DHL"/>
    <s v="Mumbai-Beijing"/>
    <n v="1439"/>
    <n v="321"/>
    <n v="19"/>
    <n v="780.32"/>
    <n v="153.44"/>
    <n v="933.76"/>
    <x v="1"/>
    <n v="0"/>
    <n v="90.04"/>
    <n v="399"/>
    <n v="438"/>
  </r>
  <r>
    <x v="186"/>
    <s v="C1223"/>
    <d v="2024-05-15T00:00:00"/>
    <d v="2023-08-22T00:00:00"/>
    <x v="2"/>
    <s v="North America"/>
    <s v="Germany"/>
    <s v="Toronto"/>
    <s v="P13558"/>
    <s v="Apparel"/>
    <s v="Chair"/>
    <s v="Product_5082"/>
    <n v="340.4"/>
    <n v="61"/>
    <s v="S676"/>
    <s v="Beta Ltd"/>
    <s v="W18"/>
    <x v="0"/>
    <s v="BlueDart"/>
    <s v="Beijing-New York"/>
    <n v="2141"/>
    <n v="257"/>
    <n v="4"/>
    <n v="1347.39"/>
    <n v="450.32"/>
    <n v="1797.71"/>
    <x v="1"/>
    <n v="0"/>
    <n v="79.7"/>
    <n v="410"/>
    <n v="421"/>
  </r>
  <r>
    <x v="187"/>
    <s v="C4208"/>
    <d v="2020-03-25T00:00:00"/>
    <d v="2021-09-09T00:00:00"/>
    <x v="2"/>
    <s v="North America"/>
    <s v="Brazil"/>
    <s v="Cape Town"/>
    <s v="P38037"/>
    <s v="Electronics"/>
    <s v="Medicines"/>
    <s v="Product_2987"/>
    <n v="235.53"/>
    <n v="55"/>
    <s v="S345"/>
    <s v="Alpha Corp"/>
    <s v="W46"/>
    <x v="2"/>
    <s v="FedEx"/>
    <s v="Beijing-London"/>
    <n v="1642"/>
    <n v="325"/>
    <n v="23"/>
    <n v="507.61"/>
    <n v="99.31"/>
    <n v="606.92000000000007"/>
    <x v="1"/>
    <n v="0"/>
    <n v="82.82"/>
    <n v="214"/>
    <n v="217"/>
  </r>
  <r>
    <x v="188"/>
    <s v="C1062"/>
    <d v="2021-03-14T00:00:00"/>
    <d v="2021-01-29T00:00:00"/>
    <x v="2"/>
    <s v="North America"/>
    <s v="Brazil"/>
    <s v="London"/>
    <s v="P29106"/>
    <s v="Furniture"/>
    <s v="Medicines"/>
    <s v="Product_6477"/>
    <n v="74.040000000000006"/>
    <n v="7"/>
    <s v="S713"/>
    <s v="Alpha Corp"/>
    <s v="W4"/>
    <x v="3"/>
    <s v="UPS"/>
    <s v="Mumbai-Cape Town"/>
    <n v="3724"/>
    <n v="466"/>
    <n v="8"/>
    <n v="511.79"/>
    <n v="65.83"/>
    <n v="577.62"/>
    <x v="1"/>
    <n v="0"/>
    <n v="77.069999999999993"/>
    <n v="132"/>
    <n v="126"/>
  </r>
  <r>
    <x v="189"/>
    <s v="C1917"/>
    <d v="2020-07-20T00:00:00"/>
    <d v="2020-01-24T00:00:00"/>
    <x v="0"/>
    <s v="Asia"/>
    <s v="South Africa"/>
    <s v="São Paulo"/>
    <s v="P71480"/>
    <s v="Electronics"/>
    <s v="Laptop"/>
    <s v="Product_1717"/>
    <n v="199.53"/>
    <n v="61"/>
    <s v="S887"/>
    <s v="Delta Traders"/>
    <s v="W34"/>
    <x v="0"/>
    <s v="BlueDart"/>
    <s v="Berlin-São Paulo"/>
    <n v="4021"/>
    <n v="137"/>
    <n v="20"/>
    <n v="1430.03"/>
    <n v="258.5"/>
    <n v="1688.53"/>
    <x v="1"/>
    <n v="0"/>
    <n v="70.760000000000005"/>
    <n v="470"/>
    <n v="426"/>
  </r>
  <r>
    <x v="190"/>
    <s v="C5923"/>
    <d v="2023-08-31T00:00:00"/>
    <d v="2020-02-01T00:00:00"/>
    <x v="1"/>
    <s v="South America"/>
    <s v="UK"/>
    <s v="Berlin"/>
    <s v="P53290"/>
    <s v="Furniture"/>
    <s v="Laptop"/>
    <s v="Product_4499"/>
    <n v="355.56"/>
    <n v="28"/>
    <s v="S786"/>
    <s v="Alpha Corp"/>
    <s v="W5"/>
    <x v="3"/>
    <s v="BlueDart"/>
    <s v="Toronto-Mumbai"/>
    <n v="3754"/>
    <n v="367"/>
    <n v="1"/>
    <n v="297.49"/>
    <n v="226.33"/>
    <n v="523.82000000000005"/>
    <x v="1"/>
    <n v="0"/>
    <n v="83.6"/>
    <n v="289"/>
    <n v="287"/>
  </r>
  <r>
    <x v="191"/>
    <s v="C8875"/>
    <d v="2023-05-09T00:00:00"/>
    <d v="2020-06-24T00:00:00"/>
    <x v="1"/>
    <s v="South America"/>
    <s v="Brazil"/>
    <s v="Berlin"/>
    <s v="P65962"/>
    <s v="Electronics"/>
    <s v="Snacks"/>
    <s v="Product_1509"/>
    <n v="107.85"/>
    <n v="78"/>
    <s v="S625"/>
    <s v="Alpha Corp"/>
    <s v="W39"/>
    <x v="1"/>
    <s v="BlueDart"/>
    <s v="New York-Mumbai"/>
    <n v="4926"/>
    <n v="387"/>
    <n v="21"/>
    <n v="692.15"/>
    <n v="130.80000000000001"/>
    <n v="822.95"/>
    <x v="1"/>
    <n v="0"/>
    <n v="74.83"/>
    <n v="286"/>
    <n v="317"/>
  </r>
  <r>
    <x v="192"/>
    <s v="C1622"/>
    <d v="2023-07-23T00:00:00"/>
    <d v="2024-08-28T00:00:00"/>
    <x v="2"/>
    <s v="Africa"/>
    <s v="UK"/>
    <s v="Beijing"/>
    <s v="P81354"/>
    <s v="Apparel"/>
    <s v="Laptop"/>
    <s v="Product_9711"/>
    <n v="23.18"/>
    <n v="37"/>
    <s v="S156"/>
    <s v="Delta Traders"/>
    <s v="W26"/>
    <x v="2"/>
    <s v="DHL"/>
    <s v="Toronto-São Paulo"/>
    <n v="2600"/>
    <n v="122"/>
    <n v="3"/>
    <n v="1942.19"/>
    <n v="452.53"/>
    <n v="2394.7199999999998"/>
    <x v="1"/>
    <n v="0"/>
    <n v="97.75"/>
    <n v="304"/>
    <n v="295"/>
  </r>
  <r>
    <x v="193"/>
    <s v="C9843"/>
    <d v="2021-05-08T00:00:00"/>
    <d v="2022-12-08T00:00:00"/>
    <x v="1"/>
    <s v="North America"/>
    <s v="UK"/>
    <s v="Mumbai"/>
    <s v="P23132"/>
    <s v="Apparel"/>
    <s v="Chair"/>
    <s v="Product_1176"/>
    <n v="27.74"/>
    <n v="37"/>
    <s v="S375"/>
    <s v="Delta Traders"/>
    <s v="W35"/>
    <x v="2"/>
    <s v="BlueDart"/>
    <s v="Berlin-Berlin"/>
    <n v="1323"/>
    <n v="274"/>
    <n v="7"/>
    <n v="86.22"/>
    <n v="89.82"/>
    <n v="176.04"/>
    <x v="1"/>
    <n v="0"/>
    <n v="85.18"/>
    <n v="334"/>
    <n v="320"/>
  </r>
  <r>
    <x v="194"/>
    <s v="C8894"/>
    <d v="2023-10-29T00:00:00"/>
    <d v="2023-05-27T00:00:00"/>
    <x v="2"/>
    <s v="Asia"/>
    <s v="UK"/>
    <s v="Toronto"/>
    <s v="P72742"/>
    <s v="Pharma"/>
    <s v="Laptop"/>
    <s v="Product_8089"/>
    <n v="414.94"/>
    <n v="23"/>
    <s v="S212"/>
    <s v="Gamma Inc"/>
    <s v="W36"/>
    <x v="0"/>
    <s v="Maersk"/>
    <s v="New York-London"/>
    <n v="2076"/>
    <n v="147"/>
    <n v="26"/>
    <n v="51.65"/>
    <n v="275.05"/>
    <n v="326.7"/>
    <x v="1"/>
    <n v="0"/>
    <n v="71.900000000000006"/>
    <n v="223"/>
    <n v="222"/>
  </r>
  <r>
    <x v="195"/>
    <s v="C5064"/>
    <d v="2020-01-01T00:00:00"/>
    <d v="2023-06-20T00:00:00"/>
    <x v="1"/>
    <s v="Europe"/>
    <s v="Germany"/>
    <s v="Berlin"/>
    <s v="P17730"/>
    <s v="Food"/>
    <s v="Shirt"/>
    <s v="Product_5062"/>
    <n v="247.47"/>
    <n v="78"/>
    <s v="S465"/>
    <s v="Alpha Corp"/>
    <s v="W16"/>
    <x v="1"/>
    <s v="FedEx"/>
    <s v="Toronto-Cape Town"/>
    <n v="4660"/>
    <n v="439"/>
    <n v="21"/>
    <n v="404.37"/>
    <n v="201.21"/>
    <n v="605.58000000000004"/>
    <x v="1"/>
    <n v="0"/>
    <n v="71.53"/>
    <n v="424"/>
    <n v="387"/>
  </r>
  <r>
    <x v="196"/>
    <s v="C7140"/>
    <d v="2021-09-06T00:00:00"/>
    <d v="2020-09-28T00:00:00"/>
    <x v="2"/>
    <s v="Asia"/>
    <s v="South Africa"/>
    <s v="New York"/>
    <s v="P81979"/>
    <s v="Apparel"/>
    <s v="Chair"/>
    <s v="Product_6095"/>
    <n v="110.28"/>
    <n v="61"/>
    <s v="S635"/>
    <s v="Delta Traders"/>
    <s v="W34"/>
    <x v="0"/>
    <s v="BlueDart"/>
    <s v="Beijing-Berlin"/>
    <n v="4847"/>
    <n v="54"/>
    <n v="7"/>
    <n v="1775.82"/>
    <n v="272.06"/>
    <n v="2047.88"/>
    <x v="0"/>
    <n v="12"/>
    <n v="79.290000000000006"/>
    <n v="358"/>
    <n v="319"/>
  </r>
  <r>
    <x v="197"/>
    <s v="C5167"/>
    <d v="2021-07-04T00:00:00"/>
    <d v="2023-12-15T00:00:00"/>
    <x v="0"/>
    <s v="Africa"/>
    <s v="UK"/>
    <s v="Mumbai"/>
    <s v="P65225"/>
    <s v="Food"/>
    <s v="Snacks"/>
    <s v="Product_2149"/>
    <n v="459.68"/>
    <n v="27"/>
    <s v="S570"/>
    <s v="Beta Ltd"/>
    <s v="W27"/>
    <x v="1"/>
    <s v="UPS"/>
    <s v="London-Cape Town"/>
    <n v="188"/>
    <n v="160"/>
    <n v="24"/>
    <n v="272.56"/>
    <n v="314.79000000000002"/>
    <n v="587.35"/>
    <x v="1"/>
    <n v="0"/>
    <n v="76.39"/>
    <n v="457"/>
    <n v="435"/>
  </r>
  <r>
    <x v="198"/>
    <s v="C9420"/>
    <d v="2023-03-18T00:00:00"/>
    <d v="2021-06-12T00:00:00"/>
    <x v="2"/>
    <s v="Asia"/>
    <s v="South Africa"/>
    <s v="Beijing"/>
    <s v="P90808"/>
    <s v="Apparel"/>
    <s v="Medicines"/>
    <s v="Product_5606"/>
    <n v="177.53"/>
    <n v="62"/>
    <s v="S244"/>
    <s v="Epsilon LLC"/>
    <s v="W16"/>
    <x v="2"/>
    <s v="Maersk"/>
    <s v="Cape Town-Beijing"/>
    <n v="4600"/>
    <n v="365"/>
    <n v="6"/>
    <n v="1142.79"/>
    <n v="392.48"/>
    <n v="1535.27"/>
    <x v="1"/>
    <n v="0"/>
    <n v="99.38"/>
    <n v="449"/>
    <n v="474"/>
  </r>
  <r>
    <x v="199"/>
    <s v="C5948"/>
    <d v="2020-07-20T00:00:00"/>
    <d v="2023-06-03T00:00:00"/>
    <x v="2"/>
    <s v="Africa"/>
    <s v="Germany"/>
    <s v="Cape Town"/>
    <s v="P38251"/>
    <s v="Electronics"/>
    <s v="Chair"/>
    <s v="Product_7666"/>
    <n v="51.69"/>
    <n v="37"/>
    <s v="S581"/>
    <s v="Alpha Corp"/>
    <s v="W29"/>
    <x v="0"/>
    <s v="UPS"/>
    <s v="New York-Beijing"/>
    <n v="4713"/>
    <n v="370"/>
    <n v="8"/>
    <n v="686.76"/>
    <n v="263.17"/>
    <n v="949.93000000000006"/>
    <x v="1"/>
    <n v="0"/>
    <n v="91.28"/>
    <n v="206"/>
    <n v="212"/>
  </r>
  <r>
    <x v="200"/>
    <s v="C9340"/>
    <d v="2022-08-25T00:00:00"/>
    <d v="2020-02-23T00:00:00"/>
    <x v="2"/>
    <s v="Asia"/>
    <s v="USA"/>
    <s v="New York"/>
    <s v="P95469"/>
    <s v="Apparel"/>
    <s v="Chair"/>
    <s v="Product_3837"/>
    <n v="13.4"/>
    <n v="93"/>
    <s v="S224"/>
    <s v="Beta Ltd"/>
    <s v="W17"/>
    <x v="2"/>
    <s v="FedEx"/>
    <s v="Cape Town-São Paulo"/>
    <n v="4650"/>
    <n v="434"/>
    <n v="19"/>
    <n v="690.84"/>
    <n v="475.24"/>
    <n v="1166.08"/>
    <x v="1"/>
    <n v="0"/>
    <n v="93.73"/>
    <n v="273"/>
    <n v="307"/>
  </r>
  <r>
    <x v="201"/>
    <s v="C2549"/>
    <d v="2020-08-16T00:00:00"/>
    <d v="2020-08-15T00:00:00"/>
    <x v="2"/>
    <s v="Europe"/>
    <s v="Germany"/>
    <s v="New York"/>
    <s v="P49926"/>
    <s v="Pharma"/>
    <s v="Medicines"/>
    <s v="Product_3067"/>
    <n v="357.32"/>
    <n v="73"/>
    <s v="S592"/>
    <s v="Delta Traders"/>
    <s v="W9"/>
    <x v="1"/>
    <s v="FedEx"/>
    <s v="Berlin-Toronto"/>
    <n v="1937"/>
    <n v="251"/>
    <n v="6"/>
    <n v="1161.28"/>
    <n v="497.52"/>
    <n v="1658.8"/>
    <x v="1"/>
    <n v="0"/>
    <n v="84.19"/>
    <n v="328"/>
    <n v="330"/>
  </r>
  <r>
    <x v="202"/>
    <s v="C9903"/>
    <d v="2020-08-03T00:00:00"/>
    <d v="2022-07-31T00:00:00"/>
    <x v="2"/>
    <s v="North America"/>
    <s v="India"/>
    <s v="London"/>
    <s v="P58029"/>
    <s v="Furniture"/>
    <s v="Chair"/>
    <s v="Product_9689"/>
    <n v="242.51"/>
    <n v="54"/>
    <s v="S630"/>
    <s v="Delta Traders"/>
    <s v="W19"/>
    <x v="1"/>
    <s v="FedEx"/>
    <s v="Toronto-São Paulo"/>
    <n v="4884"/>
    <n v="459"/>
    <n v="12"/>
    <n v="1037.33"/>
    <n v="350.54"/>
    <n v="1387.87"/>
    <x v="1"/>
    <n v="0"/>
    <n v="70.739999999999995"/>
    <n v="354"/>
    <n v="334"/>
  </r>
  <r>
    <x v="203"/>
    <s v="C3832"/>
    <d v="2020-06-08T00:00:00"/>
    <d v="2023-04-02T00:00:00"/>
    <x v="0"/>
    <s v="Africa"/>
    <s v="Brazil"/>
    <s v="Toronto"/>
    <s v="P37942"/>
    <s v="Apparel"/>
    <s v="Snacks"/>
    <s v="Product_9672"/>
    <n v="156.01"/>
    <n v="5"/>
    <s v="S146"/>
    <s v="Gamma Inc"/>
    <s v="W9"/>
    <x v="0"/>
    <s v="UPS"/>
    <s v="New York-London"/>
    <n v="4114"/>
    <n v="402"/>
    <n v="25"/>
    <n v="1786.27"/>
    <n v="273.60000000000002"/>
    <n v="2059.87"/>
    <x v="0"/>
    <n v="13"/>
    <n v="77.319999999999993"/>
    <n v="497"/>
    <n v="546"/>
  </r>
  <r>
    <x v="204"/>
    <s v="C5673"/>
    <d v="2023-03-06T00:00:00"/>
    <d v="2021-07-07T00:00:00"/>
    <x v="1"/>
    <s v="South America"/>
    <s v="Germany"/>
    <s v="Mumbai"/>
    <s v="P31513"/>
    <s v="Pharma"/>
    <s v="Snacks"/>
    <s v="Product_2421"/>
    <n v="60.29"/>
    <n v="45"/>
    <s v="S543"/>
    <s v="Epsilon LLC"/>
    <s v="W29"/>
    <x v="1"/>
    <s v="Maersk"/>
    <s v="Toronto-São Paulo"/>
    <n v="4273"/>
    <n v="287"/>
    <n v="7"/>
    <n v="1400.45"/>
    <n v="28.15"/>
    <n v="1428.6"/>
    <x v="1"/>
    <n v="0"/>
    <n v="77.760000000000005"/>
    <n v="151"/>
    <n v="158"/>
  </r>
  <r>
    <x v="205"/>
    <s v="C1211"/>
    <d v="2022-11-15T00:00:00"/>
    <d v="2024-03-04T00:00:00"/>
    <x v="2"/>
    <s v="Europe"/>
    <s v="UK"/>
    <s v="Beijing"/>
    <s v="P95743"/>
    <s v="Electronics"/>
    <s v="Medicines"/>
    <s v="Product_1910"/>
    <n v="242.39"/>
    <n v="65"/>
    <s v="S332"/>
    <s v="Delta Traders"/>
    <s v="W48"/>
    <x v="3"/>
    <s v="BlueDart"/>
    <s v="Toronto-Berlin"/>
    <n v="1323"/>
    <n v="134"/>
    <n v="26"/>
    <n v="721.05"/>
    <n v="186.83"/>
    <n v="907.88"/>
    <x v="1"/>
    <n v="0"/>
    <n v="79.959999999999994"/>
    <n v="314"/>
    <n v="350"/>
  </r>
  <r>
    <x v="206"/>
    <s v="C7208"/>
    <d v="2023-06-04T00:00:00"/>
    <d v="2020-04-30T00:00:00"/>
    <x v="2"/>
    <s v="North America"/>
    <s v="South Africa"/>
    <s v="Berlin"/>
    <s v="P55654"/>
    <s v="Apparel"/>
    <s v="Shirt"/>
    <s v="Product_9439"/>
    <n v="255.87"/>
    <n v="12"/>
    <s v="S563"/>
    <s v="Alpha Corp"/>
    <s v="W5"/>
    <x v="2"/>
    <s v="DHL"/>
    <s v="São Paulo-Berlin"/>
    <n v="4585"/>
    <n v="304"/>
    <n v="15"/>
    <n v="1977.02"/>
    <n v="249.04"/>
    <n v="2226.06"/>
    <x v="1"/>
    <n v="0"/>
    <n v="86.17"/>
    <n v="61"/>
    <n v="66"/>
  </r>
  <r>
    <x v="207"/>
    <s v="C9552"/>
    <d v="2023-10-13T00:00:00"/>
    <d v="2023-10-04T00:00:00"/>
    <x v="2"/>
    <s v="Asia"/>
    <s v="India"/>
    <s v="Cape Town"/>
    <s v="P12234"/>
    <s v="Electronics"/>
    <s v="Laptop"/>
    <s v="Product_3964"/>
    <n v="480.68"/>
    <n v="53"/>
    <s v="S828"/>
    <s v="Gamma Inc"/>
    <s v="W29"/>
    <x v="1"/>
    <s v="FedEx"/>
    <s v="Mumbai-Beijing"/>
    <n v="765"/>
    <n v="443"/>
    <n v="27"/>
    <n v="287.43"/>
    <n v="85.94"/>
    <n v="373.37"/>
    <x v="1"/>
    <n v="0"/>
    <n v="78.12"/>
    <n v="134"/>
    <n v="153"/>
  </r>
  <r>
    <x v="208"/>
    <s v="C2825"/>
    <d v="2021-01-21T00:00:00"/>
    <d v="2022-08-05T00:00:00"/>
    <x v="2"/>
    <s v="Europe"/>
    <s v="South Africa"/>
    <s v="Cape Town"/>
    <s v="P77951"/>
    <s v="Apparel"/>
    <s v="Chair"/>
    <s v="Product_2971"/>
    <n v="58.8"/>
    <n v="76"/>
    <s v="S302"/>
    <s v="Delta Traders"/>
    <s v="W8"/>
    <x v="1"/>
    <s v="UPS"/>
    <s v="New York-London"/>
    <n v="2392"/>
    <n v="349"/>
    <n v="9"/>
    <n v="1418.58"/>
    <n v="117.76"/>
    <n v="1536.34"/>
    <x v="1"/>
    <n v="0"/>
    <n v="78.8"/>
    <n v="89"/>
    <n v="59"/>
  </r>
  <r>
    <x v="209"/>
    <s v="C6160"/>
    <d v="2020-05-28T00:00:00"/>
    <d v="2021-09-08T00:00:00"/>
    <x v="2"/>
    <s v="North America"/>
    <s v="UK"/>
    <s v="Mumbai"/>
    <s v="P87682"/>
    <s v="Pharma"/>
    <s v="Snacks"/>
    <s v="Product_5261"/>
    <n v="219.57"/>
    <n v="96"/>
    <s v="S985"/>
    <s v="Epsilon LLC"/>
    <s v="W46"/>
    <x v="1"/>
    <s v="BlueDart"/>
    <s v="Berlin-Toronto"/>
    <n v="2606"/>
    <n v="68"/>
    <n v="6"/>
    <n v="1169.51"/>
    <n v="480.26"/>
    <n v="1649.77"/>
    <x v="1"/>
    <n v="0"/>
    <n v="70.95"/>
    <n v="272"/>
    <n v="271"/>
  </r>
  <r>
    <x v="210"/>
    <s v="C7204"/>
    <d v="2023-09-18T00:00:00"/>
    <d v="2023-04-07T00:00:00"/>
    <x v="0"/>
    <s v="Europe"/>
    <s v="Brazil"/>
    <s v="New York"/>
    <s v="P82977"/>
    <s v="Apparel"/>
    <s v="Snacks"/>
    <s v="Product_9756"/>
    <n v="327.27"/>
    <n v="23"/>
    <s v="S610"/>
    <s v="Gamma Inc"/>
    <s v="W24"/>
    <x v="3"/>
    <s v="BlueDart"/>
    <s v="London-Berlin"/>
    <n v="4012"/>
    <n v="437"/>
    <n v="28"/>
    <n v="391.41"/>
    <n v="108.58"/>
    <n v="499.99"/>
    <x v="1"/>
    <n v="0"/>
    <n v="88.48"/>
    <n v="493"/>
    <n v="472"/>
  </r>
  <r>
    <x v="211"/>
    <s v="C8558"/>
    <d v="2022-07-26T00:00:00"/>
    <d v="2023-03-03T00:00:00"/>
    <x v="2"/>
    <s v="Europe"/>
    <s v="China"/>
    <s v="Toronto"/>
    <s v="P61550"/>
    <s v="Apparel"/>
    <s v="Chair"/>
    <s v="Product_8072"/>
    <n v="350.58"/>
    <n v="18"/>
    <s v="S314"/>
    <s v="Beta Ltd"/>
    <s v="W35"/>
    <x v="3"/>
    <s v="FedEx"/>
    <s v="Beijing-London"/>
    <n v="2582"/>
    <n v="231"/>
    <n v="4"/>
    <n v="1442.07"/>
    <n v="74.040000000000006"/>
    <n v="1516.11"/>
    <x v="1"/>
    <n v="0"/>
    <n v="71.760000000000005"/>
    <n v="388"/>
    <n v="373"/>
  </r>
  <r>
    <x v="212"/>
    <s v="C5084"/>
    <d v="2024-06-16T00:00:00"/>
    <d v="2022-03-11T00:00:00"/>
    <x v="1"/>
    <s v="North America"/>
    <s v="Canada"/>
    <s v="New York"/>
    <s v="P88396"/>
    <s v="Pharma"/>
    <s v="Snacks"/>
    <s v="Product_5344"/>
    <n v="215.89"/>
    <n v="54"/>
    <s v="S204"/>
    <s v="Beta Ltd"/>
    <s v="W35"/>
    <x v="0"/>
    <s v="FedEx"/>
    <s v="Toronto-Cape Town"/>
    <n v="2888"/>
    <n v="301"/>
    <n v="10"/>
    <n v="1400.61"/>
    <n v="167.19"/>
    <n v="1567.8"/>
    <x v="1"/>
    <n v="0"/>
    <n v="75.59"/>
    <n v="56"/>
    <n v="10"/>
  </r>
  <r>
    <x v="213"/>
    <s v="C5576"/>
    <d v="2021-06-08T00:00:00"/>
    <d v="2020-07-14T00:00:00"/>
    <x v="2"/>
    <s v="South America"/>
    <s v="UK"/>
    <s v="Toronto"/>
    <s v="P19634"/>
    <s v="Food"/>
    <s v="Laptop"/>
    <s v="Product_1034"/>
    <n v="210.82"/>
    <n v="30"/>
    <s v="S198"/>
    <s v="Gamma Inc"/>
    <s v="W40"/>
    <x v="2"/>
    <s v="UPS"/>
    <s v="Beijing-London"/>
    <n v="2100"/>
    <n v="71"/>
    <n v="15"/>
    <n v="90.13"/>
    <n v="382.79"/>
    <n v="472.92"/>
    <x v="1"/>
    <n v="0"/>
    <n v="98.07"/>
    <n v="337"/>
    <n v="287"/>
  </r>
  <r>
    <x v="214"/>
    <s v="C1139"/>
    <d v="2022-06-07T00:00:00"/>
    <d v="2021-01-20T00:00:00"/>
    <x v="2"/>
    <s v="North America"/>
    <s v="Brazil"/>
    <s v="Cape Town"/>
    <s v="P24933"/>
    <s v="Apparel"/>
    <s v="Shirt"/>
    <s v="Product_4869"/>
    <n v="19.489999999999998"/>
    <n v="94"/>
    <s v="S321"/>
    <s v="Alpha Corp"/>
    <s v="W37"/>
    <x v="2"/>
    <s v="BlueDart"/>
    <s v="Mumbai-Beijing"/>
    <n v="2273"/>
    <n v="163"/>
    <n v="18"/>
    <n v="1335.07"/>
    <n v="434.22"/>
    <n v="1769.29"/>
    <x v="0"/>
    <n v="10"/>
    <n v="91.97"/>
    <n v="425"/>
    <n v="386"/>
  </r>
  <r>
    <x v="215"/>
    <s v="C2716"/>
    <d v="2020-07-01T00:00:00"/>
    <d v="2020-08-04T00:00:00"/>
    <x v="2"/>
    <s v="South America"/>
    <s v="India"/>
    <s v="Berlin"/>
    <s v="P48581"/>
    <s v="Pharma"/>
    <s v="Chair"/>
    <s v="Product_1892"/>
    <n v="387.24"/>
    <n v="61"/>
    <s v="S562"/>
    <s v="Epsilon LLC"/>
    <s v="W8"/>
    <x v="3"/>
    <s v="FedEx"/>
    <s v="Mumbai-Mumbai"/>
    <n v="373"/>
    <n v="150"/>
    <n v="25"/>
    <n v="1515.68"/>
    <n v="42.93"/>
    <n v="1558.61"/>
    <x v="1"/>
    <n v="0"/>
    <n v="89.89"/>
    <n v="279"/>
    <n v="286"/>
  </r>
  <r>
    <x v="216"/>
    <s v="C2634"/>
    <d v="2020-09-19T00:00:00"/>
    <d v="2022-12-09T00:00:00"/>
    <x v="2"/>
    <s v="North America"/>
    <s v="India"/>
    <s v="São Paulo"/>
    <s v="P95957"/>
    <s v="Pharma"/>
    <s v="Medicines"/>
    <s v="Product_7637"/>
    <n v="6.19"/>
    <n v="15"/>
    <s v="S945"/>
    <s v="Epsilon LLC"/>
    <s v="W25"/>
    <x v="1"/>
    <s v="FedEx"/>
    <s v="New York-New York"/>
    <n v="748"/>
    <n v="347"/>
    <n v="29"/>
    <n v="516.28"/>
    <n v="411.45"/>
    <n v="927.73"/>
    <x v="1"/>
    <n v="0"/>
    <n v="92.78"/>
    <n v="68"/>
    <n v="83"/>
  </r>
  <r>
    <x v="217"/>
    <s v="C4539"/>
    <d v="2020-02-20T00:00:00"/>
    <d v="2024-12-24T00:00:00"/>
    <x v="1"/>
    <s v="Europe"/>
    <s v="China"/>
    <s v="Toronto"/>
    <s v="P72291"/>
    <s v="Food"/>
    <s v="Shirt"/>
    <s v="Product_5622"/>
    <n v="447.26"/>
    <n v="93"/>
    <s v="S701"/>
    <s v="Gamma Inc"/>
    <s v="W25"/>
    <x v="3"/>
    <s v="Maersk"/>
    <s v="Cape Town-Toronto"/>
    <n v="2686"/>
    <n v="89"/>
    <n v="3"/>
    <n v="797.51"/>
    <n v="152.94999999999999"/>
    <n v="950.46"/>
    <x v="1"/>
    <n v="0"/>
    <n v="94.05"/>
    <n v="494"/>
    <n v="511"/>
  </r>
  <r>
    <x v="218"/>
    <s v="C7870"/>
    <d v="2023-12-01T00:00:00"/>
    <d v="2022-08-23T00:00:00"/>
    <x v="2"/>
    <s v="South America"/>
    <s v="India"/>
    <s v="Berlin"/>
    <s v="P49401"/>
    <s v="Furniture"/>
    <s v="Laptop"/>
    <s v="Product_9226"/>
    <n v="484.64"/>
    <n v="47"/>
    <s v="S155"/>
    <s v="Delta Traders"/>
    <s v="W18"/>
    <x v="0"/>
    <s v="UPS"/>
    <s v="Cape Town-Beijing"/>
    <n v="3685"/>
    <n v="334"/>
    <n v="13"/>
    <n v="563.38"/>
    <n v="88.12"/>
    <n v="651.5"/>
    <x v="0"/>
    <n v="12"/>
    <n v="90.36"/>
    <n v="170"/>
    <n v="125"/>
  </r>
  <r>
    <x v="219"/>
    <s v="C7278"/>
    <d v="2023-07-04T00:00:00"/>
    <d v="2020-01-16T00:00:00"/>
    <x v="2"/>
    <s v="Europe"/>
    <s v="Canada"/>
    <s v="New York"/>
    <s v="P41540"/>
    <s v="Furniture"/>
    <s v="Chair"/>
    <s v="Product_5493"/>
    <n v="22.27"/>
    <n v="53"/>
    <s v="S987"/>
    <s v="Epsilon LLC"/>
    <s v="W46"/>
    <x v="0"/>
    <s v="Maersk"/>
    <s v="New York-Berlin"/>
    <n v="2717"/>
    <n v="391"/>
    <n v="9"/>
    <n v="1498.26"/>
    <n v="165.05"/>
    <n v="1663.31"/>
    <x v="1"/>
    <n v="0"/>
    <n v="74.760000000000005"/>
    <n v="89"/>
    <n v="54"/>
  </r>
  <r>
    <x v="220"/>
    <s v="C5077"/>
    <d v="2020-12-04T00:00:00"/>
    <d v="2021-05-10T00:00:00"/>
    <x v="1"/>
    <s v="South America"/>
    <s v="USA"/>
    <s v="São Paulo"/>
    <s v="P30273"/>
    <s v="Furniture"/>
    <s v="Snacks"/>
    <s v="Product_2042"/>
    <n v="383.48"/>
    <n v="3"/>
    <s v="S270"/>
    <s v="Alpha Corp"/>
    <s v="W1"/>
    <x v="3"/>
    <s v="UPS"/>
    <s v="Beijing-New York"/>
    <n v="3572"/>
    <n v="294"/>
    <n v="5"/>
    <n v="649.48"/>
    <n v="91.1"/>
    <n v="740.58"/>
    <x v="1"/>
    <n v="0"/>
    <n v="96.58"/>
    <n v="181"/>
    <n v="224"/>
  </r>
  <r>
    <x v="221"/>
    <s v="C1613"/>
    <d v="2022-06-05T00:00:00"/>
    <d v="2022-08-14T00:00:00"/>
    <x v="1"/>
    <s v="Africa"/>
    <s v="South Africa"/>
    <s v="Beijing"/>
    <s v="P47306"/>
    <s v="Apparel"/>
    <s v="Chair"/>
    <s v="Product_7274"/>
    <n v="335.86"/>
    <n v="98"/>
    <s v="S415"/>
    <s v="Gamma Inc"/>
    <s v="W10"/>
    <x v="0"/>
    <s v="DHL"/>
    <s v="Toronto-Cape Town"/>
    <n v="3157"/>
    <n v="397"/>
    <n v="9"/>
    <n v="1743.8"/>
    <n v="388.5"/>
    <n v="2132.3000000000002"/>
    <x v="1"/>
    <n v="0"/>
    <n v="95.56"/>
    <n v="83"/>
    <n v="68"/>
  </r>
  <r>
    <x v="222"/>
    <s v="C7663"/>
    <d v="2021-11-10T00:00:00"/>
    <d v="2022-07-07T00:00:00"/>
    <x v="1"/>
    <s v="North America"/>
    <s v="China"/>
    <s v="London"/>
    <s v="P79320"/>
    <s v="Electronics"/>
    <s v="Medicines"/>
    <s v="Product_8604"/>
    <n v="203.49"/>
    <n v="95"/>
    <s v="S872"/>
    <s v="Epsilon LLC"/>
    <s v="W2"/>
    <x v="3"/>
    <s v="BlueDart"/>
    <s v="Toronto-New York"/>
    <n v="1208"/>
    <n v="318"/>
    <n v="5"/>
    <n v="1145.6500000000001"/>
    <n v="18.62"/>
    <n v="1164.27"/>
    <x v="1"/>
    <n v="0"/>
    <n v="98.62"/>
    <n v="366"/>
    <n v="360"/>
  </r>
  <r>
    <x v="223"/>
    <s v="C1569"/>
    <d v="2022-09-21T00:00:00"/>
    <d v="2023-06-09T00:00:00"/>
    <x v="1"/>
    <s v="Europe"/>
    <s v="Brazil"/>
    <s v="Berlin"/>
    <s v="P13723"/>
    <s v="Electronics"/>
    <s v="Chair"/>
    <s v="Product_3036"/>
    <n v="352.9"/>
    <n v="99"/>
    <s v="S656"/>
    <s v="Gamma Inc"/>
    <s v="W8"/>
    <x v="0"/>
    <s v="DHL"/>
    <s v="New York-Berlin"/>
    <n v="2642"/>
    <n v="325"/>
    <n v="10"/>
    <n v="137.06"/>
    <n v="283.73"/>
    <n v="420.79"/>
    <x v="1"/>
    <n v="0"/>
    <n v="96.69"/>
    <n v="406"/>
    <n v="404"/>
  </r>
  <r>
    <x v="224"/>
    <s v="C7830"/>
    <d v="2020-11-20T00:00:00"/>
    <d v="2020-10-16T00:00:00"/>
    <x v="0"/>
    <s v="Africa"/>
    <s v="Canada"/>
    <s v="Cape Town"/>
    <s v="P30517"/>
    <s v="Apparel"/>
    <s v="Chair"/>
    <s v="Product_1802"/>
    <n v="353.64"/>
    <n v="2"/>
    <s v="S465"/>
    <s v="Epsilon LLC"/>
    <s v="W18"/>
    <x v="2"/>
    <s v="UPS"/>
    <s v="Mumbai-Berlin"/>
    <n v="4991"/>
    <n v="435"/>
    <n v="15"/>
    <n v="1373.97"/>
    <n v="331.93"/>
    <n v="1705.9"/>
    <x v="1"/>
    <n v="0"/>
    <n v="73.47"/>
    <n v="132"/>
    <n v="166"/>
  </r>
  <r>
    <x v="225"/>
    <s v="C4760"/>
    <d v="2023-07-11T00:00:00"/>
    <d v="2021-12-25T00:00:00"/>
    <x v="2"/>
    <s v="Asia"/>
    <s v="India"/>
    <s v="New York"/>
    <s v="P10358"/>
    <s v="Apparel"/>
    <s v="Medicines"/>
    <s v="Product_1869"/>
    <n v="163.87"/>
    <n v="76"/>
    <s v="S938"/>
    <s v="Alpha Corp"/>
    <s v="W35"/>
    <x v="3"/>
    <s v="UPS"/>
    <s v="Toronto-Toronto"/>
    <n v="654"/>
    <n v="208"/>
    <n v="2"/>
    <n v="129.46"/>
    <n v="342.94"/>
    <n v="472.4"/>
    <x v="1"/>
    <n v="0"/>
    <n v="80.84"/>
    <n v="170"/>
    <n v="204"/>
  </r>
  <r>
    <x v="226"/>
    <s v="C4957"/>
    <d v="2021-02-28T00:00:00"/>
    <d v="2023-09-18T00:00:00"/>
    <x v="2"/>
    <s v="Asia"/>
    <s v="Germany"/>
    <s v="Cape Town"/>
    <s v="P23099"/>
    <s v="Apparel"/>
    <s v="Medicines"/>
    <s v="Product_4396"/>
    <n v="111.35"/>
    <n v="4"/>
    <s v="S828"/>
    <s v="Beta Ltd"/>
    <s v="W11"/>
    <x v="0"/>
    <s v="Maersk"/>
    <s v="São Paulo-Toronto"/>
    <n v="2329"/>
    <n v="473"/>
    <n v="17"/>
    <n v="1400.16"/>
    <n v="479.23"/>
    <n v="1879.39"/>
    <x v="0"/>
    <n v="6"/>
    <n v="95.79"/>
    <n v="406"/>
    <n v="371"/>
  </r>
  <r>
    <x v="227"/>
    <s v="C2376"/>
    <d v="2024-09-10T00:00:00"/>
    <d v="2022-11-25T00:00:00"/>
    <x v="1"/>
    <s v="South America"/>
    <s v="Canada"/>
    <s v="Beijing"/>
    <s v="P88632"/>
    <s v="Electronics"/>
    <s v="Laptop"/>
    <s v="Product_9331"/>
    <n v="123.62"/>
    <n v="52"/>
    <s v="S676"/>
    <s v="Delta Traders"/>
    <s v="W18"/>
    <x v="3"/>
    <s v="DHL"/>
    <s v="New York-London"/>
    <n v="1657"/>
    <n v="298"/>
    <n v="23"/>
    <n v="1779.68"/>
    <n v="123.49"/>
    <n v="1903.17"/>
    <x v="1"/>
    <n v="0"/>
    <n v="73.400000000000006"/>
    <n v="356"/>
    <n v="320"/>
  </r>
  <r>
    <x v="228"/>
    <s v="C4570"/>
    <d v="2023-02-25T00:00:00"/>
    <d v="2020-04-29T00:00:00"/>
    <x v="1"/>
    <s v="South America"/>
    <s v="China"/>
    <s v="Cape Town"/>
    <s v="P27175"/>
    <s v="Apparel"/>
    <s v="Shirt"/>
    <s v="Product_1208"/>
    <n v="201.26"/>
    <n v="62"/>
    <s v="S639"/>
    <s v="Alpha Corp"/>
    <s v="W26"/>
    <x v="0"/>
    <s v="Maersk"/>
    <s v="Berlin-Mumbai"/>
    <n v="805"/>
    <n v="200"/>
    <n v="17"/>
    <n v="219.25"/>
    <n v="427.91"/>
    <n v="647.16000000000008"/>
    <x v="1"/>
    <n v="0"/>
    <n v="87.11"/>
    <n v="265"/>
    <n v="268"/>
  </r>
  <r>
    <x v="229"/>
    <s v="C8805"/>
    <d v="2023-10-22T00:00:00"/>
    <d v="2021-09-20T00:00:00"/>
    <x v="2"/>
    <s v="South America"/>
    <s v="USA"/>
    <s v="London"/>
    <s v="P77111"/>
    <s v="Apparel"/>
    <s v="Chair"/>
    <s v="Product_6626"/>
    <n v="347.18"/>
    <n v="14"/>
    <s v="S529"/>
    <s v="Alpha Corp"/>
    <s v="W29"/>
    <x v="3"/>
    <s v="DHL"/>
    <s v="São Paulo-Beijing"/>
    <n v="4971"/>
    <n v="434"/>
    <n v="12"/>
    <n v="1856.36"/>
    <n v="254.31"/>
    <n v="2110.67"/>
    <x v="0"/>
    <n v="10"/>
    <n v="70.36"/>
    <n v="159"/>
    <n v="133"/>
  </r>
  <r>
    <x v="230"/>
    <s v="C1287"/>
    <d v="2021-07-04T00:00:00"/>
    <d v="2021-10-27T00:00:00"/>
    <x v="2"/>
    <s v="South America"/>
    <s v="Canada"/>
    <s v="Berlin"/>
    <s v="P73068"/>
    <s v="Furniture"/>
    <s v="Shirt"/>
    <s v="Product_8722"/>
    <n v="130.51"/>
    <n v="39"/>
    <s v="S453"/>
    <s v="Beta Ltd"/>
    <s v="W24"/>
    <x v="2"/>
    <s v="BlueDart"/>
    <s v="Beijing-London"/>
    <n v="4663"/>
    <n v="74"/>
    <n v="1"/>
    <n v="188.65"/>
    <n v="280.64"/>
    <n v="469.29"/>
    <x v="1"/>
    <n v="0"/>
    <n v="95.23"/>
    <n v="202"/>
    <n v="242"/>
  </r>
  <r>
    <x v="231"/>
    <s v="C9542"/>
    <d v="2023-06-07T00:00:00"/>
    <d v="2020-03-18T00:00:00"/>
    <x v="2"/>
    <s v="Africa"/>
    <s v="South Africa"/>
    <s v="New York"/>
    <s v="P17403"/>
    <s v="Electronics"/>
    <s v="Medicines"/>
    <s v="Product_1436"/>
    <n v="120.66"/>
    <n v="4"/>
    <s v="S882"/>
    <s v="Epsilon LLC"/>
    <s v="W30"/>
    <x v="3"/>
    <s v="BlueDart"/>
    <s v="São Paulo-New York"/>
    <n v="644"/>
    <n v="429"/>
    <n v="15"/>
    <n v="575.09"/>
    <n v="313.87"/>
    <n v="888.96"/>
    <x v="1"/>
    <n v="0"/>
    <n v="72.45"/>
    <n v="282"/>
    <n v="274"/>
  </r>
  <r>
    <x v="232"/>
    <s v="C7957"/>
    <d v="2024-10-05T00:00:00"/>
    <d v="2020-12-30T00:00:00"/>
    <x v="2"/>
    <s v="Africa"/>
    <s v="Germany"/>
    <s v="Beijing"/>
    <s v="P41820"/>
    <s v="Apparel"/>
    <s v="Shirt"/>
    <s v="Product_4796"/>
    <n v="282.81"/>
    <n v="39"/>
    <s v="S225"/>
    <s v="Delta Traders"/>
    <s v="W35"/>
    <x v="1"/>
    <s v="Maersk"/>
    <s v="Toronto-Mumbai"/>
    <n v="3419"/>
    <n v="288"/>
    <n v="23"/>
    <n v="262.55"/>
    <n v="401.9"/>
    <n v="664.45"/>
    <x v="1"/>
    <n v="0"/>
    <n v="91.97"/>
    <n v="165"/>
    <n v="151"/>
  </r>
  <r>
    <x v="233"/>
    <s v="C1100"/>
    <d v="2020-06-30T00:00:00"/>
    <d v="2023-10-23T00:00:00"/>
    <x v="2"/>
    <s v="North America"/>
    <s v="UK"/>
    <s v="New York"/>
    <s v="P66255"/>
    <s v="Apparel"/>
    <s v="Chair"/>
    <s v="Product_8201"/>
    <n v="414.51"/>
    <n v="76"/>
    <s v="S145"/>
    <s v="Beta Ltd"/>
    <s v="W1"/>
    <x v="0"/>
    <s v="BlueDart"/>
    <s v="New York-Mumbai"/>
    <n v="3339"/>
    <n v="384"/>
    <n v="29"/>
    <n v="190.4"/>
    <n v="129.66"/>
    <n v="320.06"/>
    <x v="1"/>
    <n v="0"/>
    <n v="73.77"/>
    <n v="285"/>
    <n v="293"/>
  </r>
  <r>
    <x v="234"/>
    <s v="C7719"/>
    <d v="2022-03-30T00:00:00"/>
    <d v="2023-01-15T00:00:00"/>
    <x v="2"/>
    <s v="Africa"/>
    <s v="Brazil"/>
    <s v="Beijing"/>
    <s v="P11624"/>
    <s v="Apparel"/>
    <s v="Laptop"/>
    <s v="Product_9734"/>
    <n v="114.57"/>
    <n v="21"/>
    <s v="S743"/>
    <s v="Beta Ltd"/>
    <s v="W34"/>
    <x v="2"/>
    <s v="FedEx"/>
    <s v="New York-Mumbai"/>
    <n v="3913"/>
    <n v="156"/>
    <n v="1"/>
    <n v="759.77"/>
    <n v="372.21"/>
    <n v="1131.98"/>
    <x v="1"/>
    <n v="0"/>
    <n v="74.08"/>
    <n v="353"/>
    <n v="401"/>
  </r>
  <r>
    <x v="235"/>
    <s v="C1890"/>
    <d v="2021-05-15T00:00:00"/>
    <d v="2023-07-15T00:00:00"/>
    <x v="2"/>
    <s v="Asia"/>
    <s v="Brazil"/>
    <s v="London"/>
    <s v="P77063"/>
    <s v="Pharma"/>
    <s v="Snacks"/>
    <s v="Product_2142"/>
    <n v="27.76"/>
    <n v="74"/>
    <s v="S762"/>
    <s v="Alpha Corp"/>
    <s v="W11"/>
    <x v="3"/>
    <s v="DHL"/>
    <s v="Mumbai-London"/>
    <n v="1286"/>
    <n v="129"/>
    <n v="1"/>
    <n v="1964.59"/>
    <n v="155.62"/>
    <n v="2120.21"/>
    <x v="1"/>
    <n v="0"/>
    <n v="72.319999999999993"/>
    <n v="405"/>
    <n v="422"/>
  </r>
  <r>
    <x v="236"/>
    <s v="C3179"/>
    <d v="2020-12-15T00:00:00"/>
    <d v="2021-07-31T00:00:00"/>
    <x v="2"/>
    <s v="North America"/>
    <s v="Brazil"/>
    <s v="Berlin"/>
    <s v="P44479"/>
    <s v="Food"/>
    <s v="Laptop"/>
    <s v="Product_6723"/>
    <n v="416.74"/>
    <n v="42"/>
    <s v="S416"/>
    <s v="Gamma Inc"/>
    <s v="W28"/>
    <x v="2"/>
    <s v="BlueDart"/>
    <s v="Mumbai-New York"/>
    <n v="2850"/>
    <n v="477"/>
    <n v="26"/>
    <n v="315.58999999999997"/>
    <n v="142.06"/>
    <n v="457.65"/>
    <x v="1"/>
    <n v="0"/>
    <n v="91.62"/>
    <n v="288"/>
    <n v="335"/>
  </r>
  <r>
    <x v="237"/>
    <s v="C5234"/>
    <d v="2024-02-29T00:00:00"/>
    <d v="2022-03-26T00:00:00"/>
    <x v="2"/>
    <s v="Asia"/>
    <s v="South Africa"/>
    <s v="New York"/>
    <s v="P74254"/>
    <s v="Food"/>
    <s v="Shirt"/>
    <s v="Product_7079"/>
    <n v="116.12"/>
    <n v="44"/>
    <s v="S835"/>
    <s v="Gamma Inc"/>
    <s v="W34"/>
    <x v="1"/>
    <s v="BlueDart"/>
    <s v="Toronto-Mumbai"/>
    <n v="4542"/>
    <n v="182"/>
    <n v="11"/>
    <n v="1786.29"/>
    <n v="36.9"/>
    <n v="1823.19"/>
    <x v="1"/>
    <n v="0"/>
    <n v="76.94"/>
    <n v="444"/>
    <n v="466"/>
  </r>
  <r>
    <x v="238"/>
    <s v="C6964"/>
    <d v="2021-07-03T00:00:00"/>
    <d v="2024-01-02T00:00:00"/>
    <x v="2"/>
    <s v="Europe"/>
    <s v="Brazil"/>
    <s v="Berlin"/>
    <s v="P51031"/>
    <s v="Food"/>
    <s v="Shirt"/>
    <s v="Product_6581"/>
    <n v="321.14999999999998"/>
    <n v="68"/>
    <s v="S405"/>
    <s v="Alpha Corp"/>
    <s v="W44"/>
    <x v="1"/>
    <s v="UPS"/>
    <s v="Cape Town-Toronto"/>
    <n v="89"/>
    <n v="431"/>
    <n v="10"/>
    <n v="1980.82"/>
    <n v="94.51"/>
    <n v="2075.33"/>
    <x v="0"/>
    <n v="4"/>
    <n v="82.91"/>
    <n v="356"/>
    <n v="348"/>
  </r>
  <r>
    <x v="239"/>
    <s v="C1787"/>
    <d v="2022-09-21T00:00:00"/>
    <d v="2022-02-22T00:00:00"/>
    <x v="1"/>
    <s v="Europe"/>
    <s v="Canada"/>
    <s v="London"/>
    <s v="P13563"/>
    <s v="Pharma"/>
    <s v="Medicines"/>
    <s v="Product_9145"/>
    <n v="284.12"/>
    <n v="5"/>
    <s v="S568"/>
    <s v="Alpha Corp"/>
    <s v="W29"/>
    <x v="1"/>
    <s v="UPS"/>
    <s v="São Paulo-Mumbai"/>
    <n v="3062"/>
    <n v="358"/>
    <n v="7"/>
    <n v="679.17"/>
    <n v="181.66"/>
    <n v="860.82999999999993"/>
    <x v="1"/>
    <n v="0"/>
    <n v="91.46"/>
    <n v="122"/>
    <n v="131"/>
  </r>
  <r>
    <x v="240"/>
    <s v="C9534"/>
    <d v="2021-08-26T00:00:00"/>
    <d v="2024-07-19T00:00:00"/>
    <x v="2"/>
    <s v="Asia"/>
    <s v="Brazil"/>
    <s v="Mumbai"/>
    <s v="P40903"/>
    <s v="Food"/>
    <s v="Shirt"/>
    <s v="Product_7090"/>
    <n v="460.62"/>
    <n v="46"/>
    <s v="S292"/>
    <s v="Delta Traders"/>
    <s v="W42"/>
    <x v="0"/>
    <s v="FedEx"/>
    <s v="Cape Town-Mumbai"/>
    <n v="3336"/>
    <n v="83"/>
    <n v="14"/>
    <n v="1144.1300000000001"/>
    <n v="365.61"/>
    <n v="1509.74"/>
    <x v="0"/>
    <n v="5"/>
    <n v="79.510000000000005"/>
    <n v="254"/>
    <n v="206"/>
  </r>
  <r>
    <x v="241"/>
    <s v="C1434"/>
    <d v="2023-04-18T00:00:00"/>
    <d v="2024-07-15T00:00:00"/>
    <x v="2"/>
    <s v="Africa"/>
    <s v="Canada"/>
    <s v="Cape Town"/>
    <s v="P56381"/>
    <s v="Apparel"/>
    <s v="Shirt"/>
    <s v="Product_6654"/>
    <n v="200.03"/>
    <n v="51"/>
    <s v="S779"/>
    <s v="Beta Ltd"/>
    <s v="W34"/>
    <x v="0"/>
    <s v="DHL"/>
    <s v="New York-Cape Town"/>
    <n v="801"/>
    <n v="311"/>
    <n v="19"/>
    <n v="376.26"/>
    <n v="121.34"/>
    <n v="497.6"/>
    <x v="1"/>
    <n v="0"/>
    <n v="94.49"/>
    <n v="236"/>
    <n v="223"/>
  </r>
  <r>
    <x v="242"/>
    <s v="C9292"/>
    <d v="2021-09-11T00:00:00"/>
    <d v="2020-08-30T00:00:00"/>
    <x v="1"/>
    <s v="Asia"/>
    <s v="UK"/>
    <s v="London"/>
    <s v="P61387"/>
    <s v="Electronics"/>
    <s v="Snacks"/>
    <s v="Product_1114"/>
    <n v="297.33999999999997"/>
    <n v="82"/>
    <s v="S405"/>
    <s v="Gamma Inc"/>
    <s v="W30"/>
    <x v="3"/>
    <s v="Maersk"/>
    <s v="London-Toronto"/>
    <n v="4049"/>
    <n v="416"/>
    <n v="14"/>
    <n v="1341.3"/>
    <n v="392.99"/>
    <n v="1734.29"/>
    <x v="1"/>
    <n v="0"/>
    <n v="98.44"/>
    <n v="320"/>
    <n v="331"/>
  </r>
  <r>
    <x v="243"/>
    <s v="C6852"/>
    <d v="2021-02-04T00:00:00"/>
    <d v="2023-01-04T00:00:00"/>
    <x v="2"/>
    <s v="Asia"/>
    <s v="Brazil"/>
    <s v="New York"/>
    <s v="P77569"/>
    <s v="Electronics"/>
    <s v="Chair"/>
    <s v="Product_5306"/>
    <n v="295.55"/>
    <n v="62"/>
    <s v="S380"/>
    <s v="Epsilon LLC"/>
    <s v="W48"/>
    <x v="1"/>
    <s v="BlueDart"/>
    <s v="Beijing-Mumbai"/>
    <n v="2055"/>
    <n v="295"/>
    <n v="6"/>
    <n v="570.65"/>
    <n v="164.25"/>
    <n v="734.9"/>
    <x v="1"/>
    <n v="0"/>
    <n v="70.98"/>
    <n v="319"/>
    <n v="337"/>
  </r>
  <r>
    <x v="244"/>
    <s v="C8344"/>
    <d v="2021-10-20T00:00:00"/>
    <d v="2024-11-21T00:00:00"/>
    <x v="2"/>
    <s v="Asia"/>
    <s v="Canada"/>
    <s v="London"/>
    <s v="P44918"/>
    <s v="Electronics"/>
    <s v="Laptop"/>
    <s v="Product_3310"/>
    <n v="465.29"/>
    <n v="50"/>
    <s v="S263"/>
    <s v="Delta Traders"/>
    <s v="W13"/>
    <x v="3"/>
    <s v="UPS"/>
    <s v="Beijing-Mumbai"/>
    <n v="1228"/>
    <n v="102"/>
    <n v="8"/>
    <n v="1994.59"/>
    <n v="396.13"/>
    <n v="2390.7199999999998"/>
    <x v="1"/>
    <n v="0"/>
    <n v="88.73"/>
    <n v="235"/>
    <n v="197"/>
  </r>
  <r>
    <x v="245"/>
    <s v="C2764"/>
    <d v="2022-09-10T00:00:00"/>
    <d v="2022-06-12T00:00:00"/>
    <x v="2"/>
    <s v="Asia"/>
    <s v="South Africa"/>
    <s v="São Paulo"/>
    <s v="P61339"/>
    <s v="Apparel"/>
    <s v="Laptop"/>
    <s v="Product_1308"/>
    <n v="104.75"/>
    <n v="53"/>
    <s v="S869"/>
    <s v="Beta Ltd"/>
    <s v="W32"/>
    <x v="3"/>
    <s v="BlueDart"/>
    <s v="Toronto-Cape Town"/>
    <n v="1960"/>
    <n v="397"/>
    <n v="22"/>
    <n v="1777.03"/>
    <n v="412.45"/>
    <n v="2189.48"/>
    <x v="0"/>
    <n v="9"/>
    <n v="79.25"/>
    <n v="183"/>
    <n v="183"/>
  </r>
  <r>
    <x v="246"/>
    <s v="C1123"/>
    <d v="2023-01-17T00:00:00"/>
    <d v="2022-01-03T00:00:00"/>
    <x v="1"/>
    <s v="South America"/>
    <s v="Canada"/>
    <s v="Toronto"/>
    <s v="P24414"/>
    <s v="Electronics"/>
    <s v="Shirt"/>
    <s v="Product_2202"/>
    <n v="94.74"/>
    <n v="46"/>
    <s v="S429"/>
    <s v="Gamma Inc"/>
    <s v="W9"/>
    <x v="1"/>
    <s v="DHL"/>
    <s v="New York-New York"/>
    <n v="3561"/>
    <n v="317"/>
    <n v="1"/>
    <n v="1491.03"/>
    <n v="31.07"/>
    <n v="1522.1"/>
    <x v="1"/>
    <n v="0"/>
    <n v="82.36"/>
    <n v="425"/>
    <n v="449"/>
  </r>
  <r>
    <x v="247"/>
    <s v="C5276"/>
    <d v="2022-03-31T00:00:00"/>
    <d v="2024-08-18T00:00:00"/>
    <x v="1"/>
    <s v="Europe"/>
    <s v="Germany"/>
    <s v="Berlin"/>
    <s v="P62528"/>
    <s v="Furniture"/>
    <s v="Laptop"/>
    <s v="Product_1319"/>
    <n v="495.49"/>
    <n v="23"/>
    <s v="S137"/>
    <s v="Delta Traders"/>
    <s v="W37"/>
    <x v="3"/>
    <s v="DHL"/>
    <s v="Toronto-New York"/>
    <n v="1568"/>
    <n v="419"/>
    <n v="14"/>
    <n v="921.91"/>
    <n v="411.8"/>
    <n v="1333.71"/>
    <x v="1"/>
    <n v="0"/>
    <n v="88.24"/>
    <n v="51"/>
    <n v="51"/>
  </r>
  <r>
    <x v="248"/>
    <s v="C1144"/>
    <d v="2021-07-07T00:00:00"/>
    <d v="2023-01-29T00:00:00"/>
    <x v="2"/>
    <s v="Africa"/>
    <s v="South Africa"/>
    <s v="Berlin"/>
    <s v="P68610"/>
    <s v="Pharma"/>
    <s v="Chair"/>
    <s v="Product_6575"/>
    <n v="268.99"/>
    <n v="44"/>
    <s v="S881"/>
    <s v="Delta Traders"/>
    <s v="W15"/>
    <x v="0"/>
    <s v="FedEx"/>
    <s v="Toronto-London"/>
    <n v="3336"/>
    <n v="417"/>
    <n v="8"/>
    <n v="1059.83"/>
    <n v="152.71"/>
    <n v="1212.54"/>
    <x v="1"/>
    <n v="0"/>
    <n v="70.12"/>
    <n v="298"/>
    <n v="252"/>
  </r>
  <r>
    <x v="249"/>
    <s v="C1009"/>
    <d v="2024-09-17T00:00:00"/>
    <d v="2020-01-05T00:00:00"/>
    <x v="2"/>
    <s v="North America"/>
    <s v="India"/>
    <s v="Berlin"/>
    <s v="P79861"/>
    <s v="Food"/>
    <s v="Snacks"/>
    <s v="Product_6450"/>
    <n v="407.75"/>
    <n v="73"/>
    <s v="S791"/>
    <s v="Gamma Inc"/>
    <s v="W28"/>
    <x v="0"/>
    <s v="Maersk"/>
    <s v="São Paulo-Beijing"/>
    <n v="1101"/>
    <n v="92"/>
    <n v="16"/>
    <n v="1771.67"/>
    <n v="192.02"/>
    <n v="1963.69"/>
    <x v="1"/>
    <n v="0"/>
    <n v="75.27"/>
    <n v="111"/>
    <n v="96"/>
  </r>
  <r>
    <x v="250"/>
    <s v="C4867"/>
    <d v="2024-01-01T00:00:00"/>
    <d v="2021-01-14T00:00:00"/>
    <x v="2"/>
    <s v="Europe"/>
    <s v="UK"/>
    <s v="Beijing"/>
    <s v="P86905"/>
    <s v="Electronics"/>
    <s v="Laptop"/>
    <s v="Product_4219"/>
    <n v="430.88"/>
    <n v="28"/>
    <s v="S801"/>
    <s v="Gamma Inc"/>
    <s v="W34"/>
    <x v="2"/>
    <s v="DHL"/>
    <s v="Mumbai-São Paulo"/>
    <n v="3697"/>
    <n v="340"/>
    <n v="13"/>
    <n v="162.07"/>
    <n v="160.97"/>
    <n v="323.04000000000002"/>
    <x v="1"/>
    <n v="0"/>
    <n v="91.06"/>
    <n v="75"/>
    <n v="62"/>
  </r>
  <r>
    <x v="251"/>
    <s v="C2605"/>
    <d v="2023-08-22T00:00:00"/>
    <d v="2020-10-05T00:00:00"/>
    <x v="2"/>
    <s v="Africa"/>
    <s v="Canada"/>
    <s v="Beijing"/>
    <s v="P95795"/>
    <s v="Furniture"/>
    <s v="Snacks"/>
    <s v="Product_1808"/>
    <n v="455.03"/>
    <n v="69"/>
    <s v="S536"/>
    <s v="Beta Ltd"/>
    <s v="W17"/>
    <x v="3"/>
    <s v="BlueDart"/>
    <s v="Mumbai-Cape Town"/>
    <n v="4746"/>
    <n v="235"/>
    <n v="22"/>
    <n v="1187.27"/>
    <n v="480.04"/>
    <n v="1667.31"/>
    <x v="1"/>
    <n v="0"/>
    <n v="91.48"/>
    <n v="268"/>
    <n v="309"/>
  </r>
  <r>
    <x v="252"/>
    <s v="C8502"/>
    <d v="2021-10-11T00:00:00"/>
    <d v="2024-03-11T00:00:00"/>
    <x v="1"/>
    <s v="South America"/>
    <s v="India"/>
    <s v="Toronto"/>
    <s v="P19225"/>
    <s v="Furniture"/>
    <s v="Laptop"/>
    <s v="Product_4915"/>
    <n v="48.27"/>
    <n v="39"/>
    <s v="S231"/>
    <s v="Epsilon LLC"/>
    <s v="W1"/>
    <x v="3"/>
    <s v="DHL"/>
    <s v="Cape Town-Cape Town"/>
    <n v="1038"/>
    <n v="315"/>
    <n v="5"/>
    <n v="218.62"/>
    <n v="153.69999999999999"/>
    <n v="372.32"/>
    <x v="1"/>
    <n v="0"/>
    <n v="91.69"/>
    <n v="125"/>
    <n v="134"/>
  </r>
  <r>
    <x v="253"/>
    <s v="C6693"/>
    <d v="2021-01-09T00:00:00"/>
    <d v="2021-02-02T00:00:00"/>
    <x v="2"/>
    <s v="North America"/>
    <s v="China"/>
    <s v="London"/>
    <s v="P49293"/>
    <s v="Apparel"/>
    <s v="Laptop"/>
    <s v="Product_4862"/>
    <n v="202.73"/>
    <n v="6"/>
    <s v="S712"/>
    <s v="Gamma Inc"/>
    <s v="W17"/>
    <x v="1"/>
    <s v="UPS"/>
    <s v="Beijing-São Paulo"/>
    <n v="3019"/>
    <n v="281"/>
    <n v="2"/>
    <n v="637.6"/>
    <n v="265.18"/>
    <n v="902.78"/>
    <x v="1"/>
    <n v="0"/>
    <n v="83.54"/>
    <n v="380"/>
    <n v="367"/>
  </r>
  <r>
    <x v="254"/>
    <s v="C5621"/>
    <d v="2020-10-03T00:00:00"/>
    <d v="2022-07-13T00:00:00"/>
    <x v="2"/>
    <s v="Europe"/>
    <s v="UK"/>
    <s v="Beijing"/>
    <s v="P36258"/>
    <s v="Furniture"/>
    <s v="Chair"/>
    <s v="Product_6716"/>
    <n v="23.69"/>
    <n v="60"/>
    <s v="S788"/>
    <s v="Beta Ltd"/>
    <s v="W15"/>
    <x v="0"/>
    <s v="FedEx"/>
    <s v="Berlin-Cape Town"/>
    <n v="1448"/>
    <n v="258"/>
    <n v="1"/>
    <n v="297.19"/>
    <n v="125.95"/>
    <n v="423.14"/>
    <x v="1"/>
    <n v="0"/>
    <n v="84.78"/>
    <n v="304"/>
    <n v="327"/>
  </r>
  <r>
    <x v="255"/>
    <s v="C4146"/>
    <d v="2021-01-08T00:00:00"/>
    <d v="2021-10-21T00:00:00"/>
    <x v="1"/>
    <s v="Europe"/>
    <s v="Germany"/>
    <s v="Toronto"/>
    <s v="P28696"/>
    <s v="Pharma"/>
    <s v="Medicines"/>
    <s v="Product_9354"/>
    <n v="259.73"/>
    <n v="40"/>
    <s v="S415"/>
    <s v="Alpha Corp"/>
    <s v="W15"/>
    <x v="0"/>
    <s v="BlueDart"/>
    <s v="Mumbai-Cape Town"/>
    <n v="1049"/>
    <n v="286"/>
    <n v="20"/>
    <n v="982.09"/>
    <n v="66.64"/>
    <n v="1048.73"/>
    <x v="1"/>
    <n v="0"/>
    <n v="97.81"/>
    <n v="144"/>
    <n v="108"/>
  </r>
  <r>
    <x v="256"/>
    <s v="C1971"/>
    <d v="2022-08-07T00:00:00"/>
    <d v="2020-10-28T00:00:00"/>
    <x v="2"/>
    <s v="Europe"/>
    <s v="Brazil"/>
    <s v="Toronto"/>
    <s v="P80637"/>
    <s v="Food"/>
    <s v="Chair"/>
    <s v="Product_4784"/>
    <n v="337.65"/>
    <n v="64"/>
    <s v="S294"/>
    <s v="Gamma Inc"/>
    <s v="W28"/>
    <x v="2"/>
    <s v="Maersk"/>
    <s v="Berlin-Cape Town"/>
    <n v="841"/>
    <n v="220"/>
    <n v="28"/>
    <n v="65.760000000000005"/>
    <n v="480.13"/>
    <n v="545.89"/>
    <x v="1"/>
    <n v="0"/>
    <n v="80.45"/>
    <n v="329"/>
    <n v="296"/>
  </r>
  <r>
    <x v="257"/>
    <s v="C5220"/>
    <d v="2024-08-20T00:00:00"/>
    <d v="2020-10-19T00:00:00"/>
    <x v="1"/>
    <s v="Asia"/>
    <s v="China"/>
    <s v="Cape Town"/>
    <s v="P97217"/>
    <s v="Furniture"/>
    <s v="Laptop"/>
    <s v="Product_9415"/>
    <n v="264.26"/>
    <n v="88"/>
    <s v="S865"/>
    <s v="Delta Traders"/>
    <s v="W14"/>
    <x v="3"/>
    <s v="BlueDart"/>
    <s v="Cape Town-Mumbai"/>
    <n v="2160"/>
    <n v="103"/>
    <n v="24"/>
    <n v="1149.8499999999999"/>
    <n v="275.27"/>
    <n v="1425.12"/>
    <x v="1"/>
    <n v="0"/>
    <n v="78.09"/>
    <n v="62"/>
    <n v="58"/>
  </r>
  <r>
    <x v="258"/>
    <s v="C9932"/>
    <d v="2021-06-03T00:00:00"/>
    <d v="2023-05-16T00:00:00"/>
    <x v="1"/>
    <s v="Europe"/>
    <s v="Canada"/>
    <s v="London"/>
    <s v="P93547"/>
    <s v="Pharma"/>
    <s v="Laptop"/>
    <s v="Product_3825"/>
    <n v="361.53"/>
    <n v="82"/>
    <s v="S480"/>
    <s v="Beta Ltd"/>
    <s v="W23"/>
    <x v="0"/>
    <s v="DHL"/>
    <s v="São Paulo-Toronto"/>
    <n v="2596"/>
    <n v="88"/>
    <n v="25"/>
    <n v="548.91999999999996"/>
    <n v="402.65"/>
    <n v="951.56999999999994"/>
    <x v="1"/>
    <n v="0"/>
    <n v="86.47"/>
    <n v="499"/>
    <n v="494"/>
  </r>
  <r>
    <x v="259"/>
    <s v="C5452"/>
    <d v="2020-10-14T00:00:00"/>
    <d v="2020-10-04T00:00:00"/>
    <x v="1"/>
    <s v="Asia"/>
    <s v="South Africa"/>
    <s v="Berlin"/>
    <s v="P46081"/>
    <s v="Electronics"/>
    <s v="Chair"/>
    <s v="Product_8548"/>
    <n v="267.22000000000003"/>
    <n v="63"/>
    <s v="S261"/>
    <s v="Alpha Corp"/>
    <s v="W11"/>
    <x v="1"/>
    <s v="Maersk"/>
    <s v="Toronto-Berlin"/>
    <n v="4474"/>
    <n v="475"/>
    <n v="16"/>
    <n v="578.17999999999995"/>
    <n v="60.19"/>
    <n v="638.36999999999989"/>
    <x v="1"/>
    <n v="0"/>
    <n v="71.73"/>
    <n v="52"/>
    <n v="29"/>
  </r>
  <r>
    <x v="260"/>
    <s v="C4404"/>
    <d v="2022-05-16T00:00:00"/>
    <d v="2022-05-07T00:00:00"/>
    <x v="1"/>
    <s v="Europe"/>
    <s v="USA"/>
    <s v="Mumbai"/>
    <s v="P85839"/>
    <s v="Food"/>
    <s v="Medicines"/>
    <s v="Product_7674"/>
    <n v="303.39"/>
    <n v="12"/>
    <s v="S482"/>
    <s v="Delta Traders"/>
    <s v="W23"/>
    <x v="2"/>
    <s v="BlueDart"/>
    <s v="Toronto-New York"/>
    <n v="3876"/>
    <n v="231"/>
    <n v="21"/>
    <n v="1484.93"/>
    <n v="492.6"/>
    <n v="1977.53"/>
    <x v="1"/>
    <n v="0"/>
    <n v="80.650000000000006"/>
    <n v="265"/>
    <n v="298"/>
  </r>
  <r>
    <x v="261"/>
    <s v="C6086"/>
    <d v="2023-04-29T00:00:00"/>
    <d v="2022-08-26T00:00:00"/>
    <x v="2"/>
    <s v="South America"/>
    <s v="UK"/>
    <s v="London"/>
    <s v="P80926"/>
    <s v="Pharma"/>
    <s v="Medicines"/>
    <s v="Product_2927"/>
    <n v="469.48"/>
    <n v="9"/>
    <s v="S516"/>
    <s v="Beta Ltd"/>
    <s v="W12"/>
    <x v="0"/>
    <s v="Maersk"/>
    <s v="New York-New York"/>
    <n v="2965"/>
    <n v="96"/>
    <n v="29"/>
    <n v="622.08000000000004"/>
    <n v="402.57"/>
    <n v="1024.6500000000001"/>
    <x v="1"/>
    <n v="0"/>
    <n v="85.37"/>
    <n v="64"/>
    <n v="105"/>
  </r>
  <r>
    <x v="262"/>
    <s v="C3687"/>
    <d v="2020-08-22T00:00:00"/>
    <d v="2021-11-28T00:00:00"/>
    <x v="2"/>
    <s v="Europe"/>
    <s v="China"/>
    <s v="New York"/>
    <s v="P60751"/>
    <s v="Furniture"/>
    <s v="Snacks"/>
    <s v="Product_2581"/>
    <n v="191.71"/>
    <n v="86"/>
    <s v="S593"/>
    <s v="Beta Ltd"/>
    <s v="W38"/>
    <x v="0"/>
    <s v="DHL"/>
    <s v="Berlin-Beijing"/>
    <n v="3139"/>
    <n v="351"/>
    <n v="29"/>
    <n v="540.75"/>
    <n v="340.48"/>
    <n v="881.23"/>
    <x v="1"/>
    <n v="0"/>
    <n v="95.85"/>
    <n v="204"/>
    <n v="170"/>
  </r>
  <r>
    <x v="263"/>
    <s v="C3718"/>
    <d v="2023-03-22T00:00:00"/>
    <d v="2021-03-31T00:00:00"/>
    <x v="1"/>
    <s v="North America"/>
    <s v="Brazil"/>
    <s v="London"/>
    <s v="P98418"/>
    <s v="Furniture"/>
    <s v="Medicines"/>
    <s v="Product_6918"/>
    <n v="445.35"/>
    <n v="66"/>
    <s v="S324"/>
    <s v="Epsilon LLC"/>
    <s v="W49"/>
    <x v="3"/>
    <s v="FedEx"/>
    <s v="Cape Town-São Paulo"/>
    <n v="2976"/>
    <n v="307"/>
    <n v="17"/>
    <n v="1728.3"/>
    <n v="384.37"/>
    <n v="2112.67"/>
    <x v="0"/>
    <n v="1"/>
    <n v="99.21"/>
    <n v="397"/>
    <n v="357"/>
  </r>
  <r>
    <x v="264"/>
    <s v="C5050"/>
    <d v="2021-08-20T00:00:00"/>
    <d v="2023-11-10T00:00:00"/>
    <x v="2"/>
    <s v="Europe"/>
    <s v="Germany"/>
    <s v="Mumbai"/>
    <s v="P30389"/>
    <s v="Food"/>
    <s v="Shirt"/>
    <s v="Product_3798"/>
    <n v="416.73"/>
    <n v="55"/>
    <s v="S728"/>
    <s v="Delta Traders"/>
    <s v="W22"/>
    <x v="1"/>
    <s v="FedEx"/>
    <s v="New York-São Paulo"/>
    <n v="3139"/>
    <n v="426"/>
    <n v="26"/>
    <n v="462.45"/>
    <n v="57.85"/>
    <n v="520.29999999999995"/>
    <x v="0"/>
    <n v="14"/>
    <n v="84.13"/>
    <n v="141"/>
    <n v="99"/>
  </r>
  <r>
    <x v="265"/>
    <s v="C8685"/>
    <d v="2023-10-24T00:00:00"/>
    <d v="2022-08-18T00:00:00"/>
    <x v="2"/>
    <s v="Africa"/>
    <s v="USA"/>
    <s v="Toronto"/>
    <s v="P32206"/>
    <s v="Apparel"/>
    <s v="Chair"/>
    <s v="Product_9378"/>
    <n v="173.54"/>
    <n v="81"/>
    <s v="S386"/>
    <s v="Beta Ltd"/>
    <s v="W12"/>
    <x v="0"/>
    <s v="DHL"/>
    <s v="Cape Town-London"/>
    <n v="2072"/>
    <n v="330"/>
    <n v="20"/>
    <n v="1515.71"/>
    <n v="50.61"/>
    <n v="1566.32"/>
    <x v="1"/>
    <n v="0"/>
    <n v="76.040000000000006"/>
    <n v="375"/>
    <n v="346"/>
  </r>
  <r>
    <x v="266"/>
    <s v="C6912"/>
    <d v="2023-03-20T00:00:00"/>
    <d v="2020-06-09T00:00:00"/>
    <x v="2"/>
    <s v="Africa"/>
    <s v="USA"/>
    <s v="São Paulo"/>
    <s v="P63196"/>
    <s v="Electronics"/>
    <s v="Laptop"/>
    <s v="Product_3459"/>
    <n v="432.25"/>
    <n v="47"/>
    <s v="S858"/>
    <s v="Beta Ltd"/>
    <s v="W1"/>
    <x v="2"/>
    <s v="FedEx"/>
    <s v="London-Cape Town"/>
    <n v="1849"/>
    <n v="493"/>
    <n v="7"/>
    <n v="1361.42"/>
    <n v="222.7"/>
    <n v="1584.12"/>
    <x v="1"/>
    <n v="0"/>
    <n v="81.34"/>
    <n v="454"/>
    <n v="445"/>
  </r>
  <r>
    <x v="267"/>
    <s v="C7168"/>
    <d v="2023-10-14T00:00:00"/>
    <d v="2020-03-07T00:00:00"/>
    <x v="2"/>
    <s v="Africa"/>
    <s v="Germany"/>
    <s v="London"/>
    <s v="P97775"/>
    <s v="Apparel"/>
    <s v="Snacks"/>
    <s v="Product_5085"/>
    <n v="475.08"/>
    <n v="63"/>
    <s v="S716"/>
    <s v="Delta Traders"/>
    <s v="W44"/>
    <x v="3"/>
    <s v="BlueDart"/>
    <s v="Berlin-Cape Town"/>
    <n v="4734"/>
    <n v="342"/>
    <n v="7"/>
    <n v="1054.43"/>
    <n v="72.52"/>
    <n v="1126.95"/>
    <x v="1"/>
    <n v="0"/>
    <n v="78.94"/>
    <n v="132"/>
    <n v="98"/>
  </r>
  <r>
    <x v="268"/>
    <s v="C7880"/>
    <d v="2021-04-18T00:00:00"/>
    <d v="2024-07-07T00:00:00"/>
    <x v="2"/>
    <s v="Asia"/>
    <s v="Brazil"/>
    <s v="Berlin"/>
    <s v="P67266"/>
    <s v="Food"/>
    <s v="Medicines"/>
    <s v="Product_7848"/>
    <n v="30.12"/>
    <n v="32"/>
    <s v="S811"/>
    <s v="Beta Ltd"/>
    <s v="W25"/>
    <x v="1"/>
    <s v="UPS"/>
    <s v="Mumbai-Beijing"/>
    <n v="1408"/>
    <n v="115"/>
    <n v="18"/>
    <n v="1216.07"/>
    <n v="463.02"/>
    <n v="1679.09"/>
    <x v="1"/>
    <n v="0"/>
    <n v="93.76"/>
    <n v="489"/>
    <n v="452"/>
  </r>
  <r>
    <x v="269"/>
    <s v="C4612"/>
    <d v="2024-05-18T00:00:00"/>
    <d v="2021-03-04T00:00:00"/>
    <x v="2"/>
    <s v="North America"/>
    <s v="South Africa"/>
    <s v="Beijing"/>
    <s v="P62403"/>
    <s v="Pharma"/>
    <s v="Medicines"/>
    <s v="Product_8084"/>
    <n v="493.07"/>
    <n v="81"/>
    <s v="S844"/>
    <s v="Alpha Corp"/>
    <s v="W27"/>
    <x v="2"/>
    <s v="FedEx"/>
    <s v="Beijing-New York"/>
    <n v="4156"/>
    <n v="420"/>
    <n v="4"/>
    <n v="1147.3499999999999"/>
    <n v="423.92"/>
    <n v="1571.27"/>
    <x v="1"/>
    <n v="0"/>
    <n v="74.25"/>
    <n v="93"/>
    <n v="43"/>
  </r>
  <r>
    <x v="270"/>
    <s v="C6418"/>
    <d v="2020-08-18T00:00:00"/>
    <d v="2020-01-19T00:00:00"/>
    <x v="0"/>
    <s v="South America"/>
    <s v="USA"/>
    <s v="Berlin"/>
    <s v="P94623"/>
    <s v="Electronics"/>
    <s v="Laptop"/>
    <s v="Product_1635"/>
    <n v="435.59"/>
    <n v="52"/>
    <s v="S717"/>
    <s v="Epsilon LLC"/>
    <s v="W10"/>
    <x v="3"/>
    <s v="BlueDart"/>
    <s v="Toronto-Toronto"/>
    <n v="2643"/>
    <n v="416"/>
    <n v="19"/>
    <n v="1403.83"/>
    <n v="261.3"/>
    <n v="1665.13"/>
    <x v="1"/>
    <n v="0"/>
    <n v="73.540000000000006"/>
    <n v="59"/>
    <n v="96"/>
  </r>
  <r>
    <x v="271"/>
    <s v="C5427"/>
    <d v="2024-01-12T00:00:00"/>
    <d v="2024-06-30T00:00:00"/>
    <x v="2"/>
    <s v="Europe"/>
    <s v="India"/>
    <s v="New York"/>
    <s v="P97116"/>
    <s v="Food"/>
    <s v="Chair"/>
    <s v="Product_3555"/>
    <n v="225.36"/>
    <n v="25"/>
    <s v="S108"/>
    <s v="Epsilon LLC"/>
    <s v="W43"/>
    <x v="0"/>
    <s v="UPS"/>
    <s v="São Paulo-São Paulo"/>
    <n v="4502"/>
    <n v="461"/>
    <n v="6"/>
    <n v="1424.26"/>
    <n v="460.25"/>
    <n v="1884.51"/>
    <x v="1"/>
    <n v="0"/>
    <n v="70.52"/>
    <n v="331"/>
    <n v="292"/>
  </r>
  <r>
    <x v="272"/>
    <s v="C4728"/>
    <d v="2024-10-30T00:00:00"/>
    <d v="2022-03-30T00:00:00"/>
    <x v="1"/>
    <s v="South America"/>
    <s v="India"/>
    <s v="São Paulo"/>
    <s v="P21639"/>
    <s v="Apparel"/>
    <s v="Shirt"/>
    <s v="Product_2790"/>
    <n v="189.78"/>
    <n v="7"/>
    <s v="S858"/>
    <s v="Delta Traders"/>
    <s v="W3"/>
    <x v="3"/>
    <s v="UPS"/>
    <s v="Toronto-São Paulo"/>
    <n v="1955"/>
    <n v="89"/>
    <n v="20"/>
    <n v="436.09"/>
    <n v="158.94999999999999"/>
    <n v="595.04"/>
    <x v="1"/>
    <n v="0"/>
    <n v="92.32"/>
    <n v="112"/>
    <n v="151"/>
  </r>
  <r>
    <x v="273"/>
    <s v="C8477"/>
    <d v="2021-11-25T00:00:00"/>
    <d v="2021-12-07T00:00:00"/>
    <x v="1"/>
    <s v="North America"/>
    <s v="South Africa"/>
    <s v="Beijing"/>
    <s v="P73487"/>
    <s v="Furniture"/>
    <s v="Chair"/>
    <s v="Product_4573"/>
    <n v="243.41"/>
    <n v="29"/>
    <s v="S870"/>
    <s v="Epsilon LLC"/>
    <s v="W3"/>
    <x v="0"/>
    <s v="FedEx"/>
    <s v="Toronto-Cape Town"/>
    <n v="3216"/>
    <n v="474"/>
    <n v="15"/>
    <n v="375.05"/>
    <n v="260.75"/>
    <n v="635.79999999999995"/>
    <x v="1"/>
    <n v="0"/>
    <n v="74.52"/>
    <n v="73"/>
    <n v="35"/>
  </r>
  <r>
    <x v="274"/>
    <s v="C3431"/>
    <d v="2022-09-26T00:00:00"/>
    <d v="2021-01-25T00:00:00"/>
    <x v="2"/>
    <s v="North America"/>
    <s v="USA"/>
    <s v="Cape Town"/>
    <s v="P65766"/>
    <s v="Pharma"/>
    <s v="Chair"/>
    <s v="Product_5244"/>
    <n v="480.17"/>
    <n v="10"/>
    <s v="S934"/>
    <s v="Delta Traders"/>
    <s v="W4"/>
    <x v="2"/>
    <s v="Maersk"/>
    <s v="Cape Town-Berlin"/>
    <n v="2878"/>
    <n v="214"/>
    <n v="13"/>
    <n v="1121.93"/>
    <n v="499.11"/>
    <n v="1621.04"/>
    <x v="1"/>
    <n v="0"/>
    <n v="71.38"/>
    <n v="321"/>
    <n v="362"/>
  </r>
  <r>
    <x v="275"/>
    <s v="C1253"/>
    <d v="2021-11-06T00:00:00"/>
    <d v="2024-11-09T00:00:00"/>
    <x v="1"/>
    <s v="Asia"/>
    <s v="South Africa"/>
    <s v="Toronto"/>
    <s v="P42218"/>
    <s v="Furniture"/>
    <s v="Medicines"/>
    <s v="Product_7325"/>
    <n v="405.04"/>
    <n v="93"/>
    <s v="S482"/>
    <s v="Delta Traders"/>
    <s v="W49"/>
    <x v="1"/>
    <s v="UPS"/>
    <s v="Mumbai-London"/>
    <n v="4741"/>
    <n v="231"/>
    <n v="10"/>
    <n v="1939.53"/>
    <n v="42.61"/>
    <n v="1982.14"/>
    <x v="1"/>
    <n v="0"/>
    <n v="75.05"/>
    <n v="449"/>
    <n v="483"/>
  </r>
  <r>
    <x v="276"/>
    <s v="C4265"/>
    <d v="2023-05-19T00:00:00"/>
    <d v="2022-04-16T00:00:00"/>
    <x v="0"/>
    <s v="North America"/>
    <s v="China"/>
    <s v="Berlin"/>
    <s v="P69761"/>
    <s v="Apparel"/>
    <s v="Medicines"/>
    <s v="Product_1217"/>
    <n v="325.02"/>
    <n v="30"/>
    <s v="S352"/>
    <s v="Alpha Corp"/>
    <s v="W48"/>
    <x v="2"/>
    <s v="UPS"/>
    <s v="New York-Toronto"/>
    <n v="2800"/>
    <n v="248"/>
    <n v="12"/>
    <n v="527.46"/>
    <n v="339.63"/>
    <n v="867.09"/>
    <x v="1"/>
    <n v="0"/>
    <n v="73.89"/>
    <n v="418"/>
    <n v="423"/>
  </r>
  <r>
    <x v="277"/>
    <s v="C1436"/>
    <d v="2024-07-18T00:00:00"/>
    <d v="2024-04-27T00:00:00"/>
    <x v="1"/>
    <s v="North America"/>
    <s v="India"/>
    <s v="Toronto"/>
    <s v="P75871"/>
    <s v="Pharma"/>
    <s v="Snacks"/>
    <s v="Product_7593"/>
    <n v="211.95"/>
    <n v="51"/>
    <s v="S794"/>
    <s v="Delta Traders"/>
    <s v="W22"/>
    <x v="1"/>
    <s v="DHL"/>
    <s v="Mumbai-New York"/>
    <n v="4698"/>
    <n v="377"/>
    <n v="17"/>
    <n v="383.6"/>
    <n v="307.68"/>
    <n v="691.28"/>
    <x v="1"/>
    <n v="0"/>
    <n v="82.64"/>
    <n v="464"/>
    <n v="419"/>
  </r>
  <r>
    <x v="278"/>
    <s v="C5317"/>
    <d v="2024-09-20T00:00:00"/>
    <d v="2022-06-08T00:00:00"/>
    <x v="2"/>
    <s v="North America"/>
    <s v="South Africa"/>
    <s v="Berlin"/>
    <s v="P99250"/>
    <s v="Furniture"/>
    <s v="Shirt"/>
    <s v="Product_4685"/>
    <n v="211.08"/>
    <n v="7"/>
    <s v="S259"/>
    <s v="Epsilon LLC"/>
    <s v="W24"/>
    <x v="2"/>
    <s v="Maersk"/>
    <s v="Berlin-Toronto"/>
    <n v="4743"/>
    <n v="53"/>
    <n v="23"/>
    <n v="1621.75"/>
    <n v="199.73"/>
    <n v="1821.48"/>
    <x v="1"/>
    <n v="0"/>
    <n v="91.3"/>
    <n v="123"/>
    <n v="90"/>
  </r>
  <r>
    <x v="279"/>
    <s v="C5501"/>
    <d v="2021-11-21T00:00:00"/>
    <d v="2023-03-19T00:00:00"/>
    <x v="2"/>
    <s v="North America"/>
    <s v="Brazil"/>
    <s v="São Paulo"/>
    <s v="P66764"/>
    <s v="Furniture"/>
    <s v="Laptop"/>
    <s v="Product_9209"/>
    <n v="450.76"/>
    <n v="2"/>
    <s v="S588"/>
    <s v="Beta Ltd"/>
    <s v="W26"/>
    <x v="1"/>
    <s v="Maersk"/>
    <s v="London-Berlin"/>
    <n v="747"/>
    <n v="259"/>
    <n v="20"/>
    <n v="489.52"/>
    <n v="173.33"/>
    <n v="662.85"/>
    <x v="1"/>
    <n v="0"/>
    <n v="92.26"/>
    <n v="301"/>
    <n v="254"/>
  </r>
  <r>
    <x v="280"/>
    <s v="C1556"/>
    <d v="2021-07-07T00:00:00"/>
    <d v="2021-08-14T00:00:00"/>
    <x v="2"/>
    <s v="Europe"/>
    <s v="India"/>
    <s v="São Paulo"/>
    <s v="P71881"/>
    <s v="Food"/>
    <s v="Medicines"/>
    <s v="Product_7363"/>
    <n v="108.24"/>
    <n v="33"/>
    <s v="S738"/>
    <s v="Delta Traders"/>
    <s v="W25"/>
    <x v="0"/>
    <s v="DHL"/>
    <s v="Beijing-Cape Town"/>
    <n v="307"/>
    <n v="88"/>
    <n v="5"/>
    <n v="652.41"/>
    <n v="28.53"/>
    <n v="680.93999999999994"/>
    <x v="1"/>
    <n v="0"/>
    <n v="98.29"/>
    <n v="151"/>
    <n v="118"/>
  </r>
  <r>
    <x v="281"/>
    <s v="C8849"/>
    <d v="2022-12-12T00:00:00"/>
    <d v="2022-07-01T00:00:00"/>
    <x v="0"/>
    <s v="Asia"/>
    <s v="Germany"/>
    <s v="Toronto"/>
    <s v="P75589"/>
    <s v="Food"/>
    <s v="Snacks"/>
    <s v="Product_4261"/>
    <n v="264.10000000000002"/>
    <n v="39"/>
    <s v="S289"/>
    <s v="Alpha Corp"/>
    <s v="W15"/>
    <x v="1"/>
    <s v="Maersk"/>
    <s v="New York-Toronto"/>
    <n v="1838"/>
    <n v="208"/>
    <n v="25"/>
    <n v="375.52"/>
    <n v="382.97"/>
    <n v="758.49"/>
    <x v="1"/>
    <n v="0"/>
    <n v="82.74"/>
    <n v="355"/>
    <n v="312"/>
  </r>
  <r>
    <x v="282"/>
    <s v="C9951"/>
    <d v="2021-02-05T00:00:00"/>
    <d v="2023-05-18T00:00:00"/>
    <x v="1"/>
    <s v="North America"/>
    <s v="India"/>
    <s v="Berlin"/>
    <s v="P91286"/>
    <s v="Apparel"/>
    <s v="Medicines"/>
    <s v="Product_1630"/>
    <n v="355.03"/>
    <n v="53"/>
    <s v="S307"/>
    <s v="Delta Traders"/>
    <s v="W39"/>
    <x v="2"/>
    <s v="UPS"/>
    <s v="London-São Paulo"/>
    <n v="1985"/>
    <n v="143"/>
    <n v="27"/>
    <n v="1764.97"/>
    <n v="295.01"/>
    <n v="2059.98"/>
    <x v="1"/>
    <n v="0"/>
    <n v="89.53"/>
    <n v="277"/>
    <n v="294"/>
  </r>
  <r>
    <x v="283"/>
    <s v="C9176"/>
    <d v="2023-10-10T00:00:00"/>
    <d v="2023-01-09T00:00:00"/>
    <x v="1"/>
    <s v="Europe"/>
    <s v="Canada"/>
    <s v="Toronto"/>
    <s v="P59619"/>
    <s v="Pharma"/>
    <s v="Snacks"/>
    <s v="Product_5485"/>
    <n v="441.94"/>
    <n v="76"/>
    <s v="S931"/>
    <s v="Alpha Corp"/>
    <s v="W18"/>
    <x v="0"/>
    <s v="BlueDart"/>
    <s v="Berlin-Cape Town"/>
    <n v="4650"/>
    <n v="366"/>
    <n v="18"/>
    <n v="352.92"/>
    <n v="377.69"/>
    <n v="730.61"/>
    <x v="1"/>
    <n v="0"/>
    <n v="73.06"/>
    <n v="168"/>
    <n v="166"/>
  </r>
  <r>
    <x v="284"/>
    <s v="C9957"/>
    <d v="2021-01-29T00:00:00"/>
    <d v="2024-07-22T00:00:00"/>
    <x v="2"/>
    <s v="Asia"/>
    <s v="South Africa"/>
    <s v="São Paulo"/>
    <s v="P67491"/>
    <s v="Food"/>
    <s v="Snacks"/>
    <s v="Product_1518"/>
    <n v="277.82"/>
    <n v="10"/>
    <s v="S442"/>
    <s v="Beta Ltd"/>
    <s v="W22"/>
    <x v="0"/>
    <s v="FedEx"/>
    <s v="Beijing-Beijing"/>
    <n v="754"/>
    <n v="472"/>
    <n v="5"/>
    <n v="171.92"/>
    <n v="214.1"/>
    <n v="386.02"/>
    <x v="1"/>
    <n v="0"/>
    <n v="92"/>
    <n v="70"/>
    <n v="67"/>
  </r>
  <r>
    <x v="285"/>
    <s v="C5263"/>
    <d v="2021-04-30T00:00:00"/>
    <d v="2020-05-30T00:00:00"/>
    <x v="1"/>
    <s v="Africa"/>
    <s v="China"/>
    <s v="São Paulo"/>
    <s v="P74009"/>
    <s v="Apparel"/>
    <s v="Laptop"/>
    <s v="Product_8678"/>
    <n v="204.53"/>
    <n v="95"/>
    <s v="S205"/>
    <s v="Beta Ltd"/>
    <s v="W26"/>
    <x v="3"/>
    <s v="Maersk"/>
    <s v="Toronto-Beijing"/>
    <n v="4586"/>
    <n v="84"/>
    <n v="28"/>
    <n v="506.68"/>
    <n v="455.44"/>
    <n v="962.12"/>
    <x v="1"/>
    <n v="0"/>
    <n v="84.7"/>
    <n v="163"/>
    <n v="169"/>
  </r>
  <r>
    <x v="286"/>
    <s v="C1060"/>
    <d v="2022-10-16T00:00:00"/>
    <d v="2020-01-30T00:00:00"/>
    <x v="2"/>
    <s v="South America"/>
    <s v="Germany"/>
    <s v="London"/>
    <s v="P29173"/>
    <s v="Apparel"/>
    <s v="Shirt"/>
    <s v="Product_7075"/>
    <n v="5.26"/>
    <n v="37"/>
    <s v="S770"/>
    <s v="Beta Ltd"/>
    <s v="W18"/>
    <x v="1"/>
    <s v="FedEx"/>
    <s v="Berlin-Toronto"/>
    <n v="4449"/>
    <n v="78"/>
    <n v="11"/>
    <n v="1410.36"/>
    <n v="319.13"/>
    <n v="1729.49"/>
    <x v="1"/>
    <n v="0"/>
    <n v="91.6"/>
    <n v="331"/>
    <n v="298"/>
  </r>
  <r>
    <x v="287"/>
    <s v="C2259"/>
    <d v="2020-03-05T00:00:00"/>
    <d v="2021-05-23T00:00:00"/>
    <x v="2"/>
    <s v="Asia"/>
    <s v="Germany"/>
    <s v="Cape Town"/>
    <s v="P10496"/>
    <s v="Furniture"/>
    <s v="Snacks"/>
    <s v="Product_1005"/>
    <n v="90.94"/>
    <n v="66"/>
    <s v="S954"/>
    <s v="Beta Ltd"/>
    <s v="W31"/>
    <x v="1"/>
    <s v="UPS"/>
    <s v="New York-New York"/>
    <n v="2293"/>
    <n v="254"/>
    <n v="16"/>
    <n v="1546.22"/>
    <n v="104.3"/>
    <n v="1650.52"/>
    <x v="1"/>
    <n v="0"/>
    <n v="77.78"/>
    <n v="333"/>
    <n v="335"/>
  </r>
  <r>
    <x v="288"/>
    <s v="C5024"/>
    <d v="2020-01-26T00:00:00"/>
    <d v="2023-12-04T00:00:00"/>
    <x v="0"/>
    <s v="Europe"/>
    <s v="India"/>
    <s v="Toronto"/>
    <s v="P64892"/>
    <s v="Food"/>
    <s v="Medicines"/>
    <s v="Product_2116"/>
    <n v="365.09"/>
    <n v="53"/>
    <s v="S511"/>
    <s v="Alpha Corp"/>
    <s v="W35"/>
    <x v="1"/>
    <s v="BlueDart"/>
    <s v="New York-Toronto"/>
    <n v="285"/>
    <n v="402"/>
    <n v="19"/>
    <n v="53.83"/>
    <n v="291.73"/>
    <n v="345.56"/>
    <x v="1"/>
    <n v="0"/>
    <n v="77.08"/>
    <n v="267"/>
    <n v="224"/>
  </r>
  <r>
    <x v="289"/>
    <s v="C7303"/>
    <d v="2024-02-08T00:00:00"/>
    <d v="2022-09-29T00:00:00"/>
    <x v="2"/>
    <s v="North America"/>
    <s v="UK"/>
    <s v="New York"/>
    <s v="P93084"/>
    <s v="Furniture"/>
    <s v="Snacks"/>
    <s v="Product_3255"/>
    <n v="21.97"/>
    <n v="57"/>
    <s v="S295"/>
    <s v="Gamma Inc"/>
    <s v="W42"/>
    <x v="1"/>
    <s v="BlueDart"/>
    <s v="New York-London"/>
    <n v="2866"/>
    <n v="162"/>
    <n v="27"/>
    <n v="1151.29"/>
    <n v="93.95"/>
    <n v="1245.24"/>
    <x v="1"/>
    <n v="0"/>
    <n v="96.48"/>
    <n v="59"/>
    <n v="23"/>
  </r>
  <r>
    <x v="290"/>
    <s v="C1289"/>
    <d v="2022-08-21T00:00:00"/>
    <d v="2024-07-07T00:00:00"/>
    <x v="2"/>
    <s v="South America"/>
    <s v="UK"/>
    <s v="New York"/>
    <s v="P82832"/>
    <s v="Pharma"/>
    <s v="Snacks"/>
    <s v="Product_5728"/>
    <n v="110.03"/>
    <n v="65"/>
    <s v="S593"/>
    <s v="Epsilon LLC"/>
    <s v="W26"/>
    <x v="2"/>
    <s v="Maersk"/>
    <s v="São Paulo-Cape Town"/>
    <n v="83"/>
    <n v="333"/>
    <n v="4"/>
    <n v="140.91999999999999"/>
    <n v="89.97"/>
    <n v="230.89"/>
    <x v="1"/>
    <n v="0"/>
    <n v="94.85"/>
    <n v="249"/>
    <n v="251"/>
  </r>
  <r>
    <x v="291"/>
    <s v="C4025"/>
    <d v="2022-01-10T00:00:00"/>
    <d v="2023-10-03T00:00:00"/>
    <x v="1"/>
    <s v="Africa"/>
    <s v="India"/>
    <s v="Mumbai"/>
    <s v="P92341"/>
    <s v="Apparel"/>
    <s v="Snacks"/>
    <s v="Product_5705"/>
    <n v="101.92"/>
    <n v="7"/>
    <s v="S258"/>
    <s v="Alpha Corp"/>
    <s v="W34"/>
    <x v="0"/>
    <s v="FedEx"/>
    <s v="Cape Town-São Paulo"/>
    <n v="2030"/>
    <n v="487"/>
    <n v="11"/>
    <n v="1122.43"/>
    <n v="216.32"/>
    <n v="1338.75"/>
    <x v="1"/>
    <n v="0"/>
    <n v="71.97"/>
    <n v="260"/>
    <n v="239"/>
  </r>
  <r>
    <x v="292"/>
    <s v="C4479"/>
    <d v="2020-09-13T00:00:00"/>
    <d v="2023-02-13T00:00:00"/>
    <x v="2"/>
    <s v="Africa"/>
    <s v="India"/>
    <s v="New York"/>
    <s v="P23545"/>
    <s v="Electronics"/>
    <s v="Shirt"/>
    <s v="Product_5598"/>
    <n v="33.07"/>
    <n v="65"/>
    <s v="S262"/>
    <s v="Epsilon LLC"/>
    <s v="W41"/>
    <x v="0"/>
    <s v="FedEx"/>
    <s v="Toronto-Mumbai"/>
    <n v="608"/>
    <n v="168"/>
    <n v="12"/>
    <n v="73.69"/>
    <n v="273.7"/>
    <n v="347.39"/>
    <x v="1"/>
    <n v="0"/>
    <n v="87.06"/>
    <n v="427"/>
    <n v="472"/>
  </r>
  <r>
    <x v="293"/>
    <s v="C4099"/>
    <d v="2024-04-10T00:00:00"/>
    <d v="2023-03-14T00:00:00"/>
    <x v="1"/>
    <s v="North America"/>
    <s v="Germany"/>
    <s v="Toronto"/>
    <s v="P70857"/>
    <s v="Apparel"/>
    <s v="Chair"/>
    <s v="Product_2611"/>
    <n v="144.46"/>
    <n v="56"/>
    <s v="S942"/>
    <s v="Delta Traders"/>
    <s v="W44"/>
    <x v="1"/>
    <s v="BlueDart"/>
    <s v="Toronto-Mumbai"/>
    <n v="1851"/>
    <n v="172"/>
    <n v="1"/>
    <n v="1762.62"/>
    <n v="303.47000000000003"/>
    <n v="2066.09"/>
    <x v="1"/>
    <n v="0"/>
    <n v="84.33"/>
    <n v="378"/>
    <n v="328"/>
  </r>
  <r>
    <x v="294"/>
    <s v="C1136"/>
    <d v="2024-02-22T00:00:00"/>
    <d v="2024-05-31T00:00:00"/>
    <x v="2"/>
    <s v="South America"/>
    <s v="Brazil"/>
    <s v="São Paulo"/>
    <s v="P11934"/>
    <s v="Electronics"/>
    <s v="Medicines"/>
    <s v="Product_8521"/>
    <n v="396.52"/>
    <n v="35"/>
    <s v="S425"/>
    <s v="Gamma Inc"/>
    <s v="W47"/>
    <x v="1"/>
    <s v="DHL"/>
    <s v="Berlin-New York"/>
    <n v="1721"/>
    <n v="73"/>
    <n v="8"/>
    <n v="1945.35"/>
    <n v="348.3"/>
    <n v="2293.65"/>
    <x v="1"/>
    <n v="0"/>
    <n v="71.03"/>
    <n v="369"/>
    <n v="403"/>
  </r>
  <r>
    <x v="295"/>
    <s v="C3730"/>
    <d v="2020-10-05T00:00:00"/>
    <d v="2020-03-03T00:00:00"/>
    <x v="1"/>
    <s v="Africa"/>
    <s v="South Africa"/>
    <s v="Beijing"/>
    <s v="P32736"/>
    <s v="Apparel"/>
    <s v="Chair"/>
    <s v="Product_5571"/>
    <n v="138.62"/>
    <n v="47"/>
    <s v="S256"/>
    <s v="Gamma Inc"/>
    <s v="W45"/>
    <x v="3"/>
    <s v="Maersk"/>
    <s v="Beijing-Berlin"/>
    <n v="992"/>
    <n v="349"/>
    <n v="16"/>
    <n v="904.79"/>
    <n v="473.67"/>
    <n v="1378.46"/>
    <x v="1"/>
    <n v="0"/>
    <n v="88.19"/>
    <n v="405"/>
    <n v="360"/>
  </r>
  <r>
    <x v="296"/>
    <s v="C4953"/>
    <d v="2020-08-01T00:00:00"/>
    <d v="2024-07-06T00:00:00"/>
    <x v="1"/>
    <s v="Europe"/>
    <s v="India"/>
    <s v="Berlin"/>
    <s v="P89029"/>
    <s v="Electronics"/>
    <s v="Medicines"/>
    <s v="Product_5090"/>
    <n v="305.33"/>
    <n v="12"/>
    <s v="S611"/>
    <s v="Alpha Corp"/>
    <s v="W4"/>
    <x v="3"/>
    <s v="Maersk"/>
    <s v="Cape Town-Cape Town"/>
    <n v="3362"/>
    <n v="430"/>
    <n v="21"/>
    <n v="405.48"/>
    <n v="206.84"/>
    <n v="612.32000000000005"/>
    <x v="1"/>
    <n v="0"/>
    <n v="85.83"/>
    <n v="111"/>
    <n v="115"/>
  </r>
  <r>
    <x v="297"/>
    <s v="C3986"/>
    <d v="2023-05-20T00:00:00"/>
    <d v="2022-07-24T00:00:00"/>
    <x v="2"/>
    <s v="Europe"/>
    <s v="China"/>
    <s v="Toronto"/>
    <s v="P52100"/>
    <s v="Furniture"/>
    <s v="Snacks"/>
    <s v="Product_2822"/>
    <n v="238.75"/>
    <n v="56"/>
    <s v="S815"/>
    <s v="Beta Ltd"/>
    <s v="W39"/>
    <x v="1"/>
    <s v="DHL"/>
    <s v="Beijing-London"/>
    <n v="4978"/>
    <n v="253"/>
    <n v="15"/>
    <n v="1984.19"/>
    <n v="49.04"/>
    <n v="2033.23"/>
    <x v="1"/>
    <n v="0"/>
    <n v="91.56"/>
    <n v="164"/>
    <n v="176"/>
  </r>
  <r>
    <x v="298"/>
    <s v="C5328"/>
    <d v="2023-07-16T00:00:00"/>
    <d v="2021-10-31T00:00:00"/>
    <x v="2"/>
    <s v="South America"/>
    <s v="USA"/>
    <s v="London"/>
    <s v="P86554"/>
    <s v="Apparel"/>
    <s v="Snacks"/>
    <s v="Product_2437"/>
    <n v="309.58"/>
    <n v="9"/>
    <s v="S806"/>
    <s v="Epsilon LLC"/>
    <s v="W17"/>
    <x v="1"/>
    <s v="FedEx"/>
    <s v="Berlin-London"/>
    <n v="4543"/>
    <n v="482"/>
    <n v="16"/>
    <n v="269"/>
    <n v="55.68"/>
    <n v="324.68"/>
    <x v="1"/>
    <n v="0"/>
    <n v="92.82"/>
    <n v="365"/>
    <n v="391"/>
  </r>
  <r>
    <x v="299"/>
    <s v="C5041"/>
    <d v="2023-06-07T00:00:00"/>
    <d v="2022-07-22T00:00:00"/>
    <x v="2"/>
    <s v="North America"/>
    <s v="Germany"/>
    <s v="New York"/>
    <s v="P69983"/>
    <s v="Furniture"/>
    <s v="Chair"/>
    <s v="Product_6652"/>
    <n v="363.21"/>
    <n v="34"/>
    <s v="S939"/>
    <s v="Epsilon LLC"/>
    <s v="W5"/>
    <x v="0"/>
    <s v="UPS"/>
    <s v="Mumbai-Mumbai"/>
    <n v="2032"/>
    <n v="95"/>
    <n v="25"/>
    <n v="1697.48"/>
    <n v="289.43"/>
    <n v="1986.91"/>
    <x v="1"/>
    <n v="0"/>
    <n v="78.680000000000007"/>
    <n v="381"/>
    <n v="399"/>
  </r>
  <r>
    <x v="300"/>
    <s v="C6749"/>
    <d v="2020-02-21T00:00:00"/>
    <d v="2023-01-14T00:00:00"/>
    <x v="2"/>
    <s v="Africa"/>
    <s v="UK"/>
    <s v="Mumbai"/>
    <s v="P45325"/>
    <s v="Pharma"/>
    <s v="Chair"/>
    <s v="Product_3223"/>
    <n v="345.87"/>
    <n v="62"/>
    <s v="S914"/>
    <s v="Delta Traders"/>
    <s v="W39"/>
    <x v="3"/>
    <s v="DHL"/>
    <s v="New York-São Paulo"/>
    <n v="3903"/>
    <n v="482"/>
    <n v="26"/>
    <n v="404.86"/>
    <n v="196.95"/>
    <n v="601.80999999999995"/>
    <x v="1"/>
    <n v="0"/>
    <n v="80.16"/>
    <n v="415"/>
    <n v="425"/>
  </r>
  <r>
    <x v="301"/>
    <s v="C7019"/>
    <d v="2023-03-18T00:00:00"/>
    <d v="2021-01-10T00:00:00"/>
    <x v="0"/>
    <s v="Asia"/>
    <s v="USA"/>
    <s v="Beijing"/>
    <s v="P46630"/>
    <s v="Electronics"/>
    <s v="Snacks"/>
    <s v="Product_8618"/>
    <n v="177.83"/>
    <n v="50"/>
    <s v="S948"/>
    <s v="Beta Ltd"/>
    <s v="W41"/>
    <x v="3"/>
    <s v="FedEx"/>
    <s v="Berlin-London"/>
    <n v="4429"/>
    <n v="117"/>
    <n v="26"/>
    <n v="334.83"/>
    <n v="80.260000000000005"/>
    <n v="415.09"/>
    <x v="1"/>
    <n v="0"/>
    <n v="87.83"/>
    <n v="65"/>
    <n v="31"/>
  </r>
  <r>
    <x v="302"/>
    <s v="C6162"/>
    <d v="2022-10-28T00:00:00"/>
    <d v="2024-12-23T00:00:00"/>
    <x v="2"/>
    <s v="Africa"/>
    <s v="India"/>
    <s v="London"/>
    <s v="P68606"/>
    <s v="Furniture"/>
    <s v="Snacks"/>
    <s v="Product_3398"/>
    <n v="184.33"/>
    <n v="82"/>
    <s v="S948"/>
    <s v="Gamma Inc"/>
    <s v="W4"/>
    <x v="1"/>
    <s v="BlueDart"/>
    <s v="London-New York"/>
    <n v="3932"/>
    <n v="319"/>
    <n v="9"/>
    <n v="1592.65"/>
    <n v="161.07"/>
    <n v="1753.72"/>
    <x v="1"/>
    <n v="0"/>
    <n v="77.31"/>
    <n v="123"/>
    <n v="142"/>
  </r>
  <r>
    <x v="303"/>
    <s v="C4910"/>
    <d v="2024-02-13T00:00:00"/>
    <d v="2023-01-05T00:00:00"/>
    <x v="2"/>
    <s v="Africa"/>
    <s v="Canada"/>
    <s v="New York"/>
    <s v="P56020"/>
    <s v="Apparel"/>
    <s v="Medicines"/>
    <s v="Product_9015"/>
    <n v="340.66"/>
    <n v="84"/>
    <s v="S478"/>
    <s v="Alpha Corp"/>
    <s v="W13"/>
    <x v="3"/>
    <s v="Maersk"/>
    <s v="New York-Toronto"/>
    <n v="3647"/>
    <n v="454"/>
    <n v="19"/>
    <n v="50.33"/>
    <n v="82.03"/>
    <n v="132.36000000000001"/>
    <x v="0"/>
    <n v="4"/>
    <n v="95.52"/>
    <n v="399"/>
    <n v="368"/>
  </r>
  <r>
    <x v="304"/>
    <s v="C8208"/>
    <d v="2024-11-18T00:00:00"/>
    <d v="2020-11-18T00:00:00"/>
    <x v="2"/>
    <s v="South America"/>
    <s v="Canada"/>
    <s v="New York"/>
    <s v="P88053"/>
    <s v="Apparel"/>
    <s v="Medicines"/>
    <s v="Product_7001"/>
    <n v="433.4"/>
    <n v="76"/>
    <s v="S235"/>
    <s v="Delta Traders"/>
    <s v="W35"/>
    <x v="2"/>
    <s v="DHL"/>
    <s v="Mumbai-Cape Town"/>
    <n v="2468"/>
    <n v="131"/>
    <n v="6"/>
    <n v="1819.76"/>
    <n v="145.19"/>
    <n v="1964.95"/>
    <x v="0"/>
    <n v="10"/>
    <n v="75.8"/>
    <n v="407"/>
    <n v="402"/>
  </r>
  <r>
    <x v="305"/>
    <s v="C5106"/>
    <d v="2023-06-16T00:00:00"/>
    <d v="2023-01-11T00:00:00"/>
    <x v="0"/>
    <s v="South America"/>
    <s v="South Africa"/>
    <s v="New York"/>
    <s v="P55387"/>
    <s v="Food"/>
    <s v="Snacks"/>
    <s v="Product_5580"/>
    <n v="375.69"/>
    <n v="41"/>
    <s v="S609"/>
    <s v="Beta Ltd"/>
    <s v="W27"/>
    <x v="3"/>
    <s v="Maersk"/>
    <s v="Beijing-São Paulo"/>
    <n v="129"/>
    <n v="128"/>
    <n v="9"/>
    <n v="1754.62"/>
    <n v="144.32"/>
    <n v="1898.94"/>
    <x v="1"/>
    <n v="0"/>
    <n v="72.11"/>
    <n v="232"/>
    <n v="188"/>
  </r>
  <r>
    <x v="306"/>
    <s v="C2734"/>
    <d v="2022-10-14T00:00:00"/>
    <d v="2021-09-01T00:00:00"/>
    <x v="1"/>
    <s v="Africa"/>
    <s v="USA"/>
    <s v="Beijing"/>
    <s v="P52444"/>
    <s v="Pharma"/>
    <s v="Laptop"/>
    <s v="Product_6740"/>
    <n v="82.76"/>
    <n v="77"/>
    <s v="S214"/>
    <s v="Epsilon LLC"/>
    <s v="W27"/>
    <x v="2"/>
    <s v="Maersk"/>
    <s v="Beijing-London"/>
    <n v="1851"/>
    <n v="112"/>
    <n v="28"/>
    <n v="1596.99"/>
    <n v="176.93"/>
    <n v="1773.92"/>
    <x v="0"/>
    <n v="14"/>
    <n v="83.36"/>
    <n v="158"/>
    <n v="130"/>
  </r>
  <r>
    <x v="307"/>
    <s v="C5402"/>
    <d v="2024-07-29T00:00:00"/>
    <d v="2024-12-10T00:00:00"/>
    <x v="2"/>
    <s v="North America"/>
    <s v="USA"/>
    <s v="São Paulo"/>
    <s v="P35662"/>
    <s v="Electronics"/>
    <s v="Medicines"/>
    <s v="Product_9137"/>
    <n v="81.53"/>
    <n v="50"/>
    <s v="S240"/>
    <s v="Alpha Corp"/>
    <s v="W25"/>
    <x v="2"/>
    <s v="FedEx"/>
    <s v="São Paulo-London"/>
    <n v="4826"/>
    <n v="189"/>
    <n v="10"/>
    <n v="967.82"/>
    <n v="329.7"/>
    <n v="1297.52"/>
    <x v="1"/>
    <n v="0"/>
    <n v="83.75"/>
    <n v="448"/>
    <n v="465"/>
  </r>
  <r>
    <x v="308"/>
    <s v="C3039"/>
    <d v="2023-10-21T00:00:00"/>
    <d v="2022-04-23T00:00:00"/>
    <x v="2"/>
    <s v="Asia"/>
    <s v="USA"/>
    <s v="New York"/>
    <s v="P55825"/>
    <s v="Pharma"/>
    <s v="Laptop"/>
    <s v="Product_9002"/>
    <n v="337.23"/>
    <n v="32"/>
    <s v="S780"/>
    <s v="Epsilon LLC"/>
    <s v="W46"/>
    <x v="3"/>
    <s v="UPS"/>
    <s v="Toronto-São Paulo"/>
    <n v="3801"/>
    <n v="464"/>
    <n v="17"/>
    <n v="1538.88"/>
    <n v="440.06"/>
    <n v="1978.94"/>
    <x v="1"/>
    <n v="0"/>
    <n v="99.82"/>
    <n v="433"/>
    <n v="471"/>
  </r>
  <r>
    <x v="309"/>
    <s v="C1880"/>
    <d v="2020-10-07T00:00:00"/>
    <d v="2024-06-17T00:00:00"/>
    <x v="1"/>
    <s v="North America"/>
    <s v="UK"/>
    <s v="São Paulo"/>
    <s v="P41618"/>
    <s v="Apparel"/>
    <s v="Chair"/>
    <s v="Product_6380"/>
    <n v="162.47"/>
    <n v="12"/>
    <s v="S504"/>
    <s v="Gamma Inc"/>
    <s v="W13"/>
    <x v="3"/>
    <s v="DHL"/>
    <s v="New York-Mumbai"/>
    <n v="69"/>
    <n v="339"/>
    <n v="7"/>
    <n v="232.22"/>
    <n v="187.88"/>
    <n v="420.1"/>
    <x v="1"/>
    <n v="0"/>
    <n v="92.21"/>
    <n v="481"/>
    <n v="433"/>
  </r>
  <r>
    <x v="310"/>
    <s v="C5408"/>
    <d v="2024-04-15T00:00:00"/>
    <d v="2021-03-18T00:00:00"/>
    <x v="2"/>
    <s v="Africa"/>
    <s v="India"/>
    <s v="Cape Town"/>
    <s v="P92823"/>
    <s v="Apparel"/>
    <s v="Shirt"/>
    <s v="Product_7902"/>
    <n v="381.67"/>
    <n v="87"/>
    <s v="S679"/>
    <s v="Beta Ltd"/>
    <s v="W45"/>
    <x v="0"/>
    <s v="Maersk"/>
    <s v="London-Mumbai"/>
    <n v="3637"/>
    <n v="387"/>
    <n v="2"/>
    <n v="1327.73"/>
    <n v="57.99"/>
    <n v="1385.72"/>
    <x v="1"/>
    <n v="0"/>
    <n v="92.12"/>
    <n v="190"/>
    <n v="225"/>
  </r>
  <r>
    <x v="311"/>
    <s v="C1884"/>
    <d v="2021-01-31T00:00:00"/>
    <d v="2024-07-05T00:00:00"/>
    <x v="2"/>
    <s v="Asia"/>
    <s v="South Africa"/>
    <s v="São Paulo"/>
    <s v="P77425"/>
    <s v="Pharma"/>
    <s v="Medicines"/>
    <s v="Product_6582"/>
    <n v="34.590000000000003"/>
    <n v="83"/>
    <s v="S620"/>
    <s v="Delta Traders"/>
    <s v="W31"/>
    <x v="2"/>
    <s v="DHL"/>
    <s v="Mumbai-Toronto"/>
    <n v="4274"/>
    <n v="386"/>
    <n v="22"/>
    <n v="105.9"/>
    <n v="114.25"/>
    <n v="220.15"/>
    <x v="1"/>
    <n v="0"/>
    <n v="77.599999999999994"/>
    <n v="120"/>
    <n v="139"/>
  </r>
  <r>
    <x v="312"/>
    <s v="C2013"/>
    <d v="2024-12-24T00:00:00"/>
    <d v="2024-02-11T00:00:00"/>
    <x v="1"/>
    <s v="Asia"/>
    <s v="South Africa"/>
    <s v="São Paulo"/>
    <s v="P46735"/>
    <s v="Food"/>
    <s v="Laptop"/>
    <s v="Product_8404"/>
    <n v="474.38"/>
    <n v="62"/>
    <s v="S467"/>
    <s v="Beta Ltd"/>
    <s v="W5"/>
    <x v="1"/>
    <s v="BlueDart"/>
    <s v="London-São Paulo"/>
    <n v="4372"/>
    <n v="308"/>
    <n v="22"/>
    <n v="1808.28"/>
    <n v="385.12"/>
    <n v="2193.4"/>
    <x v="1"/>
    <n v="0"/>
    <n v="97.24"/>
    <n v="74"/>
    <n v="113"/>
  </r>
  <r>
    <x v="313"/>
    <s v="C4927"/>
    <d v="2021-06-24T00:00:00"/>
    <d v="2021-03-13T00:00:00"/>
    <x v="1"/>
    <s v="Europe"/>
    <s v="Brazil"/>
    <s v="Toronto"/>
    <s v="P42435"/>
    <s v="Electronics"/>
    <s v="Laptop"/>
    <s v="Product_5494"/>
    <n v="81.760000000000005"/>
    <n v="60"/>
    <s v="S840"/>
    <s v="Beta Ltd"/>
    <s v="W39"/>
    <x v="1"/>
    <s v="BlueDart"/>
    <s v="Toronto-Berlin"/>
    <n v="3495"/>
    <n v="125"/>
    <n v="22"/>
    <n v="169.91"/>
    <n v="235.23"/>
    <n v="405.14"/>
    <x v="1"/>
    <n v="0"/>
    <n v="84.05"/>
    <n v="109"/>
    <n v="84"/>
  </r>
  <r>
    <x v="314"/>
    <s v="C1464"/>
    <d v="2024-01-09T00:00:00"/>
    <d v="2023-08-15T00:00:00"/>
    <x v="1"/>
    <s v="Asia"/>
    <s v="Canada"/>
    <s v="Cape Town"/>
    <s v="P49629"/>
    <s v="Pharma"/>
    <s v="Laptop"/>
    <s v="Product_3903"/>
    <n v="115.69"/>
    <n v="69"/>
    <s v="S662"/>
    <s v="Delta Traders"/>
    <s v="W16"/>
    <x v="0"/>
    <s v="DHL"/>
    <s v="Beijing-Berlin"/>
    <n v="2791"/>
    <n v="174"/>
    <n v="16"/>
    <n v="245.36"/>
    <n v="367.06"/>
    <n v="612.42000000000007"/>
    <x v="1"/>
    <n v="0"/>
    <n v="77.78"/>
    <n v="423"/>
    <n v="383"/>
  </r>
  <r>
    <x v="315"/>
    <s v="C5755"/>
    <d v="2020-03-02T00:00:00"/>
    <d v="2024-10-22T00:00:00"/>
    <x v="2"/>
    <s v="North America"/>
    <s v="India"/>
    <s v="London"/>
    <s v="P99110"/>
    <s v="Electronics"/>
    <s v="Medicines"/>
    <s v="Product_7524"/>
    <n v="260.05"/>
    <n v="59"/>
    <s v="S786"/>
    <s v="Beta Ltd"/>
    <s v="W39"/>
    <x v="0"/>
    <s v="Maersk"/>
    <s v="Berlin-São Paulo"/>
    <n v="1081"/>
    <n v="327"/>
    <n v="27"/>
    <n v="1818.91"/>
    <n v="372.44"/>
    <n v="2191.35"/>
    <x v="1"/>
    <n v="0"/>
    <n v="79.650000000000006"/>
    <n v="291"/>
    <n v="260"/>
  </r>
  <r>
    <x v="316"/>
    <s v="C7376"/>
    <d v="2020-04-28T00:00:00"/>
    <d v="2023-11-01T00:00:00"/>
    <x v="1"/>
    <s v="North America"/>
    <s v="China"/>
    <s v="Cape Town"/>
    <s v="P66167"/>
    <s v="Furniture"/>
    <s v="Chair"/>
    <s v="Product_7598"/>
    <n v="18.329999999999998"/>
    <n v="13"/>
    <s v="S723"/>
    <s v="Gamma Inc"/>
    <s v="W44"/>
    <x v="1"/>
    <s v="Maersk"/>
    <s v="London-Beijing"/>
    <n v="1012"/>
    <n v="357"/>
    <n v="28"/>
    <n v="1759.5"/>
    <n v="153.87"/>
    <n v="1913.37"/>
    <x v="1"/>
    <n v="0"/>
    <n v="83.64"/>
    <n v="244"/>
    <n v="236"/>
  </r>
  <r>
    <x v="317"/>
    <s v="C5809"/>
    <d v="2020-08-23T00:00:00"/>
    <d v="2022-06-30T00:00:00"/>
    <x v="2"/>
    <s v="Europe"/>
    <s v="USA"/>
    <s v="São Paulo"/>
    <s v="P77003"/>
    <s v="Electronics"/>
    <s v="Snacks"/>
    <s v="Product_5060"/>
    <n v="161.59"/>
    <n v="49"/>
    <s v="S200"/>
    <s v="Gamma Inc"/>
    <s v="W36"/>
    <x v="1"/>
    <s v="BlueDart"/>
    <s v="Mumbai-Toronto"/>
    <n v="1119"/>
    <n v="430"/>
    <n v="22"/>
    <n v="390.29"/>
    <n v="21.3"/>
    <n v="411.59"/>
    <x v="1"/>
    <n v="0"/>
    <n v="96.28"/>
    <n v="266"/>
    <n v="226"/>
  </r>
  <r>
    <x v="318"/>
    <s v="C1866"/>
    <d v="2023-03-20T00:00:00"/>
    <d v="2020-11-05T00:00:00"/>
    <x v="2"/>
    <s v="Asia"/>
    <s v="Canada"/>
    <s v="Cape Town"/>
    <s v="P65342"/>
    <s v="Electronics"/>
    <s v="Laptop"/>
    <s v="Product_9501"/>
    <n v="434.8"/>
    <n v="98"/>
    <s v="S771"/>
    <s v="Epsilon LLC"/>
    <s v="W49"/>
    <x v="1"/>
    <s v="UPS"/>
    <s v="Cape Town-Mumbai"/>
    <n v="3115"/>
    <n v="321"/>
    <n v="27"/>
    <n v="1285.57"/>
    <n v="395.25"/>
    <n v="1680.82"/>
    <x v="1"/>
    <n v="0"/>
    <n v="83.3"/>
    <n v="441"/>
    <n v="468"/>
  </r>
  <r>
    <x v="319"/>
    <s v="C9816"/>
    <d v="2020-10-12T00:00:00"/>
    <d v="2021-03-23T00:00:00"/>
    <x v="2"/>
    <s v="Europe"/>
    <s v="China"/>
    <s v="São Paulo"/>
    <s v="P51567"/>
    <s v="Furniture"/>
    <s v="Chair"/>
    <s v="Product_6393"/>
    <n v="148.68"/>
    <n v="12"/>
    <s v="S892"/>
    <s v="Epsilon LLC"/>
    <s v="W14"/>
    <x v="1"/>
    <s v="DHL"/>
    <s v="Cape Town-Mumbai"/>
    <n v="2949"/>
    <n v="360"/>
    <n v="16"/>
    <n v="847.71"/>
    <n v="457.99"/>
    <n v="1305.7"/>
    <x v="1"/>
    <n v="0"/>
    <n v="81.19"/>
    <n v="81"/>
    <n v="74"/>
  </r>
  <r>
    <x v="320"/>
    <s v="C8794"/>
    <d v="2024-09-18T00:00:00"/>
    <d v="2022-12-04T00:00:00"/>
    <x v="1"/>
    <s v="Asia"/>
    <s v="Brazil"/>
    <s v="New York"/>
    <s v="P59045"/>
    <s v="Apparel"/>
    <s v="Chair"/>
    <s v="Product_4827"/>
    <n v="444.98"/>
    <n v="31"/>
    <s v="S384"/>
    <s v="Alpha Corp"/>
    <s v="W37"/>
    <x v="0"/>
    <s v="FedEx"/>
    <s v="Beijing-London"/>
    <n v="1050"/>
    <n v="259"/>
    <n v="18"/>
    <n v="1375.21"/>
    <n v="166.39"/>
    <n v="1541.6"/>
    <x v="1"/>
    <n v="0"/>
    <n v="89.92"/>
    <n v="378"/>
    <n v="370"/>
  </r>
  <r>
    <x v="321"/>
    <s v="C8452"/>
    <d v="2022-11-27T00:00:00"/>
    <d v="2023-03-19T00:00:00"/>
    <x v="2"/>
    <s v="South America"/>
    <s v="India"/>
    <s v="Berlin"/>
    <s v="P57984"/>
    <s v="Furniture"/>
    <s v="Laptop"/>
    <s v="Product_8927"/>
    <n v="67.19"/>
    <n v="33"/>
    <s v="S327"/>
    <s v="Alpha Corp"/>
    <s v="W16"/>
    <x v="1"/>
    <s v="UPS"/>
    <s v="London-Beijing"/>
    <n v="2248"/>
    <n v="74"/>
    <n v="17"/>
    <n v="1632.49"/>
    <n v="184.66"/>
    <n v="1817.15"/>
    <x v="1"/>
    <n v="0"/>
    <n v="91.71"/>
    <n v="172"/>
    <n v="197"/>
  </r>
  <r>
    <x v="322"/>
    <s v="C7495"/>
    <d v="2020-02-18T00:00:00"/>
    <d v="2020-11-22T00:00:00"/>
    <x v="1"/>
    <s v="Asia"/>
    <s v="India"/>
    <s v="São Paulo"/>
    <s v="P22855"/>
    <s v="Food"/>
    <s v="Shirt"/>
    <s v="Product_2619"/>
    <n v="368.08"/>
    <n v="26"/>
    <s v="S139"/>
    <s v="Alpha Corp"/>
    <s v="W9"/>
    <x v="1"/>
    <s v="UPS"/>
    <s v="Cape Town-Berlin"/>
    <n v="990"/>
    <n v="223"/>
    <n v="1"/>
    <n v="602.34"/>
    <n v="68.13"/>
    <n v="670.47"/>
    <x v="1"/>
    <n v="0"/>
    <n v="77.27"/>
    <n v="114"/>
    <n v="115"/>
  </r>
  <r>
    <x v="323"/>
    <s v="C5699"/>
    <d v="2022-08-06T00:00:00"/>
    <d v="2024-06-12T00:00:00"/>
    <x v="2"/>
    <s v="North America"/>
    <s v="Canada"/>
    <s v="New York"/>
    <s v="P71129"/>
    <s v="Pharma"/>
    <s v="Chair"/>
    <s v="Product_4556"/>
    <n v="74.599999999999994"/>
    <n v="48"/>
    <s v="S374"/>
    <s v="Beta Ltd"/>
    <s v="W13"/>
    <x v="0"/>
    <s v="DHL"/>
    <s v="Toronto-São Paulo"/>
    <n v="3024"/>
    <n v="353"/>
    <n v="26"/>
    <n v="571.69000000000005"/>
    <n v="10.44"/>
    <n v="582.13000000000011"/>
    <x v="1"/>
    <n v="0"/>
    <n v="71.540000000000006"/>
    <n v="477"/>
    <n v="437"/>
  </r>
  <r>
    <x v="324"/>
    <s v="C7723"/>
    <d v="2023-04-09T00:00:00"/>
    <d v="2020-12-15T00:00:00"/>
    <x v="2"/>
    <s v="South America"/>
    <s v="Canada"/>
    <s v="Beijing"/>
    <s v="P72754"/>
    <s v="Food"/>
    <s v="Laptop"/>
    <s v="Product_5114"/>
    <n v="488.27"/>
    <n v="31"/>
    <s v="S144"/>
    <s v="Delta Traders"/>
    <s v="W4"/>
    <x v="0"/>
    <s v="FedEx"/>
    <s v="São Paulo-Berlin"/>
    <n v="1605"/>
    <n v="229"/>
    <n v="10"/>
    <n v="1398.28"/>
    <n v="12.55"/>
    <n v="1410.83"/>
    <x v="1"/>
    <n v="0"/>
    <n v="92.16"/>
    <n v="396"/>
    <n v="394"/>
  </r>
  <r>
    <x v="325"/>
    <s v="C7872"/>
    <d v="2020-02-24T00:00:00"/>
    <d v="2020-10-18T00:00:00"/>
    <x v="2"/>
    <s v="North America"/>
    <s v="India"/>
    <s v="Berlin"/>
    <s v="P61580"/>
    <s v="Pharma"/>
    <s v="Chair"/>
    <s v="Product_1565"/>
    <n v="412.38"/>
    <n v="71"/>
    <s v="S639"/>
    <s v="Delta Traders"/>
    <s v="W16"/>
    <x v="0"/>
    <s v="UPS"/>
    <s v="São Paulo-London"/>
    <n v="4511"/>
    <n v="54"/>
    <n v="20"/>
    <n v="1633.48"/>
    <n v="53.47"/>
    <n v="1686.95"/>
    <x v="1"/>
    <n v="0"/>
    <n v="83.12"/>
    <n v="411"/>
    <n v="445"/>
  </r>
  <r>
    <x v="326"/>
    <s v="C4343"/>
    <d v="2024-12-07T00:00:00"/>
    <d v="2022-12-20T00:00:00"/>
    <x v="0"/>
    <s v="North America"/>
    <s v="South Africa"/>
    <s v="Mumbai"/>
    <s v="P12681"/>
    <s v="Pharma"/>
    <s v="Medicines"/>
    <s v="Product_2594"/>
    <n v="288.37"/>
    <n v="82"/>
    <s v="S366"/>
    <s v="Epsilon LLC"/>
    <s v="W15"/>
    <x v="1"/>
    <s v="FedEx"/>
    <s v="New York-São Paulo"/>
    <n v="3927"/>
    <n v="377"/>
    <n v="27"/>
    <n v="109.87"/>
    <n v="424.9"/>
    <n v="534.77"/>
    <x v="1"/>
    <n v="0"/>
    <n v="78.31"/>
    <n v="426"/>
    <n v="399"/>
  </r>
  <r>
    <x v="327"/>
    <s v="C3241"/>
    <d v="2021-08-20T00:00:00"/>
    <d v="2020-05-25T00:00:00"/>
    <x v="0"/>
    <s v="South America"/>
    <s v="USA"/>
    <s v="Cape Town"/>
    <s v="P50671"/>
    <s v="Pharma"/>
    <s v="Laptop"/>
    <s v="Product_3683"/>
    <n v="85.45"/>
    <n v="27"/>
    <s v="S361"/>
    <s v="Alpha Corp"/>
    <s v="W5"/>
    <x v="1"/>
    <s v="Maersk"/>
    <s v="Toronto-São Paulo"/>
    <n v="1917"/>
    <n v="355"/>
    <n v="7"/>
    <n v="167.97"/>
    <n v="319.38"/>
    <n v="487.35"/>
    <x v="1"/>
    <n v="0"/>
    <n v="97.17"/>
    <n v="166"/>
    <n v="165"/>
  </r>
  <r>
    <x v="328"/>
    <s v="C1170"/>
    <d v="2023-10-21T00:00:00"/>
    <d v="2020-03-01T00:00:00"/>
    <x v="1"/>
    <s v="South America"/>
    <s v="China"/>
    <s v="New York"/>
    <s v="P68400"/>
    <s v="Pharma"/>
    <s v="Snacks"/>
    <s v="Product_5268"/>
    <n v="201.32"/>
    <n v="13"/>
    <s v="S996"/>
    <s v="Gamma Inc"/>
    <s v="W14"/>
    <x v="0"/>
    <s v="UPS"/>
    <s v="London-Beijing"/>
    <n v="71"/>
    <n v="400"/>
    <n v="24"/>
    <n v="140.58000000000001"/>
    <n v="113.57"/>
    <n v="254.15"/>
    <x v="1"/>
    <n v="0"/>
    <n v="82.27"/>
    <n v="255"/>
    <n v="208"/>
  </r>
  <r>
    <x v="329"/>
    <s v="C6639"/>
    <d v="2020-03-10T00:00:00"/>
    <d v="2023-07-11T00:00:00"/>
    <x v="1"/>
    <s v="Africa"/>
    <s v="UK"/>
    <s v="New York"/>
    <s v="P19225"/>
    <s v="Pharma"/>
    <s v="Snacks"/>
    <s v="Product_7668"/>
    <n v="114.67"/>
    <n v="92"/>
    <s v="S747"/>
    <s v="Beta Ltd"/>
    <s v="W45"/>
    <x v="2"/>
    <s v="UPS"/>
    <s v="London-Beijing"/>
    <n v="864"/>
    <n v="419"/>
    <n v="4"/>
    <n v="1669.6"/>
    <n v="397.87"/>
    <n v="2067.4699999999998"/>
    <x v="1"/>
    <n v="0"/>
    <n v="78.87"/>
    <n v="456"/>
    <n v="471"/>
  </r>
  <r>
    <x v="330"/>
    <s v="C7443"/>
    <d v="2021-11-05T00:00:00"/>
    <d v="2021-05-07T00:00:00"/>
    <x v="1"/>
    <s v="Africa"/>
    <s v="South Africa"/>
    <s v="Toronto"/>
    <s v="P20171"/>
    <s v="Electronics"/>
    <s v="Laptop"/>
    <s v="Product_9318"/>
    <n v="20.45"/>
    <n v="5"/>
    <s v="S343"/>
    <s v="Delta Traders"/>
    <s v="W9"/>
    <x v="2"/>
    <s v="DHL"/>
    <s v="New York-São Paulo"/>
    <n v="1259"/>
    <n v="275"/>
    <n v="5"/>
    <n v="1881.61"/>
    <n v="334.16"/>
    <n v="2215.77"/>
    <x v="1"/>
    <n v="0"/>
    <n v="74.05"/>
    <n v="289"/>
    <n v="273"/>
  </r>
  <r>
    <x v="331"/>
    <s v="C9052"/>
    <d v="2022-11-01T00:00:00"/>
    <d v="2023-05-31T00:00:00"/>
    <x v="2"/>
    <s v="Africa"/>
    <s v="Germany"/>
    <s v="Mumbai"/>
    <s v="P23375"/>
    <s v="Furniture"/>
    <s v="Chair"/>
    <s v="Product_9502"/>
    <n v="443.34"/>
    <n v="20"/>
    <s v="S942"/>
    <s v="Gamma Inc"/>
    <s v="W48"/>
    <x v="0"/>
    <s v="UPS"/>
    <s v="São Paulo-Berlin"/>
    <n v="3253"/>
    <n v="205"/>
    <n v="23"/>
    <n v="319.27"/>
    <n v="264.20999999999998"/>
    <n v="583.48"/>
    <x v="1"/>
    <n v="0"/>
    <n v="89.79"/>
    <n v="372"/>
    <n v="346"/>
  </r>
  <r>
    <x v="332"/>
    <s v="C4690"/>
    <d v="2020-09-16T00:00:00"/>
    <d v="2021-08-25T00:00:00"/>
    <x v="1"/>
    <s v="Africa"/>
    <s v="Brazil"/>
    <s v="São Paulo"/>
    <s v="P44629"/>
    <s v="Food"/>
    <s v="Medicines"/>
    <s v="Product_6256"/>
    <n v="265.19"/>
    <n v="43"/>
    <s v="S167"/>
    <s v="Beta Ltd"/>
    <s v="W44"/>
    <x v="1"/>
    <s v="UPS"/>
    <s v="London-New York"/>
    <n v="1614"/>
    <n v="161"/>
    <n v="24"/>
    <n v="320.54000000000002"/>
    <n v="495.57"/>
    <n v="816.11"/>
    <x v="1"/>
    <n v="0"/>
    <n v="82.78"/>
    <n v="207"/>
    <n v="179"/>
  </r>
  <r>
    <x v="333"/>
    <s v="C9252"/>
    <d v="2022-11-11T00:00:00"/>
    <d v="2020-09-08T00:00:00"/>
    <x v="2"/>
    <s v="South America"/>
    <s v="Canada"/>
    <s v="Mumbai"/>
    <s v="P92495"/>
    <s v="Electronics"/>
    <s v="Snacks"/>
    <s v="Product_5989"/>
    <n v="367.36"/>
    <n v="50"/>
    <s v="S414"/>
    <s v="Gamma Inc"/>
    <s v="W22"/>
    <x v="2"/>
    <s v="UPS"/>
    <s v="Mumbai-São Paulo"/>
    <n v="3373"/>
    <n v="107"/>
    <n v="21"/>
    <n v="1142.1099999999999"/>
    <n v="326.73"/>
    <n v="1468.84"/>
    <x v="1"/>
    <n v="0"/>
    <n v="79.959999999999994"/>
    <n v="476"/>
    <n v="436"/>
  </r>
  <r>
    <x v="334"/>
    <s v="C8026"/>
    <d v="2020-02-13T00:00:00"/>
    <d v="2022-08-05T00:00:00"/>
    <x v="2"/>
    <s v="Europe"/>
    <s v="China"/>
    <s v="Beijing"/>
    <s v="P28179"/>
    <s v="Apparel"/>
    <s v="Laptop"/>
    <s v="Product_7380"/>
    <n v="62.8"/>
    <n v="75"/>
    <s v="S780"/>
    <s v="Beta Ltd"/>
    <s v="W41"/>
    <x v="1"/>
    <s v="FedEx"/>
    <s v="Toronto-London"/>
    <n v="2668"/>
    <n v="481"/>
    <n v="9"/>
    <n v="80.31"/>
    <n v="125.24"/>
    <n v="205.55"/>
    <x v="1"/>
    <n v="0"/>
    <n v="99.17"/>
    <n v="408"/>
    <n v="406"/>
  </r>
  <r>
    <x v="335"/>
    <s v="C6482"/>
    <d v="2024-09-25T00:00:00"/>
    <d v="2022-09-01T00:00:00"/>
    <x v="2"/>
    <s v="Asia"/>
    <s v="USA"/>
    <s v="Berlin"/>
    <s v="P79433"/>
    <s v="Furniture"/>
    <s v="Medicines"/>
    <s v="Product_4782"/>
    <n v="121.68"/>
    <n v="59"/>
    <s v="S862"/>
    <s v="Delta Traders"/>
    <s v="W15"/>
    <x v="2"/>
    <s v="DHL"/>
    <s v="New York-Mumbai"/>
    <n v="2504"/>
    <n v="97"/>
    <n v="5"/>
    <n v="141.19999999999999"/>
    <n v="171.69"/>
    <n v="312.89"/>
    <x v="0"/>
    <n v="5"/>
    <n v="88.32"/>
    <n v="418"/>
    <n v="421"/>
  </r>
  <r>
    <x v="336"/>
    <s v="C1516"/>
    <d v="2020-09-02T00:00:00"/>
    <d v="2022-01-06T00:00:00"/>
    <x v="2"/>
    <s v="Africa"/>
    <s v="Canada"/>
    <s v="São Paulo"/>
    <s v="P73346"/>
    <s v="Pharma"/>
    <s v="Shirt"/>
    <s v="Product_9749"/>
    <n v="462.78"/>
    <n v="59"/>
    <s v="S381"/>
    <s v="Gamma Inc"/>
    <s v="W37"/>
    <x v="1"/>
    <s v="DHL"/>
    <s v="Beijing-London"/>
    <n v="4228"/>
    <n v="401"/>
    <n v="17"/>
    <n v="777.06"/>
    <n v="330.13"/>
    <n v="1107.19"/>
    <x v="1"/>
    <n v="0"/>
    <n v="87.28"/>
    <n v="214"/>
    <n v="193"/>
  </r>
  <r>
    <x v="337"/>
    <s v="C3978"/>
    <d v="2022-08-25T00:00:00"/>
    <d v="2024-05-21T00:00:00"/>
    <x v="2"/>
    <s v="Europe"/>
    <s v="Brazil"/>
    <s v="London"/>
    <s v="P67591"/>
    <s v="Apparel"/>
    <s v="Laptop"/>
    <s v="Product_6523"/>
    <n v="63.77"/>
    <n v="20"/>
    <s v="S323"/>
    <s v="Epsilon LLC"/>
    <s v="W18"/>
    <x v="2"/>
    <s v="DHL"/>
    <s v="Berlin-London"/>
    <n v="3926"/>
    <n v="84"/>
    <n v="10"/>
    <n v="1378.05"/>
    <n v="33.08"/>
    <n v="1411.13"/>
    <x v="1"/>
    <n v="0"/>
    <n v="88.5"/>
    <n v="206"/>
    <n v="246"/>
  </r>
  <r>
    <x v="338"/>
    <s v="C6008"/>
    <d v="2022-09-10T00:00:00"/>
    <d v="2022-12-17T00:00:00"/>
    <x v="2"/>
    <s v="Asia"/>
    <s v="Germany"/>
    <s v="Cape Town"/>
    <s v="P81264"/>
    <s v="Pharma"/>
    <s v="Snacks"/>
    <s v="Product_2619"/>
    <n v="144.91999999999999"/>
    <n v="97"/>
    <s v="S852"/>
    <s v="Epsilon LLC"/>
    <s v="W26"/>
    <x v="3"/>
    <s v="UPS"/>
    <s v="Beijing-São Paulo"/>
    <n v="2514"/>
    <n v="280"/>
    <n v="25"/>
    <n v="157.4"/>
    <n v="22.03"/>
    <n v="179.43"/>
    <x v="1"/>
    <n v="0"/>
    <n v="73.319999999999993"/>
    <n v="484"/>
    <n v="530"/>
  </r>
  <r>
    <x v="339"/>
    <s v="C1304"/>
    <d v="2020-01-19T00:00:00"/>
    <d v="2020-04-09T00:00:00"/>
    <x v="2"/>
    <s v="South America"/>
    <s v="China"/>
    <s v="New York"/>
    <s v="P97815"/>
    <s v="Electronics"/>
    <s v="Laptop"/>
    <s v="Product_1066"/>
    <n v="400.03"/>
    <n v="10"/>
    <s v="S256"/>
    <s v="Epsilon LLC"/>
    <s v="W44"/>
    <x v="1"/>
    <s v="UPS"/>
    <s v="London-Cape Town"/>
    <n v="4892"/>
    <n v="246"/>
    <n v="26"/>
    <n v="530.94000000000005"/>
    <n v="290.38"/>
    <n v="821.32"/>
    <x v="1"/>
    <n v="0"/>
    <n v="99.65"/>
    <n v="284"/>
    <n v="254"/>
  </r>
  <r>
    <x v="340"/>
    <s v="C7219"/>
    <d v="2020-08-09T00:00:00"/>
    <d v="2024-07-24T00:00:00"/>
    <x v="2"/>
    <s v="Africa"/>
    <s v="Germany"/>
    <s v="New York"/>
    <s v="P31658"/>
    <s v="Food"/>
    <s v="Chair"/>
    <s v="Product_7579"/>
    <n v="316.11"/>
    <n v="33"/>
    <s v="S948"/>
    <s v="Beta Ltd"/>
    <s v="W1"/>
    <x v="3"/>
    <s v="BlueDart"/>
    <s v="Cape Town-Berlin"/>
    <n v="132"/>
    <n v="165"/>
    <n v="4"/>
    <n v="198.14"/>
    <n v="321.39"/>
    <n v="519.53"/>
    <x v="1"/>
    <n v="0"/>
    <n v="89.11"/>
    <n v="58"/>
    <n v="68"/>
  </r>
  <r>
    <x v="341"/>
    <s v="C7662"/>
    <d v="2024-02-26T00:00:00"/>
    <d v="2024-01-11T00:00:00"/>
    <x v="2"/>
    <s v="North America"/>
    <s v="Brazil"/>
    <s v="Beijing"/>
    <s v="P70066"/>
    <s v="Food"/>
    <s v="Medicines"/>
    <s v="Product_5413"/>
    <n v="191.27"/>
    <n v="67"/>
    <s v="S175"/>
    <s v="Beta Ltd"/>
    <s v="W32"/>
    <x v="3"/>
    <s v="UPS"/>
    <s v="Mumbai-Cape Town"/>
    <n v="3972"/>
    <n v="317"/>
    <n v="14"/>
    <n v="1525.9"/>
    <n v="465.54"/>
    <n v="1991.44"/>
    <x v="1"/>
    <n v="0"/>
    <n v="70.47"/>
    <n v="70"/>
    <n v="43"/>
  </r>
  <r>
    <x v="342"/>
    <s v="C4507"/>
    <d v="2021-10-02T00:00:00"/>
    <d v="2024-11-08T00:00:00"/>
    <x v="1"/>
    <s v="North America"/>
    <s v="South Africa"/>
    <s v="Berlin"/>
    <s v="P36430"/>
    <s v="Apparel"/>
    <s v="Medicines"/>
    <s v="Product_7586"/>
    <n v="186.61"/>
    <n v="75"/>
    <s v="S652"/>
    <s v="Epsilon LLC"/>
    <s v="W31"/>
    <x v="2"/>
    <s v="UPS"/>
    <s v="São Paulo-London"/>
    <n v="808"/>
    <n v="460"/>
    <n v="12"/>
    <n v="79.27"/>
    <n v="128.79"/>
    <n v="208.06"/>
    <x v="1"/>
    <n v="0"/>
    <n v="74.25"/>
    <n v="358"/>
    <n v="363"/>
  </r>
  <r>
    <x v="343"/>
    <s v="C4835"/>
    <d v="2021-10-10T00:00:00"/>
    <d v="2023-09-07T00:00:00"/>
    <x v="1"/>
    <s v="North America"/>
    <s v="Germany"/>
    <s v="Beijing"/>
    <s v="P43434"/>
    <s v="Electronics"/>
    <s v="Shirt"/>
    <s v="Product_8321"/>
    <n v="309.44"/>
    <n v="81"/>
    <s v="S219"/>
    <s v="Beta Ltd"/>
    <s v="W8"/>
    <x v="3"/>
    <s v="DHL"/>
    <s v="Cape Town-Cape Town"/>
    <n v="1093"/>
    <n v="364"/>
    <n v="17"/>
    <n v="1412.55"/>
    <n v="61.49"/>
    <n v="1474.04"/>
    <x v="1"/>
    <n v="0"/>
    <n v="81.3"/>
    <n v="106"/>
    <n v="122"/>
  </r>
  <r>
    <x v="344"/>
    <s v="C8892"/>
    <d v="2020-06-13T00:00:00"/>
    <d v="2023-06-22T00:00:00"/>
    <x v="1"/>
    <s v="Africa"/>
    <s v="Germany"/>
    <s v="São Paulo"/>
    <s v="P90849"/>
    <s v="Furniture"/>
    <s v="Shirt"/>
    <s v="Product_8274"/>
    <n v="205.63"/>
    <n v="42"/>
    <s v="S187"/>
    <s v="Alpha Corp"/>
    <s v="W34"/>
    <x v="0"/>
    <s v="Maersk"/>
    <s v="São Paulo-Mumbai"/>
    <n v="4722"/>
    <n v="277"/>
    <n v="1"/>
    <n v="513.46"/>
    <n v="112.75"/>
    <n v="626.21"/>
    <x v="1"/>
    <n v="0"/>
    <n v="72.45"/>
    <n v="381"/>
    <n v="333"/>
  </r>
  <r>
    <x v="345"/>
    <s v="C7942"/>
    <d v="2022-07-25T00:00:00"/>
    <d v="2022-07-02T00:00:00"/>
    <x v="2"/>
    <s v="Asia"/>
    <s v="South Africa"/>
    <s v="New York"/>
    <s v="P59786"/>
    <s v="Furniture"/>
    <s v="Shirt"/>
    <s v="Product_5743"/>
    <n v="278.58999999999997"/>
    <n v="50"/>
    <s v="S966"/>
    <s v="Epsilon LLC"/>
    <s v="W21"/>
    <x v="0"/>
    <s v="BlueDart"/>
    <s v="São Paulo-Berlin"/>
    <n v="2455"/>
    <n v="416"/>
    <n v="5"/>
    <n v="1072.46"/>
    <n v="499.12"/>
    <n v="1571.58"/>
    <x v="1"/>
    <n v="0"/>
    <n v="86.57"/>
    <n v="301"/>
    <n v="329"/>
  </r>
  <r>
    <x v="346"/>
    <s v="C6449"/>
    <d v="2025-01-01T00:00:00"/>
    <d v="2024-04-06T00:00:00"/>
    <x v="2"/>
    <s v="South America"/>
    <s v="Brazil"/>
    <s v="Berlin"/>
    <s v="P65108"/>
    <s v="Furniture"/>
    <s v="Medicines"/>
    <s v="Product_8243"/>
    <n v="223.18"/>
    <n v="68"/>
    <s v="S890"/>
    <s v="Epsilon LLC"/>
    <s v="W24"/>
    <x v="3"/>
    <s v="UPS"/>
    <s v="Berlin-Mumbai"/>
    <n v="1473"/>
    <n v="179"/>
    <n v="15"/>
    <n v="1734.08"/>
    <n v="284.95"/>
    <n v="2019.03"/>
    <x v="1"/>
    <n v="0"/>
    <n v="71.88"/>
    <n v="460"/>
    <n v="419"/>
  </r>
  <r>
    <x v="347"/>
    <s v="C4093"/>
    <d v="2022-04-01T00:00:00"/>
    <d v="2021-01-12T00:00:00"/>
    <x v="1"/>
    <s v="South America"/>
    <s v="South Africa"/>
    <s v="Beijing"/>
    <s v="P56505"/>
    <s v="Apparel"/>
    <s v="Chair"/>
    <s v="Product_1284"/>
    <n v="86.81"/>
    <n v="19"/>
    <s v="S519"/>
    <s v="Epsilon LLC"/>
    <s v="W31"/>
    <x v="3"/>
    <s v="DHL"/>
    <s v="London-New York"/>
    <n v="2914"/>
    <n v="113"/>
    <n v="12"/>
    <n v="1427.11"/>
    <n v="362.56"/>
    <n v="1789.67"/>
    <x v="0"/>
    <n v="4"/>
    <n v="80.069999999999993"/>
    <n v="451"/>
    <n v="439"/>
  </r>
  <r>
    <x v="348"/>
    <s v="C3748"/>
    <d v="2024-06-21T00:00:00"/>
    <d v="2020-06-12T00:00:00"/>
    <x v="2"/>
    <s v="Asia"/>
    <s v="Brazil"/>
    <s v="Cape Town"/>
    <s v="P88548"/>
    <s v="Pharma"/>
    <s v="Snacks"/>
    <s v="Product_2999"/>
    <n v="498.44"/>
    <n v="74"/>
    <s v="S369"/>
    <s v="Epsilon LLC"/>
    <s v="W11"/>
    <x v="1"/>
    <s v="UPS"/>
    <s v="New York-Cape Town"/>
    <n v="4767"/>
    <n v="359"/>
    <n v="16"/>
    <n v="1248.83"/>
    <n v="468.69"/>
    <n v="1717.52"/>
    <x v="1"/>
    <n v="0"/>
    <n v="84.74"/>
    <n v="387"/>
    <n v="436"/>
  </r>
  <r>
    <x v="349"/>
    <s v="C5771"/>
    <d v="2024-10-29T00:00:00"/>
    <d v="2021-11-28T00:00:00"/>
    <x v="2"/>
    <s v="Europe"/>
    <s v="China"/>
    <s v="Beijing"/>
    <s v="P25453"/>
    <s v="Electronics"/>
    <s v="Laptop"/>
    <s v="Product_9183"/>
    <n v="371.52"/>
    <n v="55"/>
    <s v="S157"/>
    <s v="Delta Traders"/>
    <s v="W10"/>
    <x v="2"/>
    <s v="Maersk"/>
    <s v="São Paulo-Cape Town"/>
    <n v="2923"/>
    <n v="126"/>
    <n v="1"/>
    <n v="1166.24"/>
    <n v="105.64"/>
    <n v="1271.8800000000001"/>
    <x v="1"/>
    <n v="0"/>
    <n v="98.16"/>
    <n v="98"/>
    <n v="118"/>
  </r>
  <r>
    <x v="350"/>
    <s v="C1492"/>
    <d v="2021-09-20T00:00:00"/>
    <d v="2023-11-27T00:00:00"/>
    <x v="2"/>
    <s v="Europe"/>
    <s v="Brazil"/>
    <s v="São Paulo"/>
    <s v="P63371"/>
    <s v="Electronics"/>
    <s v="Laptop"/>
    <s v="Product_2515"/>
    <n v="104.87"/>
    <n v="70"/>
    <s v="S426"/>
    <s v="Epsilon LLC"/>
    <s v="W2"/>
    <x v="2"/>
    <s v="FedEx"/>
    <s v="Beijing-Cape Town"/>
    <n v="183"/>
    <n v="469"/>
    <n v="3"/>
    <n v="1379.4"/>
    <n v="54.44"/>
    <n v="1433.84"/>
    <x v="1"/>
    <n v="0"/>
    <n v="81.92"/>
    <n v="411"/>
    <n v="429"/>
  </r>
  <r>
    <x v="351"/>
    <s v="C9070"/>
    <d v="2020-03-12T00:00:00"/>
    <d v="2023-03-05T00:00:00"/>
    <x v="2"/>
    <s v="South America"/>
    <s v="Brazil"/>
    <s v="São Paulo"/>
    <s v="P73769"/>
    <s v="Pharma"/>
    <s v="Medicines"/>
    <s v="Product_8897"/>
    <n v="191.2"/>
    <n v="3"/>
    <s v="S528"/>
    <s v="Delta Traders"/>
    <s v="W40"/>
    <x v="1"/>
    <s v="BlueDart"/>
    <s v="Toronto-Beijing"/>
    <n v="146"/>
    <n v="494"/>
    <n v="11"/>
    <n v="1530.76"/>
    <n v="381.05"/>
    <n v="1911.81"/>
    <x v="1"/>
    <n v="0"/>
    <n v="86.62"/>
    <n v="137"/>
    <n v="186"/>
  </r>
  <r>
    <x v="352"/>
    <s v="C1656"/>
    <d v="2021-09-20T00:00:00"/>
    <d v="2024-05-21T00:00:00"/>
    <x v="2"/>
    <s v="North America"/>
    <s v="UK"/>
    <s v="Toronto"/>
    <s v="P44716"/>
    <s v="Pharma"/>
    <s v="Medicines"/>
    <s v="Product_2811"/>
    <n v="402.36"/>
    <n v="7"/>
    <s v="S329"/>
    <s v="Gamma Inc"/>
    <s v="W16"/>
    <x v="0"/>
    <s v="BlueDart"/>
    <s v="Cape Town-London"/>
    <n v="2215"/>
    <n v="268"/>
    <n v="27"/>
    <n v="830.28"/>
    <n v="311.27"/>
    <n v="1141.55"/>
    <x v="1"/>
    <n v="0"/>
    <n v="87.84"/>
    <n v="65"/>
    <n v="84"/>
  </r>
  <r>
    <x v="353"/>
    <s v="C4596"/>
    <d v="2020-04-27T00:00:00"/>
    <d v="2022-02-09T00:00:00"/>
    <x v="2"/>
    <s v="Asia"/>
    <s v="India"/>
    <s v="Cape Town"/>
    <s v="P92254"/>
    <s v="Electronics"/>
    <s v="Shirt"/>
    <s v="Product_7716"/>
    <n v="48.83"/>
    <n v="66"/>
    <s v="S399"/>
    <s v="Epsilon LLC"/>
    <s v="W14"/>
    <x v="3"/>
    <s v="BlueDart"/>
    <s v="Mumbai-Toronto"/>
    <n v="2438"/>
    <n v="328"/>
    <n v="26"/>
    <n v="221.8"/>
    <n v="311.77999999999997"/>
    <n v="533.57999999999993"/>
    <x v="1"/>
    <n v="0"/>
    <n v="75.98"/>
    <n v="110"/>
    <n v="69"/>
  </r>
  <r>
    <x v="354"/>
    <s v="C3227"/>
    <d v="2023-07-03T00:00:00"/>
    <d v="2020-09-03T00:00:00"/>
    <x v="1"/>
    <s v="South America"/>
    <s v="Brazil"/>
    <s v="London"/>
    <s v="P95637"/>
    <s v="Food"/>
    <s v="Medicines"/>
    <s v="Product_3825"/>
    <n v="106.09"/>
    <n v="74"/>
    <s v="S998"/>
    <s v="Beta Ltd"/>
    <s v="W13"/>
    <x v="1"/>
    <s v="Maersk"/>
    <s v="São Paulo-New York"/>
    <n v="3171"/>
    <n v="71"/>
    <n v="11"/>
    <n v="1975.47"/>
    <n v="265.37"/>
    <n v="2240.84"/>
    <x v="1"/>
    <n v="0"/>
    <n v="86.6"/>
    <n v="388"/>
    <n v="363"/>
  </r>
  <r>
    <x v="355"/>
    <s v="C8534"/>
    <d v="2023-01-04T00:00:00"/>
    <d v="2022-08-02T00:00:00"/>
    <x v="2"/>
    <s v="Africa"/>
    <s v="UK"/>
    <s v="Berlin"/>
    <s v="P50007"/>
    <s v="Pharma"/>
    <s v="Snacks"/>
    <s v="Product_3001"/>
    <n v="258.41000000000003"/>
    <n v="76"/>
    <s v="S878"/>
    <s v="Gamma Inc"/>
    <s v="W20"/>
    <x v="1"/>
    <s v="BlueDart"/>
    <s v="Cape Town-São Paulo"/>
    <n v="1113"/>
    <n v="284"/>
    <n v="2"/>
    <n v="1828.76"/>
    <n v="60.18"/>
    <n v="1888.94"/>
    <x v="0"/>
    <n v="1"/>
    <n v="81.41"/>
    <n v="181"/>
    <n v="166"/>
  </r>
  <r>
    <x v="356"/>
    <s v="C9707"/>
    <d v="2021-01-27T00:00:00"/>
    <d v="2022-06-03T00:00:00"/>
    <x v="2"/>
    <s v="Africa"/>
    <s v="South Africa"/>
    <s v="Berlin"/>
    <s v="P54081"/>
    <s v="Food"/>
    <s v="Medicines"/>
    <s v="Product_4292"/>
    <n v="360.32"/>
    <n v="5"/>
    <s v="S470"/>
    <s v="Gamma Inc"/>
    <s v="W48"/>
    <x v="3"/>
    <s v="FedEx"/>
    <s v="Beijing-Beijing"/>
    <n v="4861"/>
    <n v="67"/>
    <n v="2"/>
    <n v="985.14"/>
    <n v="113.09"/>
    <n v="1098.23"/>
    <x v="1"/>
    <n v="0"/>
    <n v="78.25"/>
    <n v="386"/>
    <n v="424"/>
  </r>
  <r>
    <x v="357"/>
    <s v="C7403"/>
    <d v="2024-12-26T00:00:00"/>
    <d v="2021-10-31T00:00:00"/>
    <x v="2"/>
    <s v="Asia"/>
    <s v="India"/>
    <s v="São Paulo"/>
    <s v="P98975"/>
    <s v="Food"/>
    <s v="Shirt"/>
    <s v="Product_7930"/>
    <n v="30.84"/>
    <n v="68"/>
    <s v="S948"/>
    <s v="Gamma Inc"/>
    <s v="W26"/>
    <x v="3"/>
    <s v="FedEx"/>
    <s v="Cape Town-Berlin"/>
    <n v="2793"/>
    <n v="253"/>
    <n v="5"/>
    <n v="206.88"/>
    <n v="462.69"/>
    <n v="669.56999999999994"/>
    <x v="1"/>
    <n v="0"/>
    <n v="93.75"/>
    <n v="286"/>
    <n v="262"/>
  </r>
  <r>
    <x v="358"/>
    <s v="C6021"/>
    <d v="2023-01-30T00:00:00"/>
    <d v="2022-08-01T00:00:00"/>
    <x v="1"/>
    <s v="North America"/>
    <s v="UK"/>
    <s v="Beijing"/>
    <s v="P11770"/>
    <s v="Furniture"/>
    <s v="Snacks"/>
    <s v="Product_9382"/>
    <n v="242.6"/>
    <n v="86"/>
    <s v="S381"/>
    <s v="Delta Traders"/>
    <s v="W32"/>
    <x v="1"/>
    <s v="BlueDart"/>
    <s v="Beijing-Beijing"/>
    <n v="2937"/>
    <n v="216"/>
    <n v="23"/>
    <n v="526.51"/>
    <n v="176.92"/>
    <n v="703.43"/>
    <x v="1"/>
    <n v="0"/>
    <n v="81.239999999999995"/>
    <n v="74"/>
    <n v="76"/>
  </r>
  <r>
    <x v="359"/>
    <s v="C4312"/>
    <d v="2020-01-06T00:00:00"/>
    <d v="2021-07-03T00:00:00"/>
    <x v="2"/>
    <s v="Africa"/>
    <s v="South Africa"/>
    <s v="New York"/>
    <s v="P52603"/>
    <s v="Apparel"/>
    <s v="Medicines"/>
    <s v="Product_1587"/>
    <n v="27.11"/>
    <n v="98"/>
    <s v="S320"/>
    <s v="Delta Traders"/>
    <s v="W9"/>
    <x v="2"/>
    <s v="Maersk"/>
    <s v="Cape Town-Beijing"/>
    <n v="4323"/>
    <n v="430"/>
    <n v="25"/>
    <n v="470.01"/>
    <n v="74.89"/>
    <n v="544.9"/>
    <x v="1"/>
    <n v="0"/>
    <n v="92.17"/>
    <n v="139"/>
    <n v="149"/>
  </r>
  <r>
    <x v="360"/>
    <s v="C2551"/>
    <d v="2022-04-02T00:00:00"/>
    <d v="2020-06-24T00:00:00"/>
    <x v="2"/>
    <s v="Africa"/>
    <s v="USA"/>
    <s v="London"/>
    <s v="P42304"/>
    <s v="Furniture"/>
    <s v="Chair"/>
    <s v="Product_7439"/>
    <n v="32.19"/>
    <n v="89"/>
    <s v="S339"/>
    <s v="Gamma Inc"/>
    <s v="W12"/>
    <x v="2"/>
    <s v="DHL"/>
    <s v="New York-São Paulo"/>
    <n v="4336"/>
    <n v="235"/>
    <n v="25"/>
    <n v="950.02"/>
    <n v="146.97"/>
    <n v="1096.99"/>
    <x v="1"/>
    <n v="0"/>
    <n v="75.56"/>
    <n v="468"/>
    <n v="497"/>
  </r>
  <r>
    <x v="361"/>
    <s v="C8790"/>
    <d v="2024-07-01T00:00:00"/>
    <d v="2021-10-23T00:00:00"/>
    <x v="2"/>
    <s v="South America"/>
    <s v="South Africa"/>
    <s v="New York"/>
    <s v="P93560"/>
    <s v="Electronics"/>
    <s v="Snacks"/>
    <s v="Product_5801"/>
    <n v="331.21"/>
    <n v="51"/>
    <s v="S860"/>
    <s v="Delta Traders"/>
    <s v="W26"/>
    <x v="2"/>
    <s v="DHL"/>
    <s v="London-London"/>
    <n v="1762"/>
    <n v="425"/>
    <n v="19"/>
    <n v="659.16"/>
    <n v="39.67"/>
    <n v="698.82999999999993"/>
    <x v="1"/>
    <n v="0"/>
    <n v="89.12"/>
    <n v="201"/>
    <n v="174"/>
  </r>
  <r>
    <x v="362"/>
    <s v="C6564"/>
    <d v="2024-05-11T00:00:00"/>
    <d v="2020-11-22T00:00:00"/>
    <x v="1"/>
    <s v="South America"/>
    <s v="USA"/>
    <s v="Mumbai"/>
    <s v="P86569"/>
    <s v="Electronics"/>
    <s v="Laptop"/>
    <s v="Product_7018"/>
    <n v="341.44"/>
    <n v="85"/>
    <s v="S458"/>
    <s v="Gamma Inc"/>
    <s v="W21"/>
    <x v="1"/>
    <s v="Maersk"/>
    <s v="New York-London"/>
    <n v="2378"/>
    <n v="381"/>
    <n v="2"/>
    <n v="721.77"/>
    <n v="104.74"/>
    <n v="826.51"/>
    <x v="1"/>
    <n v="0"/>
    <n v="75.06"/>
    <n v="314"/>
    <n v="281"/>
  </r>
  <r>
    <x v="363"/>
    <s v="C4910"/>
    <d v="2021-06-10T00:00:00"/>
    <d v="2022-09-22T00:00:00"/>
    <x v="1"/>
    <s v="South America"/>
    <s v="USA"/>
    <s v="London"/>
    <s v="P95209"/>
    <s v="Pharma"/>
    <s v="Shirt"/>
    <s v="Product_7113"/>
    <n v="28.32"/>
    <n v="85"/>
    <s v="S138"/>
    <s v="Epsilon LLC"/>
    <s v="W20"/>
    <x v="2"/>
    <s v="DHL"/>
    <s v="Toronto-São Paulo"/>
    <n v="3614"/>
    <n v="280"/>
    <n v="18"/>
    <n v="1563.99"/>
    <n v="434.44"/>
    <n v="1998.43"/>
    <x v="1"/>
    <n v="0"/>
    <n v="88.47"/>
    <n v="141"/>
    <n v="111"/>
  </r>
  <r>
    <x v="364"/>
    <s v="C1247"/>
    <d v="2024-05-06T00:00:00"/>
    <d v="2024-06-18T00:00:00"/>
    <x v="2"/>
    <s v="Africa"/>
    <s v="Brazil"/>
    <s v="Beijing"/>
    <s v="P85423"/>
    <s v="Apparel"/>
    <s v="Chair"/>
    <s v="Product_9142"/>
    <n v="144.21"/>
    <n v="29"/>
    <s v="S468"/>
    <s v="Gamma Inc"/>
    <s v="W48"/>
    <x v="2"/>
    <s v="Maersk"/>
    <s v="New York-Cape Town"/>
    <n v="3801"/>
    <n v="120"/>
    <n v="11"/>
    <n v="848.56"/>
    <n v="237.86"/>
    <n v="1086.42"/>
    <x v="1"/>
    <n v="0"/>
    <n v="80.150000000000006"/>
    <n v="287"/>
    <n v="304"/>
  </r>
  <r>
    <x v="365"/>
    <s v="C5516"/>
    <d v="2022-08-29T00:00:00"/>
    <d v="2024-06-09T00:00:00"/>
    <x v="2"/>
    <s v="Asia"/>
    <s v="Germany"/>
    <s v="Berlin"/>
    <s v="P87320"/>
    <s v="Pharma"/>
    <s v="Chair"/>
    <s v="Product_1369"/>
    <n v="112.22"/>
    <n v="40"/>
    <s v="S672"/>
    <s v="Gamma Inc"/>
    <s v="W49"/>
    <x v="0"/>
    <s v="DHL"/>
    <s v="Cape Town-New York"/>
    <n v="2660"/>
    <n v="162"/>
    <n v="10"/>
    <n v="1977.08"/>
    <n v="344.52"/>
    <n v="2321.6"/>
    <x v="1"/>
    <n v="0"/>
    <n v="79.59"/>
    <n v="59"/>
    <n v="107"/>
  </r>
  <r>
    <x v="366"/>
    <s v="C3199"/>
    <d v="2020-07-09T00:00:00"/>
    <d v="2022-05-03T00:00:00"/>
    <x v="2"/>
    <s v="South America"/>
    <s v="South Africa"/>
    <s v="Berlin"/>
    <s v="P29872"/>
    <s v="Pharma"/>
    <s v="Shirt"/>
    <s v="Product_5165"/>
    <n v="463.92"/>
    <n v="49"/>
    <s v="S441"/>
    <s v="Beta Ltd"/>
    <s v="W32"/>
    <x v="0"/>
    <s v="FedEx"/>
    <s v="Beijing-Beijing"/>
    <n v="1593"/>
    <n v="289"/>
    <n v="19"/>
    <n v="1354.2"/>
    <n v="137.9"/>
    <n v="1492.1"/>
    <x v="1"/>
    <n v="0"/>
    <n v="96.08"/>
    <n v="188"/>
    <n v="223"/>
  </r>
  <r>
    <x v="367"/>
    <s v="C5149"/>
    <d v="2023-12-05T00:00:00"/>
    <d v="2023-05-09T00:00:00"/>
    <x v="1"/>
    <s v="Europe"/>
    <s v="Canada"/>
    <s v="Toronto"/>
    <s v="P20072"/>
    <s v="Electronics"/>
    <s v="Laptop"/>
    <s v="Product_1054"/>
    <n v="443.86"/>
    <n v="64"/>
    <s v="S620"/>
    <s v="Epsilon LLC"/>
    <s v="W22"/>
    <x v="1"/>
    <s v="Maersk"/>
    <s v="Mumbai-Berlin"/>
    <n v="3467"/>
    <n v="331"/>
    <n v="5"/>
    <n v="391.01"/>
    <n v="225.14"/>
    <n v="616.15"/>
    <x v="1"/>
    <n v="0"/>
    <n v="75.83"/>
    <n v="266"/>
    <n v="283"/>
  </r>
  <r>
    <x v="368"/>
    <s v="C9783"/>
    <d v="2023-04-10T00:00:00"/>
    <d v="2020-11-18T00:00:00"/>
    <x v="2"/>
    <s v="Africa"/>
    <s v="USA"/>
    <s v="São Paulo"/>
    <s v="P28830"/>
    <s v="Food"/>
    <s v="Medicines"/>
    <s v="Product_6087"/>
    <n v="293.23"/>
    <n v="2"/>
    <s v="S857"/>
    <s v="Beta Ltd"/>
    <s v="W29"/>
    <x v="1"/>
    <s v="DHL"/>
    <s v="Beijing-Beijing"/>
    <n v="2393"/>
    <n v="460"/>
    <n v="10"/>
    <n v="274.01"/>
    <n v="174.73"/>
    <n v="448.74"/>
    <x v="1"/>
    <n v="0"/>
    <n v="82.81"/>
    <n v="344"/>
    <n v="310"/>
  </r>
  <r>
    <x v="369"/>
    <s v="C7887"/>
    <d v="2024-04-06T00:00:00"/>
    <d v="2024-04-17T00:00:00"/>
    <x v="1"/>
    <s v="Asia"/>
    <s v="India"/>
    <s v="London"/>
    <s v="P91077"/>
    <s v="Furniture"/>
    <s v="Medicines"/>
    <s v="Product_3800"/>
    <n v="94.35"/>
    <n v="92"/>
    <s v="S652"/>
    <s v="Delta Traders"/>
    <s v="W47"/>
    <x v="1"/>
    <s v="Maersk"/>
    <s v="Berlin-São Paulo"/>
    <n v="858"/>
    <n v="121"/>
    <n v="6"/>
    <n v="1472.42"/>
    <n v="311.47000000000003"/>
    <n v="1783.89"/>
    <x v="1"/>
    <n v="0"/>
    <n v="72.52"/>
    <n v="354"/>
    <n v="354"/>
  </r>
  <r>
    <x v="370"/>
    <s v="C1401"/>
    <d v="2023-11-12T00:00:00"/>
    <d v="2023-10-16T00:00:00"/>
    <x v="1"/>
    <s v="North America"/>
    <s v="Brazil"/>
    <s v="New York"/>
    <s v="P94477"/>
    <s v="Apparel"/>
    <s v="Chair"/>
    <s v="Product_5308"/>
    <n v="41.98"/>
    <n v="40"/>
    <s v="S392"/>
    <s v="Beta Ltd"/>
    <s v="W24"/>
    <x v="3"/>
    <s v="BlueDart"/>
    <s v="Mumbai-Toronto"/>
    <n v="4676"/>
    <n v="131"/>
    <n v="26"/>
    <n v="497.87"/>
    <n v="15.92"/>
    <n v="513.79"/>
    <x v="1"/>
    <n v="0"/>
    <n v="85.3"/>
    <n v="262"/>
    <n v="295"/>
  </r>
  <r>
    <x v="371"/>
    <s v="C2694"/>
    <d v="2024-02-24T00:00:00"/>
    <d v="2021-09-11T00:00:00"/>
    <x v="2"/>
    <s v="South America"/>
    <s v="South Africa"/>
    <s v="Mumbai"/>
    <s v="P40646"/>
    <s v="Furniture"/>
    <s v="Laptop"/>
    <s v="Product_3132"/>
    <n v="360.43"/>
    <n v="56"/>
    <s v="S695"/>
    <s v="Epsilon LLC"/>
    <s v="W26"/>
    <x v="0"/>
    <s v="UPS"/>
    <s v="Mumbai-São Paulo"/>
    <n v="4179"/>
    <n v="174"/>
    <n v="14"/>
    <n v="1829.78"/>
    <n v="81.69"/>
    <n v="1911.47"/>
    <x v="0"/>
    <n v="5"/>
    <n v="91.73"/>
    <n v="228"/>
    <n v="191"/>
  </r>
  <r>
    <x v="372"/>
    <s v="C5585"/>
    <d v="2020-08-09T00:00:00"/>
    <d v="2024-07-28T00:00:00"/>
    <x v="2"/>
    <s v="Asia"/>
    <s v="Germany"/>
    <s v="Berlin"/>
    <s v="P49742"/>
    <s v="Electronics"/>
    <s v="Laptop"/>
    <s v="Product_2208"/>
    <n v="357.7"/>
    <n v="10"/>
    <s v="S468"/>
    <s v="Epsilon LLC"/>
    <s v="W16"/>
    <x v="0"/>
    <s v="DHL"/>
    <s v="Beijing-São Paulo"/>
    <n v="1610"/>
    <n v="372"/>
    <n v="2"/>
    <n v="1345.21"/>
    <n v="18.16"/>
    <n v="1363.37"/>
    <x v="1"/>
    <n v="0"/>
    <n v="73.349999999999994"/>
    <n v="339"/>
    <n v="363"/>
  </r>
  <r>
    <x v="373"/>
    <s v="C6553"/>
    <d v="2021-04-23T00:00:00"/>
    <d v="2024-06-28T00:00:00"/>
    <x v="1"/>
    <s v="North America"/>
    <s v="India"/>
    <s v="Mumbai"/>
    <s v="P67356"/>
    <s v="Food"/>
    <s v="Laptop"/>
    <s v="Product_6146"/>
    <n v="305.52999999999997"/>
    <n v="59"/>
    <s v="S567"/>
    <s v="Alpha Corp"/>
    <s v="W2"/>
    <x v="2"/>
    <s v="UPS"/>
    <s v="Cape Town-Mumbai"/>
    <n v="2110"/>
    <n v="215"/>
    <n v="9"/>
    <n v="1341.13"/>
    <n v="460.44"/>
    <n v="1801.57"/>
    <x v="1"/>
    <n v="0"/>
    <n v="97.05"/>
    <n v="95"/>
    <n v="136"/>
  </r>
  <r>
    <x v="374"/>
    <s v="C6375"/>
    <d v="2024-06-21T00:00:00"/>
    <d v="2022-01-08T00:00:00"/>
    <x v="2"/>
    <s v="Africa"/>
    <s v="UK"/>
    <s v="São Paulo"/>
    <s v="P53857"/>
    <s v="Furniture"/>
    <s v="Medicines"/>
    <s v="Product_1155"/>
    <n v="372"/>
    <n v="44"/>
    <s v="S740"/>
    <s v="Delta Traders"/>
    <s v="W9"/>
    <x v="0"/>
    <s v="UPS"/>
    <s v="Beijing-New York"/>
    <n v="94"/>
    <n v="71"/>
    <n v="7"/>
    <n v="1934.59"/>
    <n v="211.21"/>
    <n v="2145.8000000000002"/>
    <x v="0"/>
    <n v="1"/>
    <n v="75.06"/>
    <n v="74"/>
    <n v="120"/>
  </r>
  <r>
    <x v="375"/>
    <s v="C2677"/>
    <d v="2024-11-30T00:00:00"/>
    <d v="2024-10-18T00:00:00"/>
    <x v="1"/>
    <s v="North America"/>
    <s v="Canada"/>
    <s v="New York"/>
    <s v="P67463"/>
    <s v="Pharma"/>
    <s v="Shirt"/>
    <s v="Product_7035"/>
    <n v="115.44"/>
    <n v="71"/>
    <s v="S804"/>
    <s v="Beta Ltd"/>
    <s v="W9"/>
    <x v="1"/>
    <s v="Maersk"/>
    <s v="São Paulo-New York"/>
    <n v="1059"/>
    <n v="390"/>
    <n v="3"/>
    <n v="942.64"/>
    <n v="218.7"/>
    <n v="1161.3399999999999"/>
    <x v="1"/>
    <n v="0"/>
    <n v="87.53"/>
    <n v="227"/>
    <n v="263"/>
  </r>
  <r>
    <x v="376"/>
    <s v="C3760"/>
    <d v="2022-10-25T00:00:00"/>
    <d v="2022-05-08T00:00:00"/>
    <x v="2"/>
    <s v="Africa"/>
    <s v="Brazil"/>
    <s v="New York"/>
    <s v="P71478"/>
    <s v="Food"/>
    <s v="Chair"/>
    <s v="Product_8685"/>
    <n v="422.22"/>
    <n v="37"/>
    <s v="S297"/>
    <s v="Beta Ltd"/>
    <s v="W1"/>
    <x v="2"/>
    <s v="FedEx"/>
    <s v="Toronto-Mumbai"/>
    <n v="3462"/>
    <n v="236"/>
    <n v="8"/>
    <n v="1315.39"/>
    <n v="105.6"/>
    <n v="1420.99"/>
    <x v="1"/>
    <n v="0"/>
    <n v="79.31"/>
    <n v="113"/>
    <n v="99"/>
  </r>
  <r>
    <x v="377"/>
    <s v="C3869"/>
    <d v="2020-11-14T00:00:00"/>
    <d v="2020-07-19T00:00:00"/>
    <x v="2"/>
    <s v="Asia"/>
    <s v="China"/>
    <s v="Mumbai"/>
    <s v="P42115"/>
    <s v="Apparel"/>
    <s v="Chair"/>
    <s v="Product_5226"/>
    <n v="400.41"/>
    <n v="84"/>
    <s v="S897"/>
    <s v="Alpha Corp"/>
    <s v="W2"/>
    <x v="2"/>
    <s v="BlueDart"/>
    <s v="Toronto-Cape Town"/>
    <n v="537"/>
    <n v="409"/>
    <n v="25"/>
    <n v="525.48"/>
    <n v="352.82"/>
    <n v="878.3"/>
    <x v="1"/>
    <n v="0"/>
    <n v="83.23"/>
    <n v="109"/>
    <n v="101"/>
  </r>
  <r>
    <x v="378"/>
    <s v="C2973"/>
    <d v="2023-08-22T00:00:00"/>
    <d v="2022-02-20T00:00:00"/>
    <x v="1"/>
    <s v="Europe"/>
    <s v="South Africa"/>
    <s v="São Paulo"/>
    <s v="P27286"/>
    <s v="Pharma"/>
    <s v="Medicines"/>
    <s v="Product_2885"/>
    <n v="215.08"/>
    <n v="93"/>
    <s v="S777"/>
    <s v="Beta Ltd"/>
    <s v="W26"/>
    <x v="2"/>
    <s v="DHL"/>
    <s v="Toronto-São Paulo"/>
    <n v="17"/>
    <n v="119"/>
    <n v="19"/>
    <n v="1877.46"/>
    <n v="322.63"/>
    <n v="2200.09"/>
    <x v="1"/>
    <n v="0"/>
    <n v="73.81"/>
    <n v="151"/>
    <n v="159"/>
  </r>
  <r>
    <x v="379"/>
    <s v="C8727"/>
    <d v="2024-02-11T00:00:00"/>
    <d v="2024-10-18T00:00:00"/>
    <x v="2"/>
    <s v="Europe"/>
    <s v="South Africa"/>
    <s v="São Paulo"/>
    <s v="P58919"/>
    <s v="Electronics"/>
    <s v="Laptop"/>
    <s v="Product_5662"/>
    <n v="175.96"/>
    <n v="83"/>
    <s v="S394"/>
    <s v="Delta Traders"/>
    <s v="W17"/>
    <x v="2"/>
    <s v="Maersk"/>
    <s v="New York-London"/>
    <n v="3980"/>
    <n v="237"/>
    <n v="27"/>
    <n v="89.56"/>
    <n v="350.76"/>
    <n v="440.32"/>
    <x v="1"/>
    <n v="0"/>
    <n v="74.19"/>
    <n v="61"/>
    <n v="44"/>
  </r>
  <r>
    <x v="380"/>
    <s v="C7570"/>
    <d v="2020-02-29T00:00:00"/>
    <d v="2022-12-08T00:00:00"/>
    <x v="2"/>
    <s v="Asia"/>
    <s v="USA"/>
    <s v="Berlin"/>
    <s v="P20724"/>
    <s v="Pharma"/>
    <s v="Laptop"/>
    <s v="Product_7107"/>
    <n v="205.67"/>
    <n v="58"/>
    <s v="S751"/>
    <s v="Beta Ltd"/>
    <s v="W20"/>
    <x v="3"/>
    <s v="DHL"/>
    <s v="Toronto-London"/>
    <n v="3480"/>
    <n v="163"/>
    <n v="18"/>
    <n v="810.79"/>
    <n v="445.4"/>
    <n v="1256.19"/>
    <x v="1"/>
    <n v="0"/>
    <n v="85.54"/>
    <n v="320"/>
    <n v="365"/>
  </r>
  <r>
    <x v="381"/>
    <s v="C6714"/>
    <d v="2024-06-27T00:00:00"/>
    <d v="2022-03-09T00:00:00"/>
    <x v="0"/>
    <s v="South America"/>
    <s v="Brazil"/>
    <s v="London"/>
    <s v="P67234"/>
    <s v="Electronics"/>
    <s v="Medicines"/>
    <s v="Product_6659"/>
    <n v="403.76"/>
    <n v="66"/>
    <s v="S189"/>
    <s v="Epsilon LLC"/>
    <s v="W18"/>
    <x v="0"/>
    <s v="Maersk"/>
    <s v="Mumbai-Berlin"/>
    <n v="4581"/>
    <n v="469"/>
    <n v="4"/>
    <n v="1630.77"/>
    <n v="102.36"/>
    <n v="1733.13"/>
    <x v="1"/>
    <n v="0"/>
    <n v="72.81"/>
    <n v="125"/>
    <n v="90"/>
  </r>
  <r>
    <x v="382"/>
    <s v="C5663"/>
    <d v="2020-06-27T00:00:00"/>
    <d v="2024-04-24T00:00:00"/>
    <x v="0"/>
    <s v="Asia"/>
    <s v="South Africa"/>
    <s v="Mumbai"/>
    <s v="P91578"/>
    <s v="Electronics"/>
    <s v="Laptop"/>
    <s v="Product_4942"/>
    <n v="255.68"/>
    <n v="72"/>
    <s v="S273"/>
    <s v="Gamma Inc"/>
    <s v="W40"/>
    <x v="2"/>
    <s v="Maersk"/>
    <s v="Berlin-New York"/>
    <n v="1394"/>
    <n v="417"/>
    <n v="25"/>
    <n v="561.62"/>
    <n v="12.49"/>
    <n v="574.11"/>
    <x v="1"/>
    <n v="0"/>
    <n v="80.92"/>
    <n v="438"/>
    <n v="396"/>
  </r>
  <r>
    <x v="383"/>
    <s v="C8597"/>
    <d v="2021-12-04T00:00:00"/>
    <d v="2020-04-01T00:00:00"/>
    <x v="1"/>
    <s v="North America"/>
    <s v="UK"/>
    <s v="Toronto"/>
    <s v="P17621"/>
    <s v="Pharma"/>
    <s v="Snacks"/>
    <s v="Product_8142"/>
    <n v="24.56"/>
    <n v="30"/>
    <s v="S513"/>
    <s v="Epsilon LLC"/>
    <s v="W48"/>
    <x v="0"/>
    <s v="FedEx"/>
    <s v="Berlin-São Paulo"/>
    <n v="3695"/>
    <n v="257"/>
    <n v="10"/>
    <n v="1418.31"/>
    <n v="82.6"/>
    <n v="1500.91"/>
    <x v="1"/>
    <n v="0"/>
    <n v="74.2"/>
    <n v="326"/>
    <n v="304"/>
  </r>
  <r>
    <x v="384"/>
    <s v="C7939"/>
    <d v="2022-11-20T00:00:00"/>
    <d v="2023-12-03T00:00:00"/>
    <x v="2"/>
    <s v="Europe"/>
    <s v="China"/>
    <s v="São Paulo"/>
    <s v="P35020"/>
    <s v="Pharma"/>
    <s v="Chair"/>
    <s v="Product_2610"/>
    <n v="464.3"/>
    <n v="79"/>
    <s v="S661"/>
    <s v="Alpha Corp"/>
    <s v="W1"/>
    <x v="0"/>
    <s v="FedEx"/>
    <s v="London-London"/>
    <n v="136"/>
    <n v="444"/>
    <n v="14"/>
    <n v="826.12"/>
    <n v="348.32"/>
    <n v="1174.44"/>
    <x v="1"/>
    <n v="0"/>
    <n v="88.97"/>
    <n v="156"/>
    <n v="185"/>
  </r>
  <r>
    <x v="385"/>
    <s v="C8056"/>
    <d v="2022-09-24T00:00:00"/>
    <d v="2024-11-10T00:00:00"/>
    <x v="2"/>
    <s v="North America"/>
    <s v="South Africa"/>
    <s v="Toronto"/>
    <s v="P39221"/>
    <s v="Electronics"/>
    <s v="Snacks"/>
    <s v="Product_1184"/>
    <n v="316.83"/>
    <n v="7"/>
    <s v="S548"/>
    <s v="Epsilon LLC"/>
    <s v="W22"/>
    <x v="0"/>
    <s v="FedEx"/>
    <s v="Mumbai-Toronto"/>
    <n v="1869"/>
    <n v="62"/>
    <n v="3"/>
    <n v="1286.95"/>
    <n v="335.69"/>
    <n v="1622.64"/>
    <x v="1"/>
    <n v="0"/>
    <n v="70.34"/>
    <n v="378"/>
    <n v="363"/>
  </r>
  <r>
    <x v="386"/>
    <s v="C2380"/>
    <d v="2023-09-05T00:00:00"/>
    <d v="2025-01-07T00:00:00"/>
    <x v="1"/>
    <s v="South America"/>
    <s v="USA"/>
    <s v="Cape Town"/>
    <s v="P22187"/>
    <s v="Furniture"/>
    <s v="Laptop"/>
    <s v="Product_9095"/>
    <n v="93.91"/>
    <n v="37"/>
    <s v="S971"/>
    <s v="Epsilon LLC"/>
    <s v="W41"/>
    <x v="0"/>
    <s v="Maersk"/>
    <s v="Berlin-New York"/>
    <n v="2136"/>
    <n v="74"/>
    <n v="7"/>
    <n v="1151.6600000000001"/>
    <n v="467.98"/>
    <n v="1619.64"/>
    <x v="1"/>
    <n v="0"/>
    <n v="82.39"/>
    <n v="233"/>
    <n v="266"/>
  </r>
  <r>
    <x v="387"/>
    <s v="C9907"/>
    <d v="2023-09-01T00:00:00"/>
    <d v="2023-04-21T00:00:00"/>
    <x v="2"/>
    <s v="North America"/>
    <s v="Brazil"/>
    <s v="Cape Town"/>
    <s v="P46746"/>
    <s v="Pharma"/>
    <s v="Chair"/>
    <s v="Product_9405"/>
    <n v="262.88"/>
    <n v="80"/>
    <s v="S775"/>
    <s v="Alpha Corp"/>
    <s v="W22"/>
    <x v="3"/>
    <s v="FedEx"/>
    <s v="Berlin-London"/>
    <n v="697"/>
    <n v="134"/>
    <n v="22"/>
    <n v="1368.62"/>
    <n v="77.27"/>
    <n v="1445.89"/>
    <x v="1"/>
    <n v="0"/>
    <n v="88.81"/>
    <n v="247"/>
    <n v="247"/>
  </r>
  <r>
    <x v="388"/>
    <s v="C2155"/>
    <d v="2024-05-23T00:00:00"/>
    <d v="2020-02-10T00:00:00"/>
    <x v="0"/>
    <s v="Asia"/>
    <s v="USA"/>
    <s v="Berlin"/>
    <s v="P71148"/>
    <s v="Furniture"/>
    <s v="Snacks"/>
    <s v="Product_5717"/>
    <n v="312.11"/>
    <n v="34"/>
    <s v="S565"/>
    <s v="Gamma Inc"/>
    <s v="W39"/>
    <x v="1"/>
    <s v="BlueDart"/>
    <s v="London-New York"/>
    <n v="3990"/>
    <n v="473"/>
    <n v="11"/>
    <n v="1875.33"/>
    <n v="401.93"/>
    <n v="2277.2600000000002"/>
    <x v="1"/>
    <n v="0"/>
    <n v="96.24"/>
    <n v="402"/>
    <n v="418"/>
  </r>
  <r>
    <x v="389"/>
    <s v="C8969"/>
    <d v="2020-04-15T00:00:00"/>
    <d v="2021-05-20T00:00:00"/>
    <x v="2"/>
    <s v="North America"/>
    <s v="China"/>
    <s v="Berlin"/>
    <s v="P69504"/>
    <s v="Electronics"/>
    <s v="Shirt"/>
    <s v="Product_3505"/>
    <n v="391.95"/>
    <n v="46"/>
    <s v="S975"/>
    <s v="Alpha Corp"/>
    <s v="W7"/>
    <x v="1"/>
    <s v="FedEx"/>
    <s v="Berlin-London"/>
    <n v="1302"/>
    <n v="164"/>
    <n v="17"/>
    <n v="106.4"/>
    <n v="455.07"/>
    <n v="561.47"/>
    <x v="0"/>
    <n v="10"/>
    <n v="90"/>
    <n v="485"/>
    <n v="526"/>
  </r>
  <r>
    <x v="390"/>
    <s v="C8045"/>
    <d v="2023-10-16T00:00:00"/>
    <d v="2020-05-14T00:00:00"/>
    <x v="2"/>
    <s v="Europe"/>
    <s v="India"/>
    <s v="Toronto"/>
    <s v="P48356"/>
    <s v="Furniture"/>
    <s v="Medicines"/>
    <s v="Product_5174"/>
    <n v="11.44"/>
    <n v="74"/>
    <s v="S387"/>
    <s v="Delta Traders"/>
    <s v="W42"/>
    <x v="2"/>
    <s v="FedEx"/>
    <s v="New York-Cape Town"/>
    <n v="594"/>
    <n v="232"/>
    <n v="21"/>
    <n v="1529.63"/>
    <n v="431.87"/>
    <n v="1961.5"/>
    <x v="1"/>
    <n v="0"/>
    <n v="86.38"/>
    <n v="117"/>
    <n v="139"/>
  </r>
  <r>
    <x v="391"/>
    <s v="C5359"/>
    <d v="2024-04-19T00:00:00"/>
    <d v="2024-08-15T00:00:00"/>
    <x v="1"/>
    <s v="North America"/>
    <s v="China"/>
    <s v="Cape Town"/>
    <s v="P72229"/>
    <s v="Pharma"/>
    <s v="Shirt"/>
    <s v="Product_5916"/>
    <n v="167.06"/>
    <n v="89"/>
    <s v="S910"/>
    <s v="Alpha Corp"/>
    <s v="W21"/>
    <x v="3"/>
    <s v="BlueDart"/>
    <s v="Berlin-Toronto"/>
    <n v="4407"/>
    <n v="191"/>
    <n v="10"/>
    <n v="1568.28"/>
    <n v="432.12"/>
    <n v="2000.4"/>
    <x v="1"/>
    <n v="0"/>
    <n v="93.03"/>
    <n v="452"/>
    <n v="411"/>
  </r>
  <r>
    <x v="392"/>
    <s v="C8293"/>
    <d v="2023-12-28T00:00:00"/>
    <d v="2023-08-21T00:00:00"/>
    <x v="2"/>
    <s v="Europe"/>
    <s v="Brazil"/>
    <s v="Toronto"/>
    <s v="P88046"/>
    <s v="Electronics"/>
    <s v="Snacks"/>
    <s v="Product_9917"/>
    <n v="392.17"/>
    <n v="51"/>
    <s v="S209"/>
    <s v="Epsilon LLC"/>
    <s v="W28"/>
    <x v="3"/>
    <s v="BlueDart"/>
    <s v="New York-Mumbai"/>
    <n v="65"/>
    <n v="373"/>
    <n v="1"/>
    <n v="1164.58"/>
    <n v="319.69"/>
    <n v="1484.27"/>
    <x v="1"/>
    <n v="0"/>
    <n v="91.91"/>
    <n v="263"/>
    <n v="222"/>
  </r>
  <r>
    <x v="393"/>
    <s v="C9716"/>
    <d v="2020-02-16T00:00:00"/>
    <d v="2020-08-22T00:00:00"/>
    <x v="2"/>
    <s v="Europe"/>
    <s v="China"/>
    <s v="Mumbai"/>
    <s v="P41816"/>
    <s v="Electronics"/>
    <s v="Snacks"/>
    <s v="Product_5877"/>
    <n v="344.2"/>
    <n v="43"/>
    <s v="S832"/>
    <s v="Alpha Corp"/>
    <s v="W14"/>
    <x v="3"/>
    <s v="DHL"/>
    <s v="Berlin-New York"/>
    <n v="3883"/>
    <n v="68"/>
    <n v="17"/>
    <n v="1465.92"/>
    <n v="34.4"/>
    <n v="1500.32"/>
    <x v="1"/>
    <n v="0"/>
    <n v="76.569999999999993"/>
    <n v="486"/>
    <n v="492"/>
  </r>
  <r>
    <x v="394"/>
    <s v="C4084"/>
    <d v="2021-06-07T00:00:00"/>
    <d v="2021-07-16T00:00:00"/>
    <x v="2"/>
    <s v="Asia"/>
    <s v="Germany"/>
    <s v="Berlin"/>
    <s v="P65470"/>
    <s v="Food"/>
    <s v="Medicines"/>
    <s v="Product_4999"/>
    <n v="207.24"/>
    <n v="97"/>
    <s v="S222"/>
    <s v="Gamma Inc"/>
    <s v="W43"/>
    <x v="0"/>
    <s v="FedEx"/>
    <s v="Beijing-São Paulo"/>
    <n v="2375"/>
    <n v="420"/>
    <n v="19"/>
    <n v="1241.01"/>
    <n v="277.16000000000003"/>
    <n v="1518.17"/>
    <x v="1"/>
    <n v="0"/>
    <n v="98.5"/>
    <n v="133"/>
    <n v="116"/>
  </r>
  <r>
    <x v="395"/>
    <s v="C9132"/>
    <d v="2023-04-23T00:00:00"/>
    <d v="2022-10-11T00:00:00"/>
    <x v="2"/>
    <s v="Asia"/>
    <s v="Brazil"/>
    <s v="Cape Town"/>
    <s v="P17672"/>
    <s v="Electronics"/>
    <s v="Medicines"/>
    <s v="Product_6067"/>
    <n v="303.32"/>
    <n v="35"/>
    <s v="S644"/>
    <s v="Alpha Corp"/>
    <s v="W44"/>
    <x v="3"/>
    <s v="UPS"/>
    <s v="Mumbai-Berlin"/>
    <n v="3671"/>
    <n v="490"/>
    <n v="2"/>
    <n v="832.16"/>
    <n v="417.15"/>
    <n v="1249.31"/>
    <x v="1"/>
    <n v="0"/>
    <n v="82.32"/>
    <n v="441"/>
    <n v="426"/>
  </r>
  <r>
    <x v="396"/>
    <s v="C4450"/>
    <d v="2022-01-08T00:00:00"/>
    <d v="2022-09-19T00:00:00"/>
    <x v="2"/>
    <s v="South America"/>
    <s v="Brazil"/>
    <s v="London"/>
    <s v="P31482"/>
    <s v="Apparel"/>
    <s v="Snacks"/>
    <s v="Product_3494"/>
    <n v="427.3"/>
    <n v="3"/>
    <s v="S219"/>
    <s v="Beta Ltd"/>
    <s v="W27"/>
    <x v="3"/>
    <s v="BlueDart"/>
    <s v="São Paulo-Toronto"/>
    <n v="1933"/>
    <n v="176"/>
    <n v="3"/>
    <n v="1504.9"/>
    <n v="198.57"/>
    <n v="1703.47"/>
    <x v="1"/>
    <n v="0"/>
    <n v="82.99"/>
    <n v="473"/>
    <n v="497"/>
  </r>
  <r>
    <x v="397"/>
    <s v="C9509"/>
    <d v="2022-01-27T00:00:00"/>
    <d v="2021-01-25T00:00:00"/>
    <x v="2"/>
    <s v="Asia"/>
    <s v="India"/>
    <s v="London"/>
    <s v="P74023"/>
    <s v="Electronics"/>
    <s v="Snacks"/>
    <s v="Product_8845"/>
    <n v="94.06"/>
    <n v="37"/>
    <s v="S623"/>
    <s v="Alpha Corp"/>
    <s v="W6"/>
    <x v="3"/>
    <s v="UPS"/>
    <s v="São Paulo-Beijing"/>
    <n v="1647"/>
    <n v="91"/>
    <n v="2"/>
    <n v="618.78"/>
    <n v="295.8"/>
    <n v="914.57999999999993"/>
    <x v="1"/>
    <n v="0"/>
    <n v="74.91"/>
    <n v="68"/>
    <n v="73"/>
  </r>
  <r>
    <x v="398"/>
    <s v="C1609"/>
    <d v="2024-10-06T00:00:00"/>
    <d v="2023-03-08T00:00:00"/>
    <x v="1"/>
    <s v="South America"/>
    <s v="South Africa"/>
    <s v="London"/>
    <s v="P61356"/>
    <s v="Apparel"/>
    <s v="Medicines"/>
    <s v="Product_3299"/>
    <n v="119.52"/>
    <n v="41"/>
    <s v="S900"/>
    <s v="Gamma Inc"/>
    <s v="W12"/>
    <x v="2"/>
    <s v="BlueDart"/>
    <s v="São Paulo-Toronto"/>
    <n v="1966"/>
    <n v="409"/>
    <n v="19"/>
    <n v="1409.39"/>
    <n v="23.83"/>
    <n v="1433.22"/>
    <x v="1"/>
    <n v="0"/>
    <n v="79.400000000000006"/>
    <n v="480"/>
    <n v="465"/>
  </r>
  <r>
    <x v="399"/>
    <s v="C7277"/>
    <d v="2022-03-16T00:00:00"/>
    <d v="2020-03-21T00:00:00"/>
    <x v="2"/>
    <s v="North America"/>
    <s v="USA"/>
    <s v="Berlin"/>
    <s v="P22100"/>
    <s v="Furniture"/>
    <s v="Snacks"/>
    <s v="Product_1032"/>
    <n v="280"/>
    <n v="44"/>
    <s v="S681"/>
    <s v="Delta Traders"/>
    <s v="W17"/>
    <x v="1"/>
    <s v="Maersk"/>
    <s v="Beijing-Beijing"/>
    <n v="1314"/>
    <n v="327"/>
    <n v="17"/>
    <n v="1260.53"/>
    <n v="42.88"/>
    <n v="1303.4100000000001"/>
    <x v="0"/>
    <n v="7"/>
    <n v="78.36"/>
    <n v="480"/>
    <n v="489"/>
  </r>
  <r>
    <x v="400"/>
    <s v="C2865"/>
    <d v="2021-10-05T00:00:00"/>
    <d v="2022-11-12T00:00:00"/>
    <x v="2"/>
    <s v="Africa"/>
    <s v="India"/>
    <s v="Cape Town"/>
    <s v="P46969"/>
    <s v="Food"/>
    <s v="Shirt"/>
    <s v="Product_6673"/>
    <n v="344.96"/>
    <n v="10"/>
    <s v="S855"/>
    <s v="Epsilon LLC"/>
    <s v="W11"/>
    <x v="2"/>
    <s v="FedEx"/>
    <s v="New York-Toronto"/>
    <n v="4508"/>
    <n v="190"/>
    <n v="28"/>
    <n v="798"/>
    <n v="423.51"/>
    <n v="1221.51"/>
    <x v="1"/>
    <n v="0"/>
    <n v="99.96"/>
    <n v="180"/>
    <n v="192"/>
  </r>
  <r>
    <x v="401"/>
    <s v="C5839"/>
    <d v="2022-02-04T00:00:00"/>
    <d v="2022-02-07T00:00:00"/>
    <x v="1"/>
    <s v="Asia"/>
    <s v="South Africa"/>
    <s v="London"/>
    <s v="P84220"/>
    <s v="Furniture"/>
    <s v="Snacks"/>
    <s v="Product_3528"/>
    <n v="499.5"/>
    <n v="48"/>
    <s v="S327"/>
    <s v="Gamma Inc"/>
    <s v="W33"/>
    <x v="3"/>
    <s v="UPS"/>
    <s v="São Paulo-Toronto"/>
    <n v="4381"/>
    <n v="440"/>
    <n v="17"/>
    <n v="1197.43"/>
    <n v="454.86"/>
    <n v="1652.29"/>
    <x v="1"/>
    <n v="0"/>
    <n v="81.88"/>
    <n v="268"/>
    <n v="252"/>
  </r>
  <r>
    <x v="402"/>
    <s v="C1940"/>
    <d v="2021-01-16T00:00:00"/>
    <d v="2022-08-18T00:00:00"/>
    <x v="2"/>
    <s v="North America"/>
    <s v="South Africa"/>
    <s v="Beijing"/>
    <s v="P32198"/>
    <s v="Furniture"/>
    <s v="Chair"/>
    <s v="Product_6725"/>
    <n v="273.02999999999997"/>
    <n v="71"/>
    <s v="S430"/>
    <s v="Delta Traders"/>
    <s v="W14"/>
    <x v="0"/>
    <s v="DHL"/>
    <s v="Mumbai-London"/>
    <n v="2445"/>
    <n v="478"/>
    <n v="6"/>
    <n v="1152.27"/>
    <n v="67.63"/>
    <n v="1219.9000000000001"/>
    <x v="1"/>
    <n v="0"/>
    <n v="92.26"/>
    <n v="459"/>
    <n v="492"/>
  </r>
  <r>
    <x v="403"/>
    <s v="C7562"/>
    <d v="2021-03-12T00:00:00"/>
    <d v="2024-06-04T00:00:00"/>
    <x v="1"/>
    <s v="North America"/>
    <s v="Germany"/>
    <s v="New York"/>
    <s v="P46449"/>
    <s v="Food"/>
    <s v="Laptop"/>
    <s v="Product_1497"/>
    <n v="353.47"/>
    <n v="2"/>
    <s v="S549"/>
    <s v="Gamma Inc"/>
    <s v="W32"/>
    <x v="2"/>
    <s v="FedEx"/>
    <s v="London-São Paulo"/>
    <n v="3525"/>
    <n v="365"/>
    <n v="5"/>
    <n v="1878.21"/>
    <n v="454.12"/>
    <n v="2332.33"/>
    <x v="1"/>
    <n v="0"/>
    <n v="72.55"/>
    <n v="465"/>
    <n v="465"/>
  </r>
  <r>
    <x v="404"/>
    <s v="C2794"/>
    <d v="2024-01-28T00:00:00"/>
    <d v="2023-07-20T00:00:00"/>
    <x v="2"/>
    <s v="Asia"/>
    <s v="China"/>
    <s v="Berlin"/>
    <s v="P31681"/>
    <s v="Electronics"/>
    <s v="Laptop"/>
    <s v="Product_7204"/>
    <n v="86.56"/>
    <n v="32"/>
    <s v="S780"/>
    <s v="Alpha Corp"/>
    <s v="W32"/>
    <x v="0"/>
    <s v="DHL"/>
    <s v="São Paulo-Berlin"/>
    <n v="1646"/>
    <n v="492"/>
    <n v="6"/>
    <n v="1265.8699999999999"/>
    <n v="226.68"/>
    <n v="1492.55"/>
    <x v="1"/>
    <n v="0"/>
    <n v="89.79"/>
    <n v="260"/>
    <n v="269"/>
  </r>
  <r>
    <x v="405"/>
    <s v="C3781"/>
    <d v="2020-06-09T00:00:00"/>
    <d v="2022-12-09T00:00:00"/>
    <x v="2"/>
    <s v="Africa"/>
    <s v="South Africa"/>
    <s v="New York"/>
    <s v="P26218"/>
    <s v="Food"/>
    <s v="Laptop"/>
    <s v="Product_6915"/>
    <n v="171.87"/>
    <n v="42"/>
    <s v="S100"/>
    <s v="Alpha Corp"/>
    <s v="W26"/>
    <x v="1"/>
    <s v="FedEx"/>
    <s v="Mumbai-Beijing"/>
    <n v="3144"/>
    <n v="214"/>
    <n v="15"/>
    <n v="328.32"/>
    <n v="75.06"/>
    <n v="403.38"/>
    <x v="1"/>
    <n v="0"/>
    <n v="88.87"/>
    <n v="204"/>
    <n v="184"/>
  </r>
  <r>
    <x v="406"/>
    <s v="C8990"/>
    <d v="2021-09-04T00:00:00"/>
    <d v="2023-01-30T00:00:00"/>
    <x v="2"/>
    <s v="Africa"/>
    <s v="China"/>
    <s v="Cape Town"/>
    <s v="P76562"/>
    <s v="Pharma"/>
    <s v="Snacks"/>
    <s v="Product_3377"/>
    <n v="99.45"/>
    <n v="62"/>
    <s v="S483"/>
    <s v="Alpha Corp"/>
    <s v="W29"/>
    <x v="2"/>
    <s v="DHL"/>
    <s v="Mumbai-New York"/>
    <n v="2890"/>
    <n v="84"/>
    <n v="9"/>
    <n v="95.52"/>
    <n v="414.73"/>
    <n v="510.25"/>
    <x v="1"/>
    <n v="0"/>
    <n v="76.42"/>
    <n v="373"/>
    <n v="393"/>
  </r>
  <r>
    <x v="407"/>
    <s v="C5788"/>
    <d v="2022-01-11T00:00:00"/>
    <d v="2022-03-07T00:00:00"/>
    <x v="1"/>
    <s v="North America"/>
    <s v="China"/>
    <s v="New York"/>
    <s v="P60910"/>
    <s v="Apparel"/>
    <s v="Medicines"/>
    <s v="Product_4757"/>
    <n v="428.73"/>
    <n v="46"/>
    <s v="S758"/>
    <s v="Delta Traders"/>
    <s v="W9"/>
    <x v="0"/>
    <s v="Maersk"/>
    <s v="Berlin-Toronto"/>
    <n v="3341"/>
    <n v="371"/>
    <n v="12"/>
    <n v="79.22"/>
    <n v="451.68"/>
    <n v="530.9"/>
    <x v="1"/>
    <n v="0"/>
    <n v="72.459999999999994"/>
    <n v="80"/>
    <n v="40"/>
  </r>
  <r>
    <x v="408"/>
    <s v="C8353"/>
    <d v="2020-09-22T00:00:00"/>
    <d v="2021-12-04T00:00:00"/>
    <x v="2"/>
    <s v="Europe"/>
    <s v="USA"/>
    <s v="Cape Town"/>
    <s v="P63576"/>
    <s v="Electronics"/>
    <s v="Shirt"/>
    <s v="Product_2014"/>
    <n v="357.82"/>
    <n v="93"/>
    <s v="S894"/>
    <s v="Delta Traders"/>
    <s v="W23"/>
    <x v="1"/>
    <s v="UPS"/>
    <s v="Cape Town-São Paulo"/>
    <n v="2609"/>
    <n v="170"/>
    <n v="24"/>
    <n v="1177.8900000000001"/>
    <n v="377.22"/>
    <n v="1555.11"/>
    <x v="1"/>
    <n v="0"/>
    <n v="89.67"/>
    <n v="489"/>
    <n v="512"/>
  </r>
  <r>
    <x v="409"/>
    <s v="C9768"/>
    <d v="2020-05-24T00:00:00"/>
    <d v="2021-05-22T00:00:00"/>
    <x v="2"/>
    <s v="North America"/>
    <s v="India"/>
    <s v="Mumbai"/>
    <s v="P46984"/>
    <s v="Food"/>
    <s v="Laptop"/>
    <s v="Product_7191"/>
    <n v="399.17"/>
    <n v="32"/>
    <s v="S260"/>
    <s v="Alpha Corp"/>
    <s v="W4"/>
    <x v="2"/>
    <s v="FedEx"/>
    <s v="Cape Town-São Paulo"/>
    <n v="978"/>
    <n v="191"/>
    <n v="23"/>
    <n v="115.65"/>
    <n v="358.35"/>
    <n v="474"/>
    <x v="1"/>
    <n v="0"/>
    <n v="77.47"/>
    <n v="412"/>
    <n v="422"/>
  </r>
  <r>
    <x v="410"/>
    <s v="C6081"/>
    <d v="2023-09-10T00:00:00"/>
    <d v="2023-10-21T00:00:00"/>
    <x v="1"/>
    <s v="Africa"/>
    <s v="Germany"/>
    <s v="London"/>
    <s v="P71007"/>
    <s v="Electronics"/>
    <s v="Shirt"/>
    <s v="Product_8310"/>
    <n v="375.92"/>
    <n v="52"/>
    <s v="S634"/>
    <s v="Gamma Inc"/>
    <s v="W17"/>
    <x v="3"/>
    <s v="Maersk"/>
    <s v="Cape Town-London"/>
    <n v="4734"/>
    <n v="435"/>
    <n v="22"/>
    <n v="1593.21"/>
    <n v="151.78"/>
    <n v="1744.99"/>
    <x v="1"/>
    <n v="0"/>
    <n v="73.3"/>
    <n v="286"/>
    <n v="239"/>
  </r>
  <r>
    <x v="411"/>
    <s v="C2432"/>
    <d v="2023-12-15T00:00:00"/>
    <d v="2024-06-30T00:00:00"/>
    <x v="1"/>
    <s v="North America"/>
    <s v="UK"/>
    <s v="Toronto"/>
    <s v="P30255"/>
    <s v="Food"/>
    <s v="Shirt"/>
    <s v="Product_1091"/>
    <n v="93.54"/>
    <n v="52"/>
    <s v="S265"/>
    <s v="Epsilon LLC"/>
    <s v="W2"/>
    <x v="0"/>
    <s v="BlueDart"/>
    <s v="Cape Town-Cape Town"/>
    <n v="3566"/>
    <n v="279"/>
    <n v="21"/>
    <n v="1105.25"/>
    <n v="470.02"/>
    <n v="1575.27"/>
    <x v="1"/>
    <n v="0"/>
    <n v="98.11"/>
    <n v="359"/>
    <n v="326"/>
  </r>
  <r>
    <x v="412"/>
    <s v="C5097"/>
    <d v="2022-11-15T00:00:00"/>
    <d v="2024-03-06T00:00:00"/>
    <x v="2"/>
    <s v="Africa"/>
    <s v="Canada"/>
    <s v="Cape Town"/>
    <s v="P44759"/>
    <s v="Furniture"/>
    <s v="Chair"/>
    <s v="Product_2606"/>
    <n v="170.23"/>
    <n v="55"/>
    <s v="S208"/>
    <s v="Epsilon LLC"/>
    <s v="W20"/>
    <x v="0"/>
    <s v="Maersk"/>
    <s v="Berlin-Beijing"/>
    <n v="2404"/>
    <n v="277"/>
    <n v="25"/>
    <n v="1872.62"/>
    <n v="388.32"/>
    <n v="2260.94"/>
    <x v="1"/>
    <n v="0"/>
    <n v="74.83"/>
    <n v="488"/>
    <n v="499"/>
  </r>
  <r>
    <x v="413"/>
    <s v="C2191"/>
    <d v="2021-12-14T00:00:00"/>
    <d v="2023-03-19T00:00:00"/>
    <x v="1"/>
    <s v="South America"/>
    <s v="Canada"/>
    <s v="São Paulo"/>
    <s v="P79636"/>
    <s v="Electronics"/>
    <s v="Medicines"/>
    <s v="Product_4251"/>
    <n v="244.19"/>
    <n v="46"/>
    <s v="S773"/>
    <s v="Delta Traders"/>
    <s v="W10"/>
    <x v="0"/>
    <s v="DHL"/>
    <s v="Cape Town-Cape Town"/>
    <n v="3684"/>
    <n v="142"/>
    <n v="4"/>
    <n v="518.75"/>
    <n v="79.36"/>
    <n v="598.11"/>
    <x v="1"/>
    <n v="0"/>
    <n v="73.81"/>
    <n v="262"/>
    <n v="286"/>
  </r>
  <r>
    <x v="414"/>
    <s v="C8074"/>
    <d v="2020-01-25T00:00:00"/>
    <d v="2021-06-07T00:00:00"/>
    <x v="2"/>
    <s v="Asia"/>
    <s v="India"/>
    <s v="London"/>
    <s v="P68389"/>
    <s v="Furniture"/>
    <s v="Snacks"/>
    <s v="Product_4541"/>
    <n v="235.76"/>
    <n v="46"/>
    <s v="S259"/>
    <s v="Epsilon LLC"/>
    <s v="W21"/>
    <x v="0"/>
    <s v="UPS"/>
    <s v="São Paulo-Toronto"/>
    <n v="2177"/>
    <n v="450"/>
    <n v="15"/>
    <n v="1932.03"/>
    <n v="65.16"/>
    <n v="1997.19"/>
    <x v="1"/>
    <n v="0"/>
    <n v="96.79"/>
    <n v="392"/>
    <n v="394"/>
  </r>
  <r>
    <x v="415"/>
    <s v="C2882"/>
    <d v="2024-08-27T00:00:00"/>
    <d v="2023-11-30T00:00:00"/>
    <x v="2"/>
    <s v="South America"/>
    <s v="UK"/>
    <s v="Cape Town"/>
    <s v="P11517"/>
    <s v="Furniture"/>
    <s v="Snacks"/>
    <s v="Product_7879"/>
    <n v="121.84"/>
    <n v="32"/>
    <s v="S590"/>
    <s v="Gamma Inc"/>
    <s v="W21"/>
    <x v="3"/>
    <s v="DHL"/>
    <s v="Toronto-New York"/>
    <n v="4734"/>
    <n v="266"/>
    <n v="16"/>
    <n v="1096.0899999999999"/>
    <n v="361.77"/>
    <n v="1457.86"/>
    <x v="1"/>
    <n v="0"/>
    <n v="89.65"/>
    <n v="129"/>
    <n v="106"/>
  </r>
  <r>
    <x v="416"/>
    <s v="C8131"/>
    <d v="2023-09-22T00:00:00"/>
    <d v="2022-06-27T00:00:00"/>
    <x v="1"/>
    <s v="North America"/>
    <s v="China"/>
    <s v="Berlin"/>
    <s v="P49950"/>
    <s v="Furniture"/>
    <s v="Shirt"/>
    <s v="Product_6955"/>
    <n v="467.44"/>
    <n v="48"/>
    <s v="S416"/>
    <s v="Gamma Inc"/>
    <s v="W4"/>
    <x v="1"/>
    <s v="UPS"/>
    <s v="Cape Town-Berlin"/>
    <n v="3751"/>
    <n v="396"/>
    <n v="17"/>
    <n v="1442.31"/>
    <n v="260.5"/>
    <n v="1702.81"/>
    <x v="1"/>
    <n v="0"/>
    <n v="70.16"/>
    <n v="301"/>
    <n v="323"/>
  </r>
  <r>
    <x v="417"/>
    <s v="C5972"/>
    <d v="2023-08-05T00:00:00"/>
    <d v="2023-01-21T00:00:00"/>
    <x v="2"/>
    <s v="North America"/>
    <s v="Canada"/>
    <s v="New York"/>
    <s v="P27639"/>
    <s v="Electronics"/>
    <s v="Laptop"/>
    <s v="Product_8577"/>
    <n v="225.1"/>
    <n v="24"/>
    <s v="S223"/>
    <s v="Beta Ltd"/>
    <s v="W10"/>
    <x v="0"/>
    <s v="DHL"/>
    <s v="Toronto-Berlin"/>
    <n v="2822"/>
    <n v="366"/>
    <n v="26"/>
    <n v="1672.73"/>
    <n v="189.02"/>
    <n v="1861.75"/>
    <x v="1"/>
    <n v="0"/>
    <n v="72.099999999999994"/>
    <n v="363"/>
    <n v="376"/>
  </r>
  <r>
    <x v="418"/>
    <s v="C4410"/>
    <d v="2021-08-17T00:00:00"/>
    <d v="2020-11-10T00:00:00"/>
    <x v="0"/>
    <s v="North America"/>
    <s v="USA"/>
    <s v="Berlin"/>
    <s v="P38060"/>
    <s v="Food"/>
    <s v="Shirt"/>
    <s v="Product_3582"/>
    <n v="73.22"/>
    <n v="82"/>
    <s v="S298"/>
    <s v="Epsilon LLC"/>
    <s v="W8"/>
    <x v="0"/>
    <s v="Maersk"/>
    <s v="Beijing-São Paulo"/>
    <n v="3872"/>
    <n v="366"/>
    <n v="26"/>
    <n v="880.39"/>
    <n v="152.74"/>
    <n v="1033.1300000000001"/>
    <x v="1"/>
    <n v="0"/>
    <n v="96.23"/>
    <n v="219"/>
    <n v="262"/>
  </r>
  <r>
    <x v="419"/>
    <s v="C2118"/>
    <d v="2024-06-27T00:00:00"/>
    <d v="2020-03-27T00:00:00"/>
    <x v="0"/>
    <s v="Africa"/>
    <s v="China"/>
    <s v="Mumbai"/>
    <s v="P87122"/>
    <s v="Apparel"/>
    <s v="Shirt"/>
    <s v="Product_9131"/>
    <n v="111.5"/>
    <n v="47"/>
    <s v="S495"/>
    <s v="Alpha Corp"/>
    <s v="W37"/>
    <x v="0"/>
    <s v="DHL"/>
    <s v="São Paulo-New York"/>
    <n v="541"/>
    <n v="60"/>
    <n v="4"/>
    <n v="777.49"/>
    <n v="472.54"/>
    <n v="1250.03"/>
    <x v="1"/>
    <n v="0"/>
    <n v="87.57"/>
    <n v="352"/>
    <n v="391"/>
  </r>
  <r>
    <x v="420"/>
    <s v="C4441"/>
    <d v="2022-11-02T00:00:00"/>
    <d v="2020-12-23T00:00:00"/>
    <x v="2"/>
    <s v="Europe"/>
    <s v="South Africa"/>
    <s v="Beijing"/>
    <s v="P63795"/>
    <s v="Electronics"/>
    <s v="Laptop"/>
    <s v="Product_6394"/>
    <n v="420.07"/>
    <n v="47"/>
    <s v="S482"/>
    <s v="Delta Traders"/>
    <s v="W15"/>
    <x v="3"/>
    <s v="Maersk"/>
    <s v="New York-São Paulo"/>
    <n v="431"/>
    <n v="425"/>
    <n v="3"/>
    <n v="502.41"/>
    <n v="218.44"/>
    <n v="720.85"/>
    <x v="1"/>
    <n v="0"/>
    <n v="81.88"/>
    <n v="484"/>
    <n v="480"/>
  </r>
  <r>
    <x v="421"/>
    <s v="C8983"/>
    <d v="2022-06-12T00:00:00"/>
    <d v="2024-08-08T00:00:00"/>
    <x v="2"/>
    <s v="Europe"/>
    <s v="India"/>
    <s v="São Paulo"/>
    <s v="P52178"/>
    <s v="Food"/>
    <s v="Chair"/>
    <s v="Product_3989"/>
    <n v="263.07"/>
    <n v="42"/>
    <s v="S994"/>
    <s v="Delta Traders"/>
    <s v="W21"/>
    <x v="2"/>
    <s v="Maersk"/>
    <s v="Berlin-New York"/>
    <n v="1210"/>
    <n v="80"/>
    <n v="8"/>
    <n v="1176.8599999999999"/>
    <n v="104.9"/>
    <n v="1281.76"/>
    <x v="1"/>
    <n v="0"/>
    <n v="87.59"/>
    <n v="74"/>
    <n v="39"/>
  </r>
  <r>
    <x v="422"/>
    <s v="C5261"/>
    <d v="2023-11-23T00:00:00"/>
    <d v="2021-10-23T00:00:00"/>
    <x v="2"/>
    <s v="Africa"/>
    <s v="India"/>
    <s v="New York"/>
    <s v="P88282"/>
    <s v="Food"/>
    <s v="Laptop"/>
    <s v="Product_2948"/>
    <n v="419.46"/>
    <n v="32"/>
    <s v="S162"/>
    <s v="Gamma Inc"/>
    <s v="W41"/>
    <x v="3"/>
    <s v="FedEx"/>
    <s v="Beijing-São Paulo"/>
    <n v="3928"/>
    <n v="346"/>
    <n v="6"/>
    <n v="1008.07"/>
    <n v="485.23"/>
    <n v="1493.3"/>
    <x v="1"/>
    <n v="0"/>
    <n v="82.74"/>
    <n v="57"/>
    <n v="42"/>
  </r>
  <r>
    <x v="423"/>
    <s v="C5524"/>
    <d v="2020-01-14T00:00:00"/>
    <d v="2022-12-19T00:00:00"/>
    <x v="2"/>
    <s v="North America"/>
    <s v="USA"/>
    <s v="São Paulo"/>
    <s v="P32911"/>
    <s v="Apparel"/>
    <s v="Medicines"/>
    <s v="Product_2221"/>
    <n v="436.9"/>
    <n v="42"/>
    <s v="S867"/>
    <s v="Delta Traders"/>
    <s v="W11"/>
    <x v="2"/>
    <s v="FedEx"/>
    <s v="Mumbai-New York"/>
    <n v="4428"/>
    <n v="263"/>
    <n v="6"/>
    <n v="1902.19"/>
    <n v="25.22"/>
    <n v="1927.41"/>
    <x v="0"/>
    <n v="12"/>
    <n v="75.67"/>
    <n v="227"/>
    <n v="228"/>
  </r>
  <r>
    <x v="424"/>
    <s v="C8424"/>
    <d v="2021-11-26T00:00:00"/>
    <d v="2020-12-04T00:00:00"/>
    <x v="2"/>
    <s v="Africa"/>
    <s v="Germany"/>
    <s v="Beijing"/>
    <s v="P91882"/>
    <s v="Pharma"/>
    <s v="Laptop"/>
    <s v="Product_5414"/>
    <n v="118.48"/>
    <n v="55"/>
    <s v="S582"/>
    <s v="Epsilon LLC"/>
    <s v="W15"/>
    <x v="0"/>
    <s v="FedEx"/>
    <s v="Mumbai-São Paulo"/>
    <n v="1412"/>
    <n v="71"/>
    <n v="25"/>
    <n v="1464.43"/>
    <n v="94.84"/>
    <n v="1559.27"/>
    <x v="1"/>
    <n v="0"/>
    <n v="87.44"/>
    <n v="177"/>
    <n v="147"/>
  </r>
  <r>
    <x v="425"/>
    <s v="C9407"/>
    <d v="2020-06-25T00:00:00"/>
    <d v="2021-10-13T00:00:00"/>
    <x v="1"/>
    <s v="Africa"/>
    <s v="USA"/>
    <s v="New York"/>
    <s v="P73315"/>
    <s v="Food"/>
    <s v="Shirt"/>
    <s v="Product_4465"/>
    <n v="448.8"/>
    <n v="13"/>
    <s v="S468"/>
    <s v="Alpha Corp"/>
    <s v="W29"/>
    <x v="0"/>
    <s v="FedEx"/>
    <s v="New York-Beijing"/>
    <n v="3838"/>
    <n v="246"/>
    <n v="12"/>
    <n v="1301.31"/>
    <n v="131.15"/>
    <n v="1432.46"/>
    <x v="1"/>
    <n v="0"/>
    <n v="79.39"/>
    <n v="475"/>
    <n v="519"/>
  </r>
  <r>
    <x v="426"/>
    <s v="C9223"/>
    <d v="2023-05-13T00:00:00"/>
    <d v="2021-09-26T00:00:00"/>
    <x v="1"/>
    <s v="North America"/>
    <s v="UK"/>
    <s v="Toronto"/>
    <s v="P98917"/>
    <s v="Furniture"/>
    <s v="Medicines"/>
    <s v="Product_4460"/>
    <n v="425.94"/>
    <n v="20"/>
    <s v="S964"/>
    <s v="Gamma Inc"/>
    <s v="W42"/>
    <x v="2"/>
    <s v="Maersk"/>
    <s v="London-São Paulo"/>
    <n v="2649"/>
    <n v="282"/>
    <n v="23"/>
    <n v="1890.62"/>
    <n v="207.33"/>
    <n v="2097.9499999999998"/>
    <x v="1"/>
    <n v="0"/>
    <n v="84.3"/>
    <n v="290"/>
    <n v="293"/>
  </r>
  <r>
    <x v="427"/>
    <s v="C5419"/>
    <d v="2024-01-10T00:00:00"/>
    <d v="2024-06-26T00:00:00"/>
    <x v="0"/>
    <s v="South America"/>
    <s v="China"/>
    <s v="Berlin"/>
    <s v="P30550"/>
    <s v="Electronics"/>
    <s v="Medicines"/>
    <s v="Product_1928"/>
    <n v="330.41"/>
    <n v="35"/>
    <s v="S685"/>
    <s v="Gamma Inc"/>
    <s v="W28"/>
    <x v="3"/>
    <s v="Maersk"/>
    <s v="London-New York"/>
    <n v="4703"/>
    <n v="341"/>
    <n v="4"/>
    <n v="1976.52"/>
    <n v="257.74"/>
    <n v="2234.2600000000002"/>
    <x v="1"/>
    <n v="0"/>
    <n v="83.17"/>
    <n v="464"/>
    <n v="430"/>
  </r>
  <r>
    <x v="428"/>
    <s v="C6781"/>
    <d v="2024-11-05T00:00:00"/>
    <d v="2024-11-04T00:00:00"/>
    <x v="1"/>
    <s v="Africa"/>
    <s v="India"/>
    <s v="São Paulo"/>
    <s v="P89927"/>
    <s v="Electronics"/>
    <s v="Laptop"/>
    <s v="Product_7221"/>
    <n v="437.15"/>
    <n v="90"/>
    <s v="S131"/>
    <s v="Epsilon LLC"/>
    <s v="W9"/>
    <x v="3"/>
    <s v="BlueDart"/>
    <s v="Beijing-São Paulo"/>
    <n v="1683"/>
    <n v="494"/>
    <n v="18"/>
    <n v="1527.95"/>
    <n v="291.18"/>
    <n v="1819.13"/>
    <x v="1"/>
    <n v="0"/>
    <n v="79.2"/>
    <n v="67"/>
    <n v="26"/>
  </r>
  <r>
    <x v="429"/>
    <s v="C2954"/>
    <d v="2023-01-04T00:00:00"/>
    <d v="2020-06-05T00:00:00"/>
    <x v="2"/>
    <s v="Africa"/>
    <s v="Canada"/>
    <s v="Berlin"/>
    <s v="P75267"/>
    <s v="Electronics"/>
    <s v="Medicines"/>
    <s v="Product_1984"/>
    <n v="292.02999999999997"/>
    <n v="33"/>
    <s v="S407"/>
    <s v="Beta Ltd"/>
    <s v="W14"/>
    <x v="0"/>
    <s v="UPS"/>
    <s v="São Paulo-London"/>
    <n v="105"/>
    <n v="302"/>
    <n v="2"/>
    <n v="409.88"/>
    <n v="301.25"/>
    <n v="711.13"/>
    <x v="1"/>
    <n v="0"/>
    <n v="82.4"/>
    <n v="497"/>
    <n v="487"/>
  </r>
  <r>
    <x v="430"/>
    <s v="C4119"/>
    <d v="2024-09-14T00:00:00"/>
    <d v="2020-05-12T00:00:00"/>
    <x v="2"/>
    <s v="Asia"/>
    <s v="South Africa"/>
    <s v="Berlin"/>
    <s v="P53498"/>
    <s v="Apparel"/>
    <s v="Medicines"/>
    <s v="Product_1024"/>
    <n v="63.88"/>
    <n v="75"/>
    <s v="S180"/>
    <s v="Delta Traders"/>
    <s v="W12"/>
    <x v="2"/>
    <s v="FedEx"/>
    <s v="Mumbai-Berlin"/>
    <n v="4181"/>
    <n v="498"/>
    <n v="2"/>
    <n v="445.87"/>
    <n v="397.57"/>
    <n v="843.44"/>
    <x v="1"/>
    <n v="0"/>
    <n v="89.04"/>
    <n v="393"/>
    <n v="407"/>
  </r>
  <r>
    <x v="431"/>
    <s v="C6570"/>
    <d v="2024-01-05T00:00:00"/>
    <d v="2022-07-20T00:00:00"/>
    <x v="0"/>
    <s v="Europe"/>
    <s v="Canada"/>
    <s v="Berlin"/>
    <s v="P99948"/>
    <s v="Pharma"/>
    <s v="Laptop"/>
    <s v="Product_8092"/>
    <n v="393.57"/>
    <n v="10"/>
    <s v="S255"/>
    <s v="Alpha Corp"/>
    <s v="W48"/>
    <x v="3"/>
    <s v="FedEx"/>
    <s v="São Paulo-Toronto"/>
    <n v="2905"/>
    <n v="357"/>
    <n v="22"/>
    <n v="1113.22"/>
    <n v="32.85"/>
    <n v="1146.07"/>
    <x v="1"/>
    <n v="0"/>
    <n v="99.16"/>
    <n v="55"/>
    <n v="27"/>
  </r>
  <r>
    <x v="432"/>
    <s v="C9285"/>
    <d v="2022-07-14T00:00:00"/>
    <d v="2024-10-13T00:00:00"/>
    <x v="2"/>
    <s v="Africa"/>
    <s v="India"/>
    <s v="Toronto"/>
    <s v="P80449"/>
    <s v="Pharma"/>
    <s v="Shirt"/>
    <s v="Product_2156"/>
    <n v="75.930000000000007"/>
    <n v="91"/>
    <s v="S593"/>
    <s v="Epsilon LLC"/>
    <s v="W7"/>
    <x v="2"/>
    <s v="Maersk"/>
    <s v="São Paulo-London"/>
    <n v="3770"/>
    <n v="98"/>
    <n v="18"/>
    <n v="1560.83"/>
    <n v="74.430000000000007"/>
    <n v="1635.26"/>
    <x v="1"/>
    <n v="0"/>
    <n v="93.56"/>
    <n v="134"/>
    <n v="124"/>
  </r>
  <r>
    <x v="433"/>
    <s v="C6970"/>
    <d v="2022-01-22T00:00:00"/>
    <d v="2024-11-07T00:00:00"/>
    <x v="0"/>
    <s v="Europe"/>
    <s v="Germany"/>
    <s v="London"/>
    <s v="P27911"/>
    <s v="Pharma"/>
    <s v="Shirt"/>
    <s v="Product_7840"/>
    <n v="376.99"/>
    <n v="10"/>
    <s v="S784"/>
    <s v="Epsilon LLC"/>
    <s v="W23"/>
    <x v="3"/>
    <s v="BlueDart"/>
    <s v="New York-London"/>
    <n v="2883"/>
    <n v="114"/>
    <n v="17"/>
    <n v="1074.1300000000001"/>
    <n v="247.77"/>
    <n v="1321.9"/>
    <x v="1"/>
    <n v="0"/>
    <n v="81.709999999999994"/>
    <n v="187"/>
    <n v="167"/>
  </r>
  <r>
    <x v="434"/>
    <s v="C2798"/>
    <d v="2022-05-22T00:00:00"/>
    <d v="2021-06-16T00:00:00"/>
    <x v="2"/>
    <s v="North America"/>
    <s v="USA"/>
    <s v="São Paulo"/>
    <s v="P88402"/>
    <s v="Apparel"/>
    <s v="Laptop"/>
    <s v="Product_3626"/>
    <n v="301.43"/>
    <n v="88"/>
    <s v="S319"/>
    <s v="Delta Traders"/>
    <s v="W39"/>
    <x v="3"/>
    <s v="FedEx"/>
    <s v="Berlin-London"/>
    <n v="3021"/>
    <n v="219"/>
    <n v="8"/>
    <n v="1102.74"/>
    <n v="447.34"/>
    <n v="1550.08"/>
    <x v="1"/>
    <n v="0"/>
    <n v="89.83"/>
    <n v="229"/>
    <n v="267"/>
  </r>
  <r>
    <x v="435"/>
    <s v="C8189"/>
    <d v="2024-04-15T00:00:00"/>
    <d v="2022-02-26T00:00:00"/>
    <x v="2"/>
    <s v="Asia"/>
    <s v="South Africa"/>
    <s v="New York"/>
    <s v="P66805"/>
    <s v="Pharma"/>
    <s v="Medicines"/>
    <s v="Product_2551"/>
    <n v="85.75"/>
    <n v="50"/>
    <s v="S145"/>
    <s v="Beta Ltd"/>
    <s v="W17"/>
    <x v="2"/>
    <s v="FedEx"/>
    <s v="New York-London"/>
    <n v="687"/>
    <n v="97"/>
    <n v="28"/>
    <n v="1111.3599999999999"/>
    <n v="355.8"/>
    <n v="1467.16"/>
    <x v="1"/>
    <n v="0"/>
    <n v="93.07"/>
    <n v="325"/>
    <n v="289"/>
  </r>
  <r>
    <x v="436"/>
    <s v="C7621"/>
    <d v="2021-05-12T00:00:00"/>
    <d v="2024-08-21T00:00:00"/>
    <x v="2"/>
    <s v="Africa"/>
    <s v="China"/>
    <s v="Mumbai"/>
    <s v="P10730"/>
    <s v="Apparel"/>
    <s v="Medicines"/>
    <s v="Product_9632"/>
    <n v="437.27"/>
    <n v="72"/>
    <s v="S186"/>
    <s v="Alpha Corp"/>
    <s v="W49"/>
    <x v="0"/>
    <s v="BlueDart"/>
    <s v="New York-Cape Town"/>
    <n v="917"/>
    <n v="278"/>
    <n v="2"/>
    <n v="859.47"/>
    <n v="348.95"/>
    <n v="1208.42"/>
    <x v="1"/>
    <n v="0"/>
    <n v="84.73"/>
    <n v="164"/>
    <n v="154"/>
  </r>
  <r>
    <x v="437"/>
    <s v="C4133"/>
    <d v="2021-06-08T00:00:00"/>
    <d v="2023-02-16T00:00:00"/>
    <x v="1"/>
    <s v="Africa"/>
    <s v="South Africa"/>
    <s v="London"/>
    <s v="P43647"/>
    <s v="Electronics"/>
    <s v="Shirt"/>
    <s v="Product_1030"/>
    <n v="210.48"/>
    <n v="11"/>
    <s v="S409"/>
    <s v="Beta Ltd"/>
    <s v="W8"/>
    <x v="2"/>
    <s v="FedEx"/>
    <s v="Cape Town-Mumbai"/>
    <n v="2089"/>
    <n v="185"/>
    <n v="8"/>
    <n v="861.96"/>
    <n v="20.96"/>
    <n v="882.92000000000007"/>
    <x v="1"/>
    <n v="0"/>
    <n v="98.07"/>
    <n v="417"/>
    <n v="392"/>
  </r>
  <r>
    <x v="438"/>
    <s v="C5348"/>
    <d v="2022-08-25T00:00:00"/>
    <d v="2024-05-27T00:00:00"/>
    <x v="2"/>
    <s v="North America"/>
    <s v="USA"/>
    <s v="Beijing"/>
    <s v="P75883"/>
    <s v="Food"/>
    <s v="Laptop"/>
    <s v="Product_9896"/>
    <n v="72.8"/>
    <n v="31"/>
    <s v="S417"/>
    <s v="Alpha Corp"/>
    <s v="W25"/>
    <x v="3"/>
    <s v="DHL"/>
    <s v="New York-New York"/>
    <n v="405"/>
    <n v="170"/>
    <n v="8"/>
    <n v="901.66"/>
    <n v="278.93"/>
    <n v="1180.5899999999999"/>
    <x v="1"/>
    <n v="0"/>
    <n v="71.89"/>
    <n v="359"/>
    <n v="382"/>
  </r>
  <r>
    <x v="439"/>
    <s v="C4529"/>
    <d v="2023-07-28T00:00:00"/>
    <d v="2024-05-02T00:00:00"/>
    <x v="0"/>
    <s v="Europe"/>
    <s v="China"/>
    <s v="Beijing"/>
    <s v="P33976"/>
    <s v="Pharma"/>
    <s v="Chair"/>
    <s v="Product_7912"/>
    <n v="205.97"/>
    <n v="89"/>
    <s v="S833"/>
    <s v="Gamma Inc"/>
    <s v="W11"/>
    <x v="0"/>
    <s v="BlueDart"/>
    <s v="Beijing-Cape Town"/>
    <n v="134"/>
    <n v="403"/>
    <n v="21"/>
    <n v="1272.9100000000001"/>
    <n v="497.42"/>
    <n v="1770.33"/>
    <x v="0"/>
    <n v="2"/>
    <n v="75.849999999999994"/>
    <n v="113"/>
    <n v="122"/>
  </r>
  <r>
    <x v="440"/>
    <s v="C7057"/>
    <d v="2021-02-15T00:00:00"/>
    <d v="2020-07-04T00:00:00"/>
    <x v="2"/>
    <s v="North America"/>
    <s v="Brazil"/>
    <s v="Toronto"/>
    <s v="P56566"/>
    <s v="Apparel"/>
    <s v="Medicines"/>
    <s v="Product_5822"/>
    <n v="342.16"/>
    <n v="39"/>
    <s v="S968"/>
    <s v="Delta Traders"/>
    <s v="W16"/>
    <x v="1"/>
    <s v="FedEx"/>
    <s v="New York-Berlin"/>
    <n v="4138"/>
    <n v="433"/>
    <n v="4"/>
    <n v="1402.6"/>
    <n v="482.82"/>
    <n v="1885.42"/>
    <x v="1"/>
    <n v="0"/>
    <n v="71.75"/>
    <n v="319"/>
    <n v="278"/>
  </r>
  <r>
    <x v="441"/>
    <s v="C7230"/>
    <d v="2023-02-20T00:00:00"/>
    <d v="2025-01-06T00:00:00"/>
    <x v="1"/>
    <s v="Asia"/>
    <s v="India"/>
    <s v="São Paulo"/>
    <s v="P56675"/>
    <s v="Furniture"/>
    <s v="Laptop"/>
    <s v="Product_7363"/>
    <n v="403.2"/>
    <n v="97"/>
    <s v="S527"/>
    <s v="Delta Traders"/>
    <s v="W7"/>
    <x v="1"/>
    <s v="DHL"/>
    <s v="Mumbai-Beijing"/>
    <n v="924"/>
    <n v="491"/>
    <n v="7"/>
    <n v="515.21"/>
    <n v="238.27"/>
    <n v="753.48"/>
    <x v="0"/>
    <n v="5"/>
    <n v="77.45"/>
    <n v="173"/>
    <n v="164"/>
  </r>
  <r>
    <x v="442"/>
    <s v="C5286"/>
    <d v="2023-05-21T00:00:00"/>
    <d v="2021-06-01T00:00:00"/>
    <x v="1"/>
    <s v="Africa"/>
    <s v="Canada"/>
    <s v="New York"/>
    <s v="P10577"/>
    <s v="Apparel"/>
    <s v="Chair"/>
    <s v="Product_1222"/>
    <n v="489.64"/>
    <n v="35"/>
    <s v="S570"/>
    <s v="Delta Traders"/>
    <s v="W45"/>
    <x v="2"/>
    <s v="FedEx"/>
    <s v="Beijing-Mumbai"/>
    <n v="2616"/>
    <n v="373"/>
    <n v="19"/>
    <n v="1313.88"/>
    <n v="472.56"/>
    <n v="1786.44"/>
    <x v="1"/>
    <n v="0"/>
    <n v="83.99"/>
    <n v="191"/>
    <n v="148"/>
  </r>
  <r>
    <x v="443"/>
    <s v="C2634"/>
    <d v="2022-03-22T00:00:00"/>
    <d v="2024-08-09T00:00:00"/>
    <x v="2"/>
    <s v="Asia"/>
    <s v="South Africa"/>
    <s v="São Paulo"/>
    <s v="P77452"/>
    <s v="Apparel"/>
    <s v="Chair"/>
    <s v="Product_6907"/>
    <n v="142"/>
    <n v="23"/>
    <s v="S800"/>
    <s v="Epsilon LLC"/>
    <s v="W8"/>
    <x v="2"/>
    <s v="FedEx"/>
    <s v="Toronto-New York"/>
    <n v="4407"/>
    <n v="436"/>
    <n v="23"/>
    <n v="565.16999999999996"/>
    <n v="281.35000000000002"/>
    <n v="846.52"/>
    <x v="1"/>
    <n v="0"/>
    <n v="72.17"/>
    <n v="220"/>
    <n v="227"/>
  </r>
  <r>
    <x v="444"/>
    <s v="C5885"/>
    <d v="2020-12-03T00:00:00"/>
    <d v="2020-06-13T00:00:00"/>
    <x v="1"/>
    <s v="Asia"/>
    <s v="Canada"/>
    <s v="Cape Town"/>
    <s v="P28099"/>
    <s v="Pharma"/>
    <s v="Shirt"/>
    <s v="Product_6158"/>
    <n v="447.34"/>
    <n v="75"/>
    <s v="S330"/>
    <s v="Epsilon LLC"/>
    <s v="W29"/>
    <x v="1"/>
    <s v="DHL"/>
    <s v="New York-São Paulo"/>
    <n v="117"/>
    <n v="269"/>
    <n v="10"/>
    <n v="550.32000000000005"/>
    <n v="483.03"/>
    <n v="1033.3499999999999"/>
    <x v="1"/>
    <n v="0"/>
    <n v="71.680000000000007"/>
    <n v="194"/>
    <n v="211"/>
  </r>
  <r>
    <x v="445"/>
    <s v="C3480"/>
    <d v="2021-07-11T00:00:00"/>
    <d v="2020-11-04T00:00:00"/>
    <x v="2"/>
    <s v="Africa"/>
    <s v="Germany"/>
    <s v="Cape Town"/>
    <s v="P70060"/>
    <s v="Electronics"/>
    <s v="Shirt"/>
    <s v="Product_7852"/>
    <n v="90.87"/>
    <n v="76"/>
    <s v="S116"/>
    <s v="Delta Traders"/>
    <s v="W40"/>
    <x v="3"/>
    <s v="UPS"/>
    <s v="New York-São Paulo"/>
    <n v="4217"/>
    <n v="203"/>
    <n v="22"/>
    <n v="1764.59"/>
    <n v="219.37"/>
    <n v="1983.96"/>
    <x v="1"/>
    <n v="0"/>
    <n v="80.78"/>
    <n v="212"/>
    <n v="196"/>
  </r>
  <r>
    <x v="446"/>
    <s v="C6942"/>
    <d v="2021-08-14T00:00:00"/>
    <d v="2020-04-29T00:00:00"/>
    <x v="1"/>
    <s v="Africa"/>
    <s v="South Africa"/>
    <s v="Beijing"/>
    <s v="P81311"/>
    <s v="Apparel"/>
    <s v="Snacks"/>
    <s v="Product_6608"/>
    <n v="356.1"/>
    <n v="86"/>
    <s v="S846"/>
    <s v="Beta Ltd"/>
    <s v="W8"/>
    <x v="3"/>
    <s v="UPS"/>
    <s v="São Paulo-Berlin"/>
    <n v="1863"/>
    <n v="334"/>
    <n v="4"/>
    <n v="391.86"/>
    <n v="293.14999999999998"/>
    <n v="685.01"/>
    <x v="1"/>
    <n v="0"/>
    <n v="96.05"/>
    <n v="325"/>
    <n v="351"/>
  </r>
  <r>
    <x v="447"/>
    <s v="C6161"/>
    <d v="2021-07-05T00:00:00"/>
    <d v="2020-08-21T00:00:00"/>
    <x v="2"/>
    <s v="North America"/>
    <s v="UK"/>
    <s v="Mumbai"/>
    <s v="P24123"/>
    <s v="Furniture"/>
    <s v="Snacks"/>
    <s v="Product_5021"/>
    <n v="88.98"/>
    <n v="4"/>
    <s v="S184"/>
    <s v="Alpha Corp"/>
    <s v="W25"/>
    <x v="1"/>
    <s v="DHL"/>
    <s v="Toronto-Cape Town"/>
    <n v="2205"/>
    <n v="417"/>
    <n v="2"/>
    <n v="1767.47"/>
    <n v="442.56"/>
    <n v="2210.0300000000002"/>
    <x v="1"/>
    <n v="0"/>
    <n v="73.16"/>
    <n v="154"/>
    <n v="174"/>
  </r>
  <r>
    <x v="448"/>
    <s v="C4104"/>
    <d v="2020-07-22T00:00:00"/>
    <d v="2024-03-22T00:00:00"/>
    <x v="1"/>
    <s v="North America"/>
    <s v="China"/>
    <s v="Cape Town"/>
    <s v="P82876"/>
    <s v="Pharma"/>
    <s v="Laptop"/>
    <s v="Product_9806"/>
    <n v="382.27"/>
    <n v="13"/>
    <s v="S251"/>
    <s v="Beta Ltd"/>
    <s v="W18"/>
    <x v="3"/>
    <s v="FedEx"/>
    <s v="Cape Town-New York"/>
    <n v="2698"/>
    <n v="179"/>
    <n v="25"/>
    <n v="1123.8699999999999"/>
    <n v="236.73"/>
    <n v="1360.6"/>
    <x v="1"/>
    <n v="0"/>
    <n v="87.6"/>
    <n v="306"/>
    <n v="344"/>
  </r>
  <r>
    <x v="449"/>
    <s v="C9716"/>
    <d v="2023-06-19T00:00:00"/>
    <d v="2021-06-01T00:00:00"/>
    <x v="2"/>
    <s v="Asia"/>
    <s v="USA"/>
    <s v="Beijing"/>
    <s v="P18267"/>
    <s v="Apparel"/>
    <s v="Laptop"/>
    <s v="Product_2840"/>
    <n v="379.41"/>
    <n v="25"/>
    <s v="S778"/>
    <s v="Epsilon LLC"/>
    <s v="W8"/>
    <x v="0"/>
    <s v="DHL"/>
    <s v="São Paulo-São Paulo"/>
    <n v="3470"/>
    <n v="255"/>
    <n v="13"/>
    <n v="475.97"/>
    <n v="50.48"/>
    <n v="526.45000000000005"/>
    <x v="1"/>
    <n v="0"/>
    <n v="88.84"/>
    <n v="123"/>
    <n v="172"/>
  </r>
  <r>
    <x v="450"/>
    <s v="C5430"/>
    <d v="2022-04-10T00:00:00"/>
    <d v="2022-11-17T00:00:00"/>
    <x v="2"/>
    <s v="North America"/>
    <s v="USA"/>
    <s v="Beijing"/>
    <s v="P37312"/>
    <s v="Electronics"/>
    <s v="Medicines"/>
    <s v="Product_6855"/>
    <n v="165.68"/>
    <n v="40"/>
    <s v="S657"/>
    <s v="Beta Ltd"/>
    <s v="W47"/>
    <x v="1"/>
    <s v="UPS"/>
    <s v="Cape Town-London"/>
    <n v="1200"/>
    <n v="300"/>
    <n v="10"/>
    <n v="147.66999999999999"/>
    <n v="184.84"/>
    <n v="332.51"/>
    <x v="1"/>
    <n v="0"/>
    <n v="79.95"/>
    <n v="136"/>
    <n v="123"/>
  </r>
  <r>
    <x v="451"/>
    <s v="C6265"/>
    <d v="2020-05-26T00:00:00"/>
    <d v="2021-05-24T00:00:00"/>
    <x v="2"/>
    <s v="Asia"/>
    <s v="Germany"/>
    <s v="Beijing"/>
    <s v="P12211"/>
    <s v="Food"/>
    <s v="Shirt"/>
    <s v="Product_2993"/>
    <n v="274.97000000000003"/>
    <n v="54"/>
    <s v="S969"/>
    <s v="Delta Traders"/>
    <s v="W1"/>
    <x v="0"/>
    <s v="BlueDart"/>
    <s v="Berlin-Beijing"/>
    <n v="2363"/>
    <n v="223"/>
    <n v="6"/>
    <n v="1583.42"/>
    <n v="75.45"/>
    <n v="1658.87"/>
    <x v="1"/>
    <n v="0"/>
    <n v="90.75"/>
    <n v="90"/>
    <n v="105"/>
  </r>
  <r>
    <x v="452"/>
    <s v="C1172"/>
    <d v="2024-12-24T00:00:00"/>
    <d v="2022-03-06T00:00:00"/>
    <x v="1"/>
    <s v="Asia"/>
    <s v="India"/>
    <s v="London"/>
    <s v="P51066"/>
    <s v="Food"/>
    <s v="Chair"/>
    <s v="Product_1369"/>
    <n v="364.98"/>
    <n v="71"/>
    <s v="S138"/>
    <s v="Delta Traders"/>
    <s v="W11"/>
    <x v="3"/>
    <s v="Maersk"/>
    <s v="São Paulo-Mumbai"/>
    <n v="4791"/>
    <n v="222"/>
    <n v="14"/>
    <n v="1539.59"/>
    <n v="247.08"/>
    <n v="1786.67"/>
    <x v="1"/>
    <n v="0"/>
    <n v="73.290000000000006"/>
    <n v="465"/>
    <n v="482"/>
  </r>
  <r>
    <x v="453"/>
    <s v="C1271"/>
    <d v="2024-05-09T00:00:00"/>
    <d v="2021-01-23T00:00:00"/>
    <x v="2"/>
    <s v="Asia"/>
    <s v="Brazil"/>
    <s v="Mumbai"/>
    <s v="P25862"/>
    <s v="Electronics"/>
    <s v="Medicines"/>
    <s v="Product_3265"/>
    <n v="468.9"/>
    <n v="33"/>
    <s v="S467"/>
    <s v="Gamma Inc"/>
    <s v="W10"/>
    <x v="0"/>
    <s v="BlueDart"/>
    <s v="Cape Town-New York"/>
    <n v="3365"/>
    <n v="187"/>
    <n v="11"/>
    <n v="200"/>
    <n v="364.64"/>
    <n v="564.64"/>
    <x v="1"/>
    <n v="0"/>
    <n v="89.54"/>
    <n v="318"/>
    <n v="311"/>
  </r>
  <r>
    <x v="454"/>
    <s v="C3183"/>
    <d v="2021-09-13T00:00:00"/>
    <d v="2022-08-27T00:00:00"/>
    <x v="2"/>
    <s v="Asia"/>
    <s v="UK"/>
    <s v="New York"/>
    <s v="P31656"/>
    <s v="Food"/>
    <s v="Medicines"/>
    <s v="Product_5817"/>
    <n v="22.99"/>
    <n v="39"/>
    <s v="S949"/>
    <s v="Alpha Corp"/>
    <s v="W43"/>
    <x v="1"/>
    <s v="Maersk"/>
    <s v="Cape Town-Mumbai"/>
    <n v="1154"/>
    <n v="210"/>
    <n v="17"/>
    <n v="163.24"/>
    <n v="63.71"/>
    <n v="226.95"/>
    <x v="1"/>
    <n v="0"/>
    <n v="85.86"/>
    <n v="198"/>
    <n v="183"/>
  </r>
  <r>
    <x v="455"/>
    <s v="C4254"/>
    <d v="2020-01-19T00:00:00"/>
    <d v="2020-01-22T00:00:00"/>
    <x v="2"/>
    <s v="Africa"/>
    <s v="India"/>
    <s v="Beijing"/>
    <s v="P31828"/>
    <s v="Furniture"/>
    <s v="Laptop"/>
    <s v="Product_2822"/>
    <n v="356.3"/>
    <n v="22"/>
    <s v="S885"/>
    <s v="Gamma Inc"/>
    <s v="W18"/>
    <x v="1"/>
    <s v="Maersk"/>
    <s v="Beijing-Berlin"/>
    <n v="1829"/>
    <n v="211"/>
    <n v="26"/>
    <n v="1418.21"/>
    <n v="447.3"/>
    <n v="1865.51"/>
    <x v="1"/>
    <n v="0"/>
    <n v="89.62"/>
    <n v="444"/>
    <n v="472"/>
  </r>
  <r>
    <x v="456"/>
    <s v="C2172"/>
    <d v="2024-04-24T00:00:00"/>
    <d v="2023-05-25T00:00:00"/>
    <x v="2"/>
    <s v="South America"/>
    <s v="India"/>
    <s v="London"/>
    <s v="P28938"/>
    <s v="Food"/>
    <s v="Shirt"/>
    <s v="Product_4916"/>
    <n v="385.67"/>
    <n v="53"/>
    <s v="S581"/>
    <s v="Delta Traders"/>
    <s v="W3"/>
    <x v="3"/>
    <s v="BlueDart"/>
    <s v="Berlin-Beijing"/>
    <n v="3164"/>
    <n v="455"/>
    <n v="7"/>
    <n v="1033.48"/>
    <n v="33.21"/>
    <n v="1066.69"/>
    <x v="1"/>
    <n v="0"/>
    <n v="93.13"/>
    <n v="240"/>
    <n v="242"/>
  </r>
  <r>
    <x v="457"/>
    <s v="C3908"/>
    <d v="2020-03-04T00:00:00"/>
    <d v="2020-03-15T00:00:00"/>
    <x v="2"/>
    <s v="Africa"/>
    <s v="China"/>
    <s v="Berlin"/>
    <s v="P70820"/>
    <s v="Furniture"/>
    <s v="Snacks"/>
    <s v="Product_3533"/>
    <n v="352.88"/>
    <n v="92"/>
    <s v="S486"/>
    <s v="Gamma Inc"/>
    <s v="W28"/>
    <x v="1"/>
    <s v="Maersk"/>
    <s v="Cape Town-Cape Town"/>
    <n v="3445"/>
    <n v="245"/>
    <n v="22"/>
    <n v="1524.73"/>
    <n v="27.47"/>
    <n v="1552.2"/>
    <x v="1"/>
    <n v="0"/>
    <n v="86.44"/>
    <n v="233"/>
    <n v="262"/>
  </r>
  <r>
    <x v="458"/>
    <s v="C4013"/>
    <d v="2024-10-30T00:00:00"/>
    <d v="2022-01-27T00:00:00"/>
    <x v="2"/>
    <s v="Africa"/>
    <s v="India"/>
    <s v="London"/>
    <s v="P79977"/>
    <s v="Pharma"/>
    <s v="Laptop"/>
    <s v="Product_9484"/>
    <n v="28.87"/>
    <n v="45"/>
    <s v="S808"/>
    <s v="Delta Traders"/>
    <s v="W18"/>
    <x v="2"/>
    <s v="FedEx"/>
    <s v="São Paulo-Berlin"/>
    <n v="1804"/>
    <n v="420"/>
    <n v="12"/>
    <n v="131.74"/>
    <n v="499.23"/>
    <n v="630.97"/>
    <x v="1"/>
    <n v="0"/>
    <n v="85.88"/>
    <n v="185"/>
    <n v="166"/>
  </r>
  <r>
    <x v="459"/>
    <s v="C3752"/>
    <d v="2021-10-16T00:00:00"/>
    <d v="2024-01-05T00:00:00"/>
    <x v="1"/>
    <s v="Asia"/>
    <s v="South Africa"/>
    <s v="Berlin"/>
    <s v="P57609"/>
    <s v="Apparel"/>
    <s v="Chair"/>
    <s v="Product_1552"/>
    <n v="365.85"/>
    <n v="16"/>
    <s v="S292"/>
    <s v="Gamma Inc"/>
    <s v="W32"/>
    <x v="2"/>
    <s v="FedEx"/>
    <s v="Mumbai-São Paulo"/>
    <n v="2743"/>
    <n v="257"/>
    <n v="2"/>
    <n v="1019.36"/>
    <n v="302.61"/>
    <n v="1321.97"/>
    <x v="1"/>
    <n v="0"/>
    <n v="83"/>
    <n v="475"/>
    <n v="494"/>
  </r>
  <r>
    <x v="460"/>
    <s v="C1874"/>
    <d v="2020-08-04T00:00:00"/>
    <d v="2021-08-14T00:00:00"/>
    <x v="1"/>
    <s v="Asia"/>
    <s v="Brazil"/>
    <s v="New York"/>
    <s v="P92561"/>
    <s v="Pharma"/>
    <s v="Laptop"/>
    <s v="Product_2137"/>
    <n v="164.81"/>
    <n v="87"/>
    <s v="S828"/>
    <s v="Gamma Inc"/>
    <s v="W39"/>
    <x v="3"/>
    <s v="UPS"/>
    <s v="São Paulo-São Paulo"/>
    <n v="1779"/>
    <n v="247"/>
    <n v="27"/>
    <n v="758.97"/>
    <n v="92.51"/>
    <n v="851.48"/>
    <x v="1"/>
    <n v="0"/>
    <n v="77.430000000000007"/>
    <n v="170"/>
    <n v="205"/>
  </r>
  <r>
    <x v="461"/>
    <s v="C7451"/>
    <d v="2023-07-05T00:00:00"/>
    <d v="2020-06-17T00:00:00"/>
    <x v="0"/>
    <s v="South America"/>
    <s v="China"/>
    <s v="Cape Town"/>
    <s v="P95403"/>
    <s v="Furniture"/>
    <s v="Medicines"/>
    <s v="Product_1304"/>
    <n v="126.16"/>
    <n v="16"/>
    <s v="S417"/>
    <s v="Beta Ltd"/>
    <s v="W28"/>
    <x v="2"/>
    <s v="UPS"/>
    <s v="Berlin-Toronto"/>
    <n v="188"/>
    <n v="143"/>
    <n v="29"/>
    <n v="266.73"/>
    <n v="109.13"/>
    <n v="375.86"/>
    <x v="1"/>
    <n v="0"/>
    <n v="95.62"/>
    <n v="133"/>
    <n v="131"/>
  </r>
  <r>
    <x v="462"/>
    <s v="C5467"/>
    <d v="2024-05-24T00:00:00"/>
    <d v="2020-11-20T00:00:00"/>
    <x v="2"/>
    <s v="Africa"/>
    <s v="Canada"/>
    <s v="São Paulo"/>
    <s v="P82387"/>
    <s v="Pharma"/>
    <s v="Chair"/>
    <s v="Product_2734"/>
    <n v="315.12"/>
    <n v="83"/>
    <s v="S142"/>
    <s v="Epsilon LLC"/>
    <s v="W38"/>
    <x v="1"/>
    <s v="DHL"/>
    <s v="New York-Beijing"/>
    <n v="4320"/>
    <n v="470"/>
    <n v="28"/>
    <n v="642.91999999999996"/>
    <n v="393.76"/>
    <n v="1036.68"/>
    <x v="1"/>
    <n v="0"/>
    <n v="82.4"/>
    <n v="318"/>
    <n v="324"/>
  </r>
  <r>
    <x v="463"/>
    <s v="C4256"/>
    <d v="2020-07-31T00:00:00"/>
    <d v="2023-06-21T00:00:00"/>
    <x v="2"/>
    <s v="Asia"/>
    <s v="UK"/>
    <s v="Toronto"/>
    <s v="P72799"/>
    <s v="Furniture"/>
    <s v="Medicines"/>
    <s v="Product_1815"/>
    <n v="286.8"/>
    <n v="8"/>
    <s v="S342"/>
    <s v="Epsilon LLC"/>
    <s v="W13"/>
    <x v="3"/>
    <s v="DHL"/>
    <s v="London-Mumbai"/>
    <n v="3510"/>
    <n v="68"/>
    <n v="2"/>
    <n v="1195.74"/>
    <n v="226.59"/>
    <n v="1422.33"/>
    <x v="1"/>
    <n v="0"/>
    <n v="91.35"/>
    <n v="477"/>
    <n v="466"/>
  </r>
  <r>
    <x v="464"/>
    <s v="C8514"/>
    <d v="2022-03-29T00:00:00"/>
    <d v="2024-10-10T00:00:00"/>
    <x v="0"/>
    <s v="Africa"/>
    <s v="South Africa"/>
    <s v="London"/>
    <s v="P10665"/>
    <s v="Food"/>
    <s v="Shirt"/>
    <s v="Product_7404"/>
    <n v="179.15"/>
    <n v="99"/>
    <s v="S594"/>
    <s v="Epsilon LLC"/>
    <s v="W48"/>
    <x v="2"/>
    <s v="FedEx"/>
    <s v="New York-Beijing"/>
    <n v="4548"/>
    <n v="404"/>
    <n v="5"/>
    <n v="1875.03"/>
    <n v="476.77"/>
    <n v="2351.8000000000002"/>
    <x v="1"/>
    <n v="0"/>
    <n v="85.82"/>
    <n v="408"/>
    <n v="407"/>
  </r>
  <r>
    <x v="465"/>
    <s v="C9055"/>
    <d v="2024-02-15T00:00:00"/>
    <d v="2023-05-17T00:00:00"/>
    <x v="1"/>
    <s v="Africa"/>
    <s v="USA"/>
    <s v="Berlin"/>
    <s v="P17979"/>
    <s v="Apparel"/>
    <s v="Laptop"/>
    <s v="Product_5249"/>
    <n v="331.51"/>
    <n v="57"/>
    <s v="S735"/>
    <s v="Delta Traders"/>
    <s v="W36"/>
    <x v="0"/>
    <s v="BlueDart"/>
    <s v="São Paulo-São Paulo"/>
    <n v="949"/>
    <n v="436"/>
    <n v="14"/>
    <n v="1670.01"/>
    <n v="192.58"/>
    <n v="1862.59"/>
    <x v="1"/>
    <n v="0"/>
    <n v="81.709999999999994"/>
    <n v="220"/>
    <n v="229"/>
  </r>
  <r>
    <x v="466"/>
    <s v="C8183"/>
    <d v="2021-04-15T00:00:00"/>
    <d v="2023-08-18T00:00:00"/>
    <x v="2"/>
    <s v="South America"/>
    <s v="India"/>
    <s v="Berlin"/>
    <s v="P72156"/>
    <s v="Food"/>
    <s v="Chair"/>
    <s v="Product_2597"/>
    <n v="282.26"/>
    <n v="40"/>
    <s v="S659"/>
    <s v="Beta Ltd"/>
    <s v="W28"/>
    <x v="2"/>
    <s v="BlueDart"/>
    <s v="New York-Cape Town"/>
    <n v="2737"/>
    <n v="387"/>
    <n v="1"/>
    <n v="1610.79"/>
    <n v="422.92"/>
    <n v="2033.71"/>
    <x v="1"/>
    <n v="0"/>
    <n v="70.37"/>
    <n v="189"/>
    <n v="219"/>
  </r>
  <r>
    <x v="467"/>
    <s v="C9742"/>
    <d v="2023-09-13T00:00:00"/>
    <d v="2022-05-01T00:00:00"/>
    <x v="2"/>
    <s v="Europe"/>
    <s v="USA"/>
    <s v="London"/>
    <s v="P11597"/>
    <s v="Apparel"/>
    <s v="Chair"/>
    <s v="Product_9190"/>
    <n v="199.45"/>
    <n v="25"/>
    <s v="S203"/>
    <s v="Delta Traders"/>
    <s v="W33"/>
    <x v="2"/>
    <s v="DHL"/>
    <s v="Mumbai-Mumbai"/>
    <n v="1816"/>
    <n v="169"/>
    <n v="27"/>
    <n v="1208.9100000000001"/>
    <n v="389.94"/>
    <n v="1598.85"/>
    <x v="1"/>
    <n v="0"/>
    <n v="72.680000000000007"/>
    <n v="243"/>
    <n v="196"/>
  </r>
  <r>
    <x v="468"/>
    <s v="C9709"/>
    <d v="2020-03-23T00:00:00"/>
    <d v="2022-11-12T00:00:00"/>
    <x v="2"/>
    <s v="South America"/>
    <s v="USA"/>
    <s v="São Paulo"/>
    <s v="P84860"/>
    <s v="Pharma"/>
    <s v="Medicines"/>
    <s v="Product_2418"/>
    <n v="90.32"/>
    <n v="49"/>
    <s v="S681"/>
    <s v="Alpha Corp"/>
    <s v="W14"/>
    <x v="2"/>
    <s v="FedEx"/>
    <s v="London-Cape Town"/>
    <n v="2203"/>
    <n v="365"/>
    <n v="7"/>
    <n v="1815.82"/>
    <n v="474.61"/>
    <n v="2290.4299999999998"/>
    <x v="1"/>
    <n v="0"/>
    <n v="92.87"/>
    <n v="422"/>
    <n v="469"/>
  </r>
  <r>
    <x v="469"/>
    <s v="C4798"/>
    <d v="2024-05-12T00:00:00"/>
    <d v="2022-07-10T00:00:00"/>
    <x v="2"/>
    <s v="Asia"/>
    <s v="Germany"/>
    <s v="Berlin"/>
    <s v="P80059"/>
    <s v="Food"/>
    <s v="Laptop"/>
    <s v="Product_8452"/>
    <n v="42.44"/>
    <n v="88"/>
    <s v="S890"/>
    <s v="Beta Ltd"/>
    <s v="W4"/>
    <x v="1"/>
    <s v="DHL"/>
    <s v="São Paulo-New York"/>
    <n v="1724"/>
    <n v="380"/>
    <n v="11"/>
    <n v="170.86"/>
    <n v="297.38"/>
    <n v="468.24"/>
    <x v="1"/>
    <n v="0"/>
    <n v="98.46"/>
    <n v="155"/>
    <n v="125"/>
  </r>
  <r>
    <x v="470"/>
    <s v="C8740"/>
    <d v="2022-12-31T00:00:00"/>
    <d v="2024-10-11T00:00:00"/>
    <x v="2"/>
    <s v="Asia"/>
    <s v="China"/>
    <s v="Toronto"/>
    <s v="P21035"/>
    <s v="Electronics"/>
    <s v="Shirt"/>
    <s v="Product_6391"/>
    <n v="119"/>
    <n v="62"/>
    <s v="S822"/>
    <s v="Alpha Corp"/>
    <s v="W19"/>
    <x v="1"/>
    <s v="UPS"/>
    <s v="Berlin-Cape Town"/>
    <n v="133"/>
    <n v="58"/>
    <n v="13"/>
    <n v="1466.69"/>
    <n v="214.32"/>
    <n v="1681.01"/>
    <x v="1"/>
    <n v="0"/>
    <n v="92.52"/>
    <n v="97"/>
    <n v="61"/>
  </r>
  <r>
    <x v="471"/>
    <s v="C8744"/>
    <d v="2020-03-14T00:00:00"/>
    <d v="2023-12-30T00:00:00"/>
    <x v="2"/>
    <s v="South America"/>
    <s v="Brazil"/>
    <s v="London"/>
    <s v="P92758"/>
    <s v="Food"/>
    <s v="Laptop"/>
    <s v="Product_3549"/>
    <n v="16.850000000000001"/>
    <n v="73"/>
    <s v="S185"/>
    <s v="Epsilon LLC"/>
    <s v="W38"/>
    <x v="3"/>
    <s v="DHL"/>
    <s v="São Paulo-Berlin"/>
    <n v="2259"/>
    <n v="336"/>
    <n v="24"/>
    <n v="1138.67"/>
    <n v="345.16"/>
    <n v="1483.83"/>
    <x v="1"/>
    <n v="0"/>
    <n v="89.55"/>
    <n v="489"/>
    <n v="526"/>
  </r>
  <r>
    <x v="472"/>
    <s v="C6367"/>
    <d v="2024-11-22T00:00:00"/>
    <d v="2022-08-08T00:00:00"/>
    <x v="2"/>
    <s v="Africa"/>
    <s v="Canada"/>
    <s v="Mumbai"/>
    <s v="P24372"/>
    <s v="Food"/>
    <s v="Medicines"/>
    <s v="Product_8777"/>
    <n v="189.09"/>
    <n v="27"/>
    <s v="S597"/>
    <s v="Delta Traders"/>
    <s v="W25"/>
    <x v="0"/>
    <s v="FedEx"/>
    <s v="Mumbai-Toronto"/>
    <n v="1333"/>
    <n v="267"/>
    <n v="9"/>
    <n v="193.72"/>
    <n v="444.36"/>
    <n v="638.08000000000004"/>
    <x v="1"/>
    <n v="0"/>
    <n v="76.08"/>
    <n v="316"/>
    <n v="273"/>
  </r>
  <r>
    <x v="473"/>
    <s v="C9364"/>
    <d v="2024-12-06T00:00:00"/>
    <d v="2023-05-21T00:00:00"/>
    <x v="0"/>
    <s v="North America"/>
    <s v="China"/>
    <s v="Berlin"/>
    <s v="P89397"/>
    <s v="Apparel"/>
    <s v="Laptop"/>
    <s v="Product_9594"/>
    <n v="84.29"/>
    <n v="28"/>
    <s v="S674"/>
    <s v="Gamma Inc"/>
    <s v="W44"/>
    <x v="2"/>
    <s v="BlueDart"/>
    <s v="Beijing-London"/>
    <n v="3734"/>
    <n v="460"/>
    <n v="2"/>
    <n v="1368.88"/>
    <n v="137.86000000000001"/>
    <n v="1506.74"/>
    <x v="0"/>
    <n v="5"/>
    <n v="84.16"/>
    <n v="493"/>
    <n v="542"/>
  </r>
  <r>
    <x v="474"/>
    <s v="C8152"/>
    <d v="2020-05-26T00:00:00"/>
    <d v="2023-11-24T00:00:00"/>
    <x v="1"/>
    <s v="North America"/>
    <s v="India"/>
    <s v="Beijing"/>
    <s v="P41306"/>
    <s v="Food"/>
    <s v="Medicines"/>
    <s v="Product_6954"/>
    <n v="188.82"/>
    <n v="25"/>
    <s v="S313"/>
    <s v="Delta Traders"/>
    <s v="W48"/>
    <x v="2"/>
    <s v="UPS"/>
    <s v="Beijing-Cape Town"/>
    <n v="314"/>
    <n v="271"/>
    <n v="26"/>
    <n v="1527.75"/>
    <n v="197.17"/>
    <n v="1724.92"/>
    <x v="1"/>
    <n v="0"/>
    <n v="93.04"/>
    <n v="228"/>
    <n v="197"/>
  </r>
  <r>
    <x v="475"/>
    <s v="C7793"/>
    <d v="2023-12-31T00:00:00"/>
    <d v="2020-05-10T00:00:00"/>
    <x v="1"/>
    <s v="Europe"/>
    <s v="USA"/>
    <s v="Beijing"/>
    <s v="P83869"/>
    <s v="Furniture"/>
    <s v="Shirt"/>
    <s v="Product_4532"/>
    <n v="150.4"/>
    <n v="86"/>
    <s v="S290"/>
    <s v="Alpha Corp"/>
    <s v="W31"/>
    <x v="2"/>
    <s v="DHL"/>
    <s v="Cape Town-London"/>
    <n v="4766"/>
    <n v="153"/>
    <n v="25"/>
    <n v="1327.16"/>
    <n v="267.2"/>
    <n v="1594.36"/>
    <x v="1"/>
    <n v="0"/>
    <n v="96.04"/>
    <n v="179"/>
    <n v="188"/>
  </r>
  <r>
    <x v="476"/>
    <s v="C1615"/>
    <d v="2022-04-25T00:00:00"/>
    <d v="2021-07-21T00:00:00"/>
    <x v="2"/>
    <s v="Asia"/>
    <s v="USA"/>
    <s v="São Paulo"/>
    <s v="P16607"/>
    <s v="Apparel"/>
    <s v="Chair"/>
    <s v="Product_2161"/>
    <n v="315.18"/>
    <n v="13"/>
    <s v="S930"/>
    <s v="Epsilon LLC"/>
    <s v="W24"/>
    <x v="1"/>
    <s v="UPS"/>
    <s v="Mumbai-São Paulo"/>
    <n v="1623"/>
    <n v="221"/>
    <n v="16"/>
    <n v="1797.74"/>
    <n v="90.27"/>
    <n v="1888.01"/>
    <x v="1"/>
    <n v="0"/>
    <n v="90.12"/>
    <n v="116"/>
    <n v="110"/>
  </r>
  <r>
    <x v="477"/>
    <s v="C2677"/>
    <d v="2024-12-22T00:00:00"/>
    <d v="2020-08-12T00:00:00"/>
    <x v="0"/>
    <s v="North America"/>
    <s v="Canada"/>
    <s v="New York"/>
    <s v="P60296"/>
    <s v="Apparel"/>
    <s v="Chair"/>
    <s v="Product_7316"/>
    <n v="319.33"/>
    <n v="14"/>
    <s v="S730"/>
    <s v="Gamma Inc"/>
    <s v="W24"/>
    <x v="3"/>
    <s v="DHL"/>
    <s v="Beijing-London"/>
    <n v="2196"/>
    <n v="108"/>
    <n v="27"/>
    <n v="1277.3800000000001"/>
    <n v="480.67"/>
    <n v="1758.05"/>
    <x v="1"/>
    <n v="0"/>
    <n v="87.37"/>
    <n v="229"/>
    <n v="242"/>
  </r>
  <r>
    <x v="478"/>
    <s v="C9931"/>
    <d v="2020-07-13T00:00:00"/>
    <d v="2021-01-06T00:00:00"/>
    <x v="2"/>
    <s v="Asia"/>
    <s v="South Africa"/>
    <s v="Mumbai"/>
    <s v="P38241"/>
    <s v="Apparel"/>
    <s v="Laptop"/>
    <s v="Product_3156"/>
    <n v="123.71"/>
    <n v="20"/>
    <s v="S396"/>
    <s v="Beta Ltd"/>
    <s v="W10"/>
    <x v="0"/>
    <s v="Maersk"/>
    <s v="Toronto-New York"/>
    <n v="4151"/>
    <n v="94"/>
    <n v="23"/>
    <n v="336.65"/>
    <n v="399.02"/>
    <n v="735.67"/>
    <x v="1"/>
    <n v="0"/>
    <n v="93.03"/>
    <n v="371"/>
    <n v="390"/>
  </r>
  <r>
    <x v="479"/>
    <s v="C3137"/>
    <d v="2022-08-17T00:00:00"/>
    <d v="2024-09-02T00:00:00"/>
    <x v="2"/>
    <s v="North America"/>
    <s v="UK"/>
    <s v="Cape Town"/>
    <s v="P29099"/>
    <s v="Apparel"/>
    <s v="Laptop"/>
    <s v="Product_9605"/>
    <n v="428.82"/>
    <n v="77"/>
    <s v="S273"/>
    <s v="Beta Ltd"/>
    <s v="W20"/>
    <x v="1"/>
    <s v="FedEx"/>
    <s v="Beijing-London"/>
    <n v="4746"/>
    <n v="219"/>
    <n v="1"/>
    <n v="1851.85"/>
    <n v="447.23"/>
    <n v="2299.08"/>
    <x v="1"/>
    <n v="0"/>
    <n v="88.52"/>
    <n v="308"/>
    <n v="299"/>
  </r>
  <r>
    <x v="480"/>
    <s v="C2661"/>
    <d v="2020-12-03T00:00:00"/>
    <d v="2021-11-05T00:00:00"/>
    <x v="2"/>
    <s v="South America"/>
    <s v="China"/>
    <s v="Beijing"/>
    <s v="P63383"/>
    <s v="Apparel"/>
    <s v="Snacks"/>
    <s v="Product_6800"/>
    <n v="435.82"/>
    <n v="41"/>
    <s v="S594"/>
    <s v="Beta Ltd"/>
    <s v="W23"/>
    <x v="2"/>
    <s v="Maersk"/>
    <s v="São Paulo-Beijing"/>
    <n v="4306"/>
    <n v="100"/>
    <n v="15"/>
    <n v="705.18"/>
    <n v="489.78"/>
    <n v="1194.96"/>
    <x v="1"/>
    <n v="0"/>
    <n v="73.2"/>
    <n v="413"/>
    <n v="440"/>
  </r>
  <r>
    <x v="481"/>
    <s v="C5043"/>
    <d v="2020-06-03T00:00:00"/>
    <d v="2020-09-20T00:00:00"/>
    <x v="1"/>
    <s v="Asia"/>
    <s v="Canada"/>
    <s v="New York"/>
    <s v="P93066"/>
    <s v="Apparel"/>
    <s v="Snacks"/>
    <s v="Product_8538"/>
    <n v="255.19"/>
    <n v="41"/>
    <s v="S150"/>
    <s v="Beta Ltd"/>
    <s v="W8"/>
    <x v="2"/>
    <s v="FedEx"/>
    <s v="London-Mumbai"/>
    <n v="392"/>
    <n v="124"/>
    <n v="14"/>
    <n v="1740.88"/>
    <n v="497.84"/>
    <n v="2238.7199999999998"/>
    <x v="1"/>
    <n v="0"/>
    <n v="90.94"/>
    <n v="62"/>
    <n v="45"/>
  </r>
  <r>
    <x v="482"/>
    <s v="C5216"/>
    <d v="2021-08-22T00:00:00"/>
    <d v="2023-02-12T00:00:00"/>
    <x v="1"/>
    <s v="Europe"/>
    <s v="USA"/>
    <s v="Toronto"/>
    <s v="P65125"/>
    <s v="Electronics"/>
    <s v="Shirt"/>
    <s v="Product_4292"/>
    <n v="420.93"/>
    <n v="90"/>
    <s v="S156"/>
    <s v="Delta Traders"/>
    <s v="W33"/>
    <x v="1"/>
    <s v="UPS"/>
    <s v="London-Beijing"/>
    <n v="4365"/>
    <n v="54"/>
    <n v="27"/>
    <n v="1462.86"/>
    <n v="61.59"/>
    <n v="1524.45"/>
    <x v="1"/>
    <n v="0"/>
    <n v="91.68"/>
    <n v="155"/>
    <n v="142"/>
  </r>
  <r>
    <x v="483"/>
    <s v="C6584"/>
    <d v="2021-01-23T00:00:00"/>
    <d v="2021-01-30T00:00:00"/>
    <x v="2"/>
    <s v="Europe"/>
    <s v="China"/>
    <s v="London"/>
    <s v="P57459"/>
    <s v="Apparel"/>
    <s v="Laptop"/>
    <s v="Product_1870"/>
    <n v="481.59"/>
    <n v="49"/>
    <s v="S410"/>
    <s v="Epsilon LLC"/>
    <s v="W10"/>
    <x v="2"/>
    <s v="Maersk"/>
    <s v="Mumbai-Berlin"/>
    <n v="2088"/>
    <n v="410"/>
    <n v="24"/>
    <n v="790.15"/>
    <n v="435.46"/>
    <n v="1225.6099999999999"/>
    <x v="0"/>
    <n v="6"/>
    <n v="79.84"/>
    <n v="160"/>
    <n v="192"/>
  </r>
  <r>
    <x v="484"/>
    <s v="C2622"/>
    <d v="2022-10-25T00:00:00"/>
    <d v="2023-02-18T00:00:00"/>
    <x v="2"/>
    <s v="North America"/>
    <s v="Germany"/>
    <s v="São Paulo"/>
    <s v="P98783"/>
    <s v="Food"/>
    <s v="Shirt"/>
    <s v="Product_5576"/>
    <n v="474"/>
    <n v="84"/>
    <s v="S548"/>
    <s v="Epsilon LLC"/>
    <s v="W16"/>
    <x v="3"/>
    <s v="BlueDart"/>
    <s v="São Paulo-São Paulo"/>
    <n v="1064"/>
    <n v="348"/>
    <n v="2"/>
    <n v="1156.3900000000001"/>
    <n v="409.1"/>
    <n v="1565.49"/>
    <x v="1"/>
    <n v="0"/>
    <n v="81.87"/>
    <n v="330"/>
    <n v="345"/>
  </r>
  <r>
    <x v="485"/>
    <s v="C1147"/>
    <d v="2020-04-08T00:00:00"/>
    <d v="2024-07-10T00:00:00"/>
    <x v="2"/>
    <s v="Asia"/>
    <s v="South Africa"/>
    <s v="Cape Town"/>
    <s v="P19277"/>
    <s v="Electronics"/>
    <s v="Laptop"/>
    <s v="Product_1098"/>
    <n v="393.5"/>
    <n v="73"/>
    <s v="S465"/>
    <s v="Epsilon LLC"/>
    <s v="W32"/>
    <x v="2"/>
    <s v="Maersk"/>
    <s v="Mumbai-São Paulo"/>
    <n v="3238"/>
    <n v="379"/>
    <n v="14"/>
    <n v="414.27"/>
    <n v="292.99"/>
    <n v="707.26"/>
    <x v="1"/>
    <n v="0"/>
    <n v="91.38"/>
    <n v="338"/>
    <n v="367"/>
  </r>
  <r>
    <x v="486"/>
    <s v="C2765"/>
    <d v="2023-06-13T00:00:00"/>
    <d v="2021-09-17T00:00:00"/>
    <x v="2"/>
    <s v="Asia"/>
    <s v="UK"/>
    <s v="Cape Town"/>
    <s v="P92853"/>
    <s v="Pharma"/>
    <s v="Medicines"/>
    <s v="Product_5932"/>
    <n v="97.86"/>
    <n v="1"/>
    <s v="S669"/>
    <s v="Gamma Inc"/>
    <s v="W13"/>
    <x v="3"/>
    <s v="BlueDart"/>
    <s v="London-São Paulo"/>
    <n v="3557"/>
    <n v="132"/>
    <n v="18"/>
    <n v="839.16"/>
    <n v="469.93"/>
    <n v="1309.0899999999999"/>
    <x v="1"/>
    <n v="0"/>
    <n v="99.73"/>
    <n v="193"/>
    <n v="152"/>
  </r>
  <r>
    <x v="487"/>
    <s v="C7654"/>
    <d v="2024-05-27T00:00:00"/>
    <d v="2021-12-31T00:00:00"/>
    <x v="2"/>
    <s v="South America"/>
    <s v="USA"/>
    <s v="Beijing"/>
    <s v="P43829"/>
    <s v="Pharma"/>
    <s v="Medicines"/>
    <s v="Product_8098"/>
    <n v="106.86"/>
    <n v="77"/>
    <s v="S246"/>
    <s v="Beta Ltd"/>
    <s v="W12"/>
    <x v="2"/>
    <s v="FedEx"/>
    <s v="Beijing-London"/>
    <n v="4899"/>
    <n v="247"/>
    <n v="21"/>
    <n v="1680.98"/>
    <n v="324.3"/>
    <n v="2005.28"/>
    <x v="1"/>
    <n v="0"/>
    <n v="78.489999999999995"/>
    <n v="68"/>
    <n v="108"/>
  </r>
  <r>
    <x v="488"/>
    <s v="C7663"/>
    <d v="2020-09-04T00:00:00"/>
    <d v="2025-01-04T00:00:00"/>
    <x v="2"/>
    <s v="South America"/>
    <s v="Germany"/>
    <s v="Toronto"/>
    <s v="P94136"/>
    <s v="Furniture"/>
    <s v="Shirt"/>
    <s v="Product_2031"/>
    <n v="265.22000000000003"/>
    <n v="16"/>
    <s v="S781"/>
    <s v="Delta Traders"/>
    <s v="W5"/>
    <x v="2"/>
    <s v="UPS"/>
    <s v="São Paulo-Berlin"/>
    <n v="4215"/>
    <n v="499"/>
    <n v="23"/>
    <n v="952.63"/>
    <n v="268.48"/>
    <n v="1221.1099999999999"/>
    <x v="1"/>
    <n v="0"/>
    <n v="80.040000000000006"/>
    <n v="128"/>
    <n v="139"/>
  </r>
  <r>
    <x v="489"/>
    <s v="C2651"/>
    <d v="2021-03-24T00:00:00"/>
    <d v="2020-12-05T00:00:00"/>
    <x v="2"/>
    <s v="Asia"/>
    <s v="South Africa"/>
    <s v="Beijing"/>
    <s v="P76459"/>
    <s v="Food"/>
    <s v="Chair"/>
    <s v="Product_6844"/>
    <n v="407.79"/>
    <n v="52"/>
    <s v="S862"/>
    <s v="Delta Traders"/>
    <s v="W28"/>
    <x v="2"/>
    <s v="FedEx"/>
    <s v="Mumbai-Cape Town"/>
    <n v="1003"/>
    <n v="303"/>
    <n v="8"/>
    <n v="1468.85"/>
    <n v="280.55"/>
    <n v="1749.4"/>
    <x v="1"/>
    <n v="0"/>
    <n v="83.05"/>
    <n v="126"/>
    <n v="147"/>
  </r>
  <r>
    <x v="490"/>
    <s v="C4802"/>
    <d v="2024-10-09T00:00:00"/>
    <d v="2024-08-18T00:00:00"/>
    <x v="0"/>
    <s v="Asia"/>
    <s v="Brazil"/>
    <s v="Beijing"/>
    <s v="P28305"/>
    <s v="Electronics"/>
    <s v="Snacks"/>
    <s v="Product_2561"/>
    <n v="407.83"/>
    <n v="38"/>
    <s v="S998"/>
    <s v="Epsilon LLC"/>
    <s v="W23"/>
    <x v="1"/>
    <s v="Maersk"/>
    <s v="London-Toronto"/>
    <n v="340"/>
    <n v="229"/>
    <n v="17"/>
    <n v="994.65"/>
    <n v="410.69"/>
    <n v="1405.34"/>
    <x v="1"/>
    <n v="0"/>
    <n v="72.02"/>
    <n v="217"/>
    <n v="252"/>
  </r>
  <r>
    <x v="491"/>
    <s v="C4895"/>
    <d v="2024-01-10T00:00:00"/>
    <d v="2024-10-05T00:00:00"/>
    <x v="1"/>
    <s v="Africa"/>
    <s v="China"/>
    <s v="São Paulo"/>
    <s v="P41992"/>
    <s v="Furniture"/>
    <s v="Medicines"/>
    <s v="Product_1368"/>
    <n v="138.97"/>
    <n v="63"/>
    <s v="S408"/>
    <s v="Beta Ltd"/>
    <s v="W26"/>
    <x v="2"/>
    <s v="UPS"/>
    <s v="Beijing-Beijing"/>
    <n v="791"/>
    <n v="297"/>
    <n v="25"/>
    <n v="1845.32"/>
    <n v="159.11000000000001"/>
    <n v="2004.43"/>
    <x v="0"/>
    <n v="1"/>
    <n v="82.27"/>
    <n v="416"/>
    <n v="416"/>
  </r>
  <r>
    <x v="492"/>
    <s v="C8954"/>
    <d v="2021-03-25T00:00:00"/>
    <d v="2022-02-08T00:00:00"/>
    <x v="2"/>
    <s v="Europe"/>
    <s v="USA"/>
    <s v="Cape Town"/>
    <s v="P66055"/>
    <s v="Pharma"/>
    <s v="Snacks"/>
    <s v="Product_7063"/>
    <n v="366.62"/>
    <n v="54"/>
    <s v="S871"/>
    <s v="Alpha Corp"/>
    <s v="W17"/>
    <x v="0"/>
    <s v="UPS"/>
    <s v="São Paulo-London"/>
    <n v="4442"/>
    <n v="281"/>
    <n v="15"/>
    <n v="127.91"/>
    <n v="440.97"/>
    <n v="568.88"/>
    <x v="1"/>
    <n v="0"/>
    <n v="94.97"/>
    <n v="296"/>
    <n v="302"/>
  </r>
  <r>
    <x v="493"/>
    <s v="C5700"/>
    <d v="2021-10-24T00:00:00"/>
    <d v="2021-11-17T00:00:00"/>
    <x v="1"/>
    <s v="South America"/>
    <s v="India"/>
    <s v="London"/>
    <s v="P15326"/>
    <s v="Electronics"/>
    <s v="Chair"/>
    <s v="Product_8906"/>
    <n v="263.49"/>
    <n v="25"/>
    <s v="S117"/>
    <s v="Beta Ltd"/>
    <s v="W29"/>
    <x v="1"/>
    <s v="BlueDart"/>
    <s v="Mumbai-Cape Town"/>
    <n v="117"/>
    <n v="154"/>
    <n v="11"/>
    <n v="1371.52"/>
    <n v="495.05"/>
    <n v="1866.57"/>
    <x v="1"/>
    <n v="0"/>
    <n v="76.05"/>
    <n v="398"/>
    <n v="417"/>
  </r>
  <r>
    <x v="494"/>
    <s v="C7264"/>
    <d v="2023-08-26T00:00:00"/>
    <d v="2024-08-08T00:00:00"/>
    <x v="1"/>
    <s v="Africa"/>
    <s v="Brazil"/>
    <s v="Berlin"/>
    <s v="P29385"/>
    <s v="Apparel"/>
    <s v="Snacks"/>
    <s v="Product_7066"/>
    <n v="360.35"/>
    <n v="38"/>
    <s v="S343"/>
    <s v="Delta Traders"/>
    <s v="W5"/>
    <x v="0"/>
    <s v="UPS"/>
    <s v="Cape Town-Mumbai"/>
    <n v="174"/>
    <n v="92"/>
    <n v="16"/>
    <n v="1045.9000000000001"/>
    <n v="242.11"/>
    <n v="1288.01"/>
    <x v="1"/>
    <n v="0"/>
    <n v="88.78"/>
    <n v="237"/>
    <n v="265"/>
  </r>
  <r>
    <x v="495"/>
    <s v="C9624"/>
    <d v="2020-11-23T00:00:00"/>
    <d v="2022-02-07T00:00:00"/>
    <x v="2"/>
    <s v="North America"/>
    <s v="USA"/>
    <s v="Cape Town"/>
    <s v="P53030"/>
    <s v="Furniture"/>
    <s v="Snacks"/>
    <s v="Product_3776"/>
    <n v="265.64999999999998"/>
    <n v="17"/>
    <s v="S270"/>
    <s v="Epsilon LLC"/>
    <s v="W10"/>
    <x v="0"/>
    <s v="Maersk"/>
    <s v="Berlin-Beijing"/>
    <n v="2669"/>
    <n v="57"/>
    <n v="5"/>
    <n v="927.98"/>
    <n v="423.01"/>
    <n v="1350.99"/>
    <x v="0"/>
    <n v="14"/>
    <n v="83.16"/>
    <n v="317"/>
    <n v="296"/>
  </r>
  <r>
    <x v="496"/>
    <s v="C9892"/>
    <d v="2022-07-15T00:00:00"/>
    <d v="2024-09-27T00:00:00"/>
    <x v="1"/>
    <s v="Europe"/>
    <s v="USA"/>
    <s v="Berlin"/>
    <s v="P48194"/>
    <s v="Electronics"/>
    <s v="Medicines"/>
    <s v="Product_2132"/>
    <n v="94.64"/>
    <n v="3"/>
    <s v="S977"/>
    <s v="Alpha Corp"/>
    <s v="W7"/>
    <x v="0"/>
    <s v="Maersk"/>
    <s v="Beijing-Beijing"/>
    <n v="2681"/>
    <n v="468"/>
    <n v="28"/>
    <n v="72.5"/>
    <n v="17.04"/>
    <n v="89.539999999999992"/>
    <x v="1"/>
    <n v="0"/>
    <n v="71.22"/>
    <n v="253"/>
    <n v="282"/>
  </r>
  <r>
    <x v="497"/>
    <s v="C6377"/>
    <d v="2023-03-22T00:00:00"/>
    <d v="2021-08-17T00:00:00"/>
    <x v="2"/>
    <s v="North America"/>
    <s v="USA"/>
    <s v="São Paulo"/>
    <s v="P36093"/>
    <s v="Apparel"/>
    <s v="Snacks"/>
    <s v="Product_6520"/>
    <n v="335.11"/>
    <n v="23"/>
    <s v="S192"/>
    <s v="Epsilon LLC"/>
    <s v="W17"/>
    <x v="1"/>
    <s v="DHL"/>
    <s v="Berlin-Cape Town"/>
    <n v="2377"/>
    <n v="105"/>
    <n v="10"/>
    <n v="721.62"/>
    <n v="388.06"/>
    <n v="1109.68"/>
    <x v="0"/>
    <n v="9"/>
    <n v="91.14"/>
    <n v="235"/>
    <n v="231"/>
  </r>
  <r>
    <x v="498"/>
    <s v="C8665"/>
    <d v="2023-08-30T00:00:00"/>
    <d v="2020-02-11T00:00:00"/>
    <x v="1"/>
    <s v="South America"/>
    <s v="China"/>
    <s v="Toronto"/>
    <s v="P38493"/>
    <s v="Pharma"/>
    <s v="Laptop"/>
    <s v="Product_6463"/>
    <n v="347.43"/>
    <n v="90"/>
    <s v="S983"/>
    <s v="Delta Traders"/>
    <s v="W9"/>
    <x v="3"/>
    <s v="Maersk"/>
    <s v="Beijing-Toronto"/>
    <n v="4810"/>
    <n v="360"/>
    <n v="27"/>
    <n v="1442.79"/>
    <n v="196.81"/>
    <n v="1639.6"/>
    <x v="1"/>
    <n v="0"/>
    <n v="85.29"/>
    <n v="452"/>
    <n v="463"/>
  </r>
  <r>
    <x v="499"/>
    <s v="C1941"/>
    <d v="2022-08-17T00:00:00"/>
    <d v="2021-08-26T00:00:00"/>
    <x v="1"/>
    <s v="Europe"/>
    <s v="China"/>
    <s v="New York"/>
    <s v="P43885"/>
    <s v="Furniture"/>
    <s v="Snacks"/>
    <s v="Product_9518"/>
    <n v="234.09"/>
    <n v="31"/>
    <s v="S228"/>
    <s v="Beta Ltd"/>
    <s v="W23"/>
    <x v="3"/>
    <s v="DHL"/>
    <s v="Toronto-Mumbai"/>
    <n v="2087"/>
    <n v="384"/>
    <n v="24"/>
    <n v="1985.63"/>
    <n v="453.1"/>
    <n v="2438.73"/>
    <x v="1"/>
    <n v="0"/>
    <n v="77.53"/>
    <n v="457"/>
    <n v="408"/>
  </r>
  <r>
    <x v="500"/>
    <s v="C7874"/>
    <d v="2024-03-29T00:00:00"/>
    <d v="2022-08-08T00:00:00"/>
    <x v="2"/>
    <s v="Europe"/>
    <s v="USA"/>
    <s v="Berlin"/>
    <s v="P30067"/>
    <s v="Pharma"/>
    <s v="Snacks"/>
    <s v="Product_4093"/>
    <n v="362.52"/>
    <n v="69"/>
    <s v="S681"/>
    <s v="Delta Traders"/>
    <s v="W16"/>
    <x v="0"/>
    <s v="DHL"/>
    <s v="Cape Town-London"/>
    <n v="3557"/>
    <n v="178"/>
    <n v="27"/>
    <n v="262.18"/>
    <n v="472.97"/>
    <n v="735.15000000000009"/>
    <x v="1"/>
    <n v="0"/>
    <n v="82.29"/>
    <n v="453"/>
    <n v="446"/>
  </r>
  <r>
    <x v="501"/>
    <s v="C8693"/>
    <d v="2024-09-16T00:00:00"/>
    <d v="2022-08-20T00:00:00"/>
    <x v="2"/>
    <s v="South America"/>
    <s v="South Africa"/>
    <s v="Mumbai"/>
    <s v="P11113"/>
    <s v="Food"/>
    <s v="Medicines"/>
    <s v="Product_8683"/>
    <n v="349.56"/>
    <n v="31"/>
    <s v="S247"/>
    <s v="Gamma Inc"/>
    <s v="W30"/>
    <x v="2"/>
    <s v="FedEx"/>
    <s v="New York-New York"/>
    <n v="3491"/>
    <n v="90"/>
    <n v="18"/>
    <n v="146.91999999999999"/>
    <n v="483.51"/>
    <n v="630.42999999999995"/>
    <x v="1"/>
    <n v="0"/>
    <n v="80.8"/>
    <n v="252"/>
    <n v="237"/>
  </r>
  <r>
    <x v="502"/>
    <s v="C4296"/>
    <d v="2024-11-05T00:00:00"/>
    <d v="2023-05-19T00:00:00"/>
    <x v="0"/>
    <s v="North America"/>
    <s v="Canada"/>
    <s v="Beijing"/>
    <s v="P23655"/>
    <s v="Furniture"/>
    <s v="Snacks"/>
    <s v="Product_4104"/>
    <n v="261.39"/>
    <n v="52"/>
    <s v="S157"/>
    <s v="Beta Ltd"/>
    <s v="W42"/>
    <x v="0"/>
    <s v="DHL"/>
    <s v="London-London"/>
    <n v="3685"/>
    <n v="315"/>
    <n v="11"/>
    <n v="1671.5"/>
    <n v="356.7"/>
    <n v="2028.2"/>
    <x v="1"/>
    <n v="0"/>
    <n v="93.23"/>
    <n v="218"/>
    <n v="194"/>
  </r>
  <r>
    <x v="503"/>
    <s v="C3820"/>
    <d v="2023-02-20T00:00:00"/>
    <d v="2024-10-06T00:00:00"/>
    <x v="2"/>
    <s v="South America"/>
    <s v="Canada"/>
    <s v="São Paulo"/>
    <s v="P96148"/>
    <s v="Food"/>
    <s v="Snacks"/>
    <s v="Product_1147"/>
    <n v="461.25"/>
    <n v="81"/>
    <s v="S750"/>
    <s v="Beta Ltd"/>
    <s v="W5"/>
    <x v="3"/>
    <s v="Maersk"/>
    <s v="Cape Town-Berlin"/>
    <n v="3397"/>
    <n v="280"/>
    <n v="17"/>
    <n v="1044.22"/>
    <n v="247.75"/>
    <n v="1291.97"/>
    <x v="1"/>
    <n v="0"/>
    <n v="86.18"/>
    <n v="244"/>
    <n v="285"/>
  </r>
  <r>
    <x v="504"/>
    <s v="C2100"/>
    <d v="2023-05-17T00:00:00"/>
    <d v="2021-04-06T00:00:00"/>
    <x v="2"/>
    <s v="South America"/>
    <s v="Germany"/>
    <s v="Beijing"/>
    <s v="P70169"/>
    <s v="Food"/>
    <s v="Laptop"/>
    <s v="Product_8085"/>
    <n v="298.87"/>
    <n v="29"/>
    <s v="S120"/>
    <s v="Gamma Inc"/>
    <s v="W20"/>
    <x v="2"/>
    <s v="Maersk"/>
    <s v="Toronto-New York"/>
    <n v="3112"/>
    <n v="437"/>
    <n v="11"/>
    <n v="226.89"/>
    <n v="489.57"/>
    <n v="716.46"/>
    <x v="1"/>
    <n v="0"/>
    <n v="82.23"/>
    <n v="225"/>
    <n v="182"/>
  </r>
  <r>
    <x v="505"/>
    <s v="C8852"/>
    <d v="2020-02-13T00:00:00"/>
    <d v="2024-10-23T00:00:00"/>
    <x v="2"/>
    <s v="Africa"/>
    <s v="South Africa"/>
    <s v="Toronto"/>
    <s v="P32348"/>
    <s v="Apparel"/>
    <s v="Chair"/>
    <s v="Product_1770"/>
    <n v="469.98"/>
    <n v="35"/>
    <s v="S655"/>
    <s v="Alpha Corp"/>
    <s v="W19"/>
    <x v="2"/>
    <s v="UPS"/>
    <s v="Mumbai-London"/>
    <n v="3235"/>
    <n v="190"/>
    <n v="11"/>
    <n v="1699.56"/>
    <n v="495.05"/>
    <n v="2194.61"/>
    <x v="1"/>
    <n v="0"/>
    <n v="92.89"/>
    <n v="453"/>
    <n v="482"/>
  </r>
  <r>
    <x v="506"/>
    <s v="C4432"/>
    <d v="2020-12-22T00:00:00"/>
    <d v="2024-05-17T00:00:00"/>
    <x v="1"/>
    <s v="Asia"/>
    <s v="Germany"/>
    <s v="London"/>
    <s v="P38626"/>
    <s v="Electronics"/>
    <s v="Shirt"/>
    <s v="Product_5706"/>
    <n v="329.81"/>
    <n v="10"/>
    <s v="S906"/>
    <s v="Beta Ltd"/>
    <s v="W43"/>
    <x v="1"/>
    <s v="FedEx"/>
    <s v="London-New York"/>
    <n v="287"/>
    <n v="221"/>
    <n v="16"/>
    <n v="1298.98"/>
    <n v="172.38"/>
    <n v="1471.36"/>
    <x v="1"/>
    <n v="0"/>
    <n v="81.05"/>
    <n v="278"/>
    <n v="322"/>
  </r>
  <r>
    <x v="507"/>
    <s v="C3030"/>
    <d v="2021-03-03T00:00:00"/>
    <d v="2024-01-25T00:00:00"/>
    <x v="1"/>
    <s v="South America"/>
    <s v="South Africa"/>
    <s v="São Paulo"/>
    <s v="P64215"/>
    <s v="Apparel"/>
    <s v="Chair"/>
    <s v="Product_5362"/>
    <n v="155.25"/>
    <n v="66"/>
    <s v="S829"/>
    <s v="Epsilon LLC"/>
    <s v="W37"/>
    <x v="3"/>
    <s v="BlueDart"/>
    <s v="Berlin-Beijing"/>
    <n v="858"/>
    <n v="437"/>
    <n v="24"/>
    <n v="1164.81"/>
    <n v="254.17"/>
    <n v="1418.98"/>
    <x v="0"/>
    <n v="2"/>
    <n v="92.7"/>
    <n v="226"/>
    <n v="221"/>
  </r>
  <r>
    <x v="508"/>
    <s v="C8236"/>
    <d v="2024-03-01T00:00:00"/>
    <d v="2022-03-13T00:00:00"/>
    <x v="2"/>
    <s v="Africa"/>
    <s v="UK"/>
    <s v="Cape Town"/>
    <s v="P42713"/>
    <s v="Pharma"/>
    <s v="Medicines"/>
    <s v="Product_8624"/>
    <n v="485.7"/>
    <n v="63"/>
    <s v="S141"/>
    <s v="Epsilon LLC"/>
    <s v="W17"/>
    <x v="3"/>
    <s v="UPS"/>
    <s v="Beijing-Berlin"/>
    <n v="4886"/>
    <n v="263"/>
    <n v="12"/>
    <n v="666.52"/>
    <n v="187.03"/>
    <n v="853.55"/>
    <x v="1"/>
    <n v="0"/>
    <n v="82.68"/>
    <n v="100"/>
    <n v="106"/>
  </r>
  <r>
    <x v="509"/>
    <s v="C8933"/>
    <d v="2024-06-24T00:00:00"/>
    <d v="2024-12-27T00:00:00"/>
    <x v="1"/>
    <s v="Africa"/>
    <s v="South Africa"/>
    <s v="Beijing"/>
    <s v="P39798"/>
    <s v="Furniture"/>
    <s v="Laptop"/>
    <s v="Product_2185"/>
    <n v="489.95"/>
    <n v="41"/>
    <s v="S424"/>
    <s v="Alpha Corp"/>
    <s v="W47"/>
    <x v="2"/>
    <s v="DHL"/>
    <s v="London-Cape Town"/>
    <n v="3410"/>
    <n v="499"/>
    <n v="13"/>
    <n v="1855.33"/>
    <n v="303"/>
    <n v="2158.33"/>
    <x v="1"/>
    <n v="0"/>
    <n v="93"/>
    <n v="87"/>
    <n v="80"/>
  </r>
  <r>
    <x v="510"/>
    <s v="C1783"/>
    <d v="2022-03-05T00:00:00"/>
    <d v="2024-10-19T00:00:00"/>
    <x v="2"/>
    <s v="Africa"/>
    <s v="India"/>
    <s v="Mumbai"/>
    <s v="P11134"/>
    <s v="Furniture"/>
    <s v="Chair"/>
    <s v="Product_7801"/>
    <n v="299.81"/>
    <n v="27"/>
    <s v="S119"/>
    <s v="Beta Ltd"/>
    <s v="W19"/>
    <x v="3"/>
    <s v="UPS"/>
    <s v="Toronto-Toronto"/>
    <n v="210"/>
    <n v="481"/>
    <n v="2"/>
    <n v="781.61"/>
    <n v="418.42"/>
    <n v="1200.03"/>
    <x v="1"/>
    <n v="0"/>
    <n v="79.75"/>
    <n v="323"/>
    <n v="300"/>
  </r>
  <r>
    <x v="511"/>
    <s v="C5722"/>
    <d v="2022-05-22T00:00:00"/>
    <d v="2022-09-04T00:00:00"/>
    <x v="1"/>
    <s v="South America"/>
    <s v="Canada"/>
    <s v="New York"/>
    <s v="P69602"/>
    <s v="Furniture"/>
    <s v="Chair"/>
    <s v="Product_6238"/>
    <n v="412.26"/>
    <n v="39"/>
    <s v="S481"/>
    <s v="Gamma Inc"/>
    <s v="W33"/>
    <x v="2"/>
    <s v="UPS"/>
    <s v="Cape Town-São Paulo"/>
    <n v="3650"/>
    <n v="408"/>
    <n v="27"/>
    <n v="1728.03"/>
    <n v="49.34"/>
    <n v="1777.37"/>
    <x v="1"/>
    <n v="0"/>
    <n v="90.54"/>
    <n v="307"/>
    <n v="341"/>
  </r>
  <r>
    <x v="512"/>
    <s v="C4454"/>
    <d v="2020-06-06T00:00:00"/>
    <d v="2021-04-03T00:00:00"/>
    <x v="2"/>
    <s v="Europe"/>
    <s v="South Africa"/>
    <s v="London"/>
    <s v="P24513"/>
    <s v="Electronics"/>
    <s v="Shirt"/>
    <s v="Product_6982"/>
    <n v="318.23"/>
    <n v="68"/>
    <s v="S657"/>
    <s v="Alpha Corp"/>
    <s v="W10"/>
    <x v="2"/>
    <s v="FedEx"/>
    <s v="Beijing-São Paulo"/>
    <n v="491"/>
    <n v="242"/>
    <n v="6"/>
    <n v="145.46"/>
    <n v="135.18"/>
    <n v="280.64"/>
    <x v="1"/>
    <n v="0"/>
    <n v="84.62"/>
    <n v="305"/>
    <n v="303"/>
  </r>
  <r>
    <x v="513"/>
    <s v="C4354"/>
    <d v="2020-09-24T00:00:00"/>
    <d v="2020-07-29T00:00:00"/>
    <x v="1"/>
    <s v="Europe"/>
    <s v="South Africa"/>
    <s v="London"/>
    <s v="P78709"/>
    <s v="Pharma"/>
    <s v="Medicines"/>
    <s v="Product_8090"/>
    <n v="326.58999999999997"/>
    <n v="7"/>
    <s v="S866"/>
    <s v="Alpha Corp"/>
    <s v="W40"/>
    <x v="2"/>
    <s v="UPS"/>
    <s v="Berlin-Beijing"/>
    <n v="4932"/>
    <n v="209"/>
    <n v="28"/>
    <n v="348.55"/>
    <n v="134.19999999999999"/>
    <n v="482.75"/>
    <x v="1"/>
    <n v="0"/>
    <n v="95.92"/>
    <n v="495"/>
    <n v="506"/>
  </r>
  <r>
    <x v="514"/>
    <s v="C2577"/>
    <d v="2024-08-28T00:00:00"/>
    <d v="2023-04-02T00:00:00"/>
    <x v="2"/>
    <s v="North America"/>
    <s v="Germany"/>
    <s v="Berlin"/>
    <s v="P67899"/>
    <s v="Furniture"/>
    <s v="Shirt"/>
    <s v="Product_3543"/>
    <n v="366.12"/>
    <n v="47"/>
    <s v="S843"/>
    <s v="Alpha Corp"/>
    <s v="W36"/>
    <x v="0"/>
    <s v="BlueDart"/>
    <s v="Toronto-New York"/>
    <n v="357"/>
    <n v="464"/>
    <n v="2"/>
    <n v="1015.74"/>
    <n v="73.2"/>
    <n v="1088.94"/>
    <x v="1"/>
    <n v="0"/>
    <n v="95.87"/>
    <n v="456"/>
    <n v="482"/>
  </r>
  <r>
    <x v="515"/>
    <s v="C5226"/>
    <d v="2024-03-22T00:00:00"/>
    <d v="2024-06-05T00:00:00"/>
    <x v="2"/>
    <s v="Africa"/>
    <s v="Brazil"/>
    <s v="São Paulo"/>
    <s v="P81265"/>
    <s v="Electronics"/>
    <s v="Shirt"/>
    <s v="Product_6439"/>
    <n v="152.36000000000001"/>
    <n v="85"/>
    <s v="S440"/>
    <s v="Delta Traders"/>
    <s v="W29"/>
    <x v="2"/>
    <s v="UPS"/>
    <s v="São Paulo-Berlin"/>
    <n v="669"/>
    <n v="101"/>
    <n v="6"/>
    <n v="1097.06"/>
    <n v="487"/>
    <n v="1584.06"/>
    <x v="1"/>
    <n v="0"/>
    <n v="80.650000000000006"/>
    <n v="413"/>
    <n v="414"/>
  </r>
  <r>
    <x v="516"/>
    <s v="C3002"/>
    <d v="2020-10-31T00:00:00"/>
    <d v="2022-06-30T00:00:00"/>
    <x v="1"/>
    <s v="North America"/>
    <s v="Canada"/>
    <s v="São Paulo"/>
    <s v="P29638"/>
    <s v="Food"/>
    <s v="Laptop"/>
    <s v="Product_3737"/>
    <n v="237.21"/>
    <n v="53"/>
    <s v="S767"/>
    <s v="Gamma Inc"/>
    <s v="W17"/>
    <x v="1"/>
    <s v="UPS"/>
    <s v="Mumbai-New York"/>
    <n v="2243"/>
    <n v="107"/>
    <n v="10"/>
    <n v="535.33000000000004"/>
    <n v="262.31"/>
    <n v="797.6400000000001"/>
    <x v="1"/>
    <n v="0"/>
    <n v="86"/>
    <n v="196"/>
    <n v="150"/>
  </r>
  <r>
    <x v="517"/>
    <s v="C9783"/>
    <d v="2020-11-14T00:00:00"/>
    <d v="2022-04-19T00:00:00"/>
    <x v="1"/>
    <s v="South America"/>
    <s v="India"/>
    <s v="London"/>
    <s v="P33108"/>
    <s v="Food"/>
    <s v="Laptop"/>
    <s v="Product_7973"/>
    <n v="6.86"/>
    <n v="65"/>
    <s v="S367"/>
    <s v="Epsilon LLC"/>
    <s v="W4"/>
    <x v="3"/>
    <s v="BlueDart"/>
    <s v="New York-Berlin"/>
    <n v="4859"/>
    <n v="342"/>
    <n v="19"/>
    <n v="770.51"/>
    <n v="51.78"/>
    <n v="822.29"/>
    <x v="1"/>
    <n v="0"/>
    <n v="88.27"/>
    <n v="386"/>
    <n v="359"/>
  </r>
  <r>
    <x v="518"/>
    <s v="C6530"/>
    <d v="2021-08-04T00:00:00"/>
    <d v="2023-07-07T00:00:00"/>
    <x v="1"/>
    <s v="Europe"/>
    <s v="UK"/>
    <s v="Beijing"/>
    <s v="P14955"/>
    <s v="Apparel"/>
    <s v="Laptop"/>
    <s v="Product_8179"/>
    <n v="178.29"/>
    <n v="39"/>
    <s v="S703"/>
    <s v="Alpha Corp"/>
    <s v="W44"/>
    <x v="0"/>
    <s v="BlueDart"/>
    <s v="Beijing-Mumbai"/>
    <n v="4093"/>
    <n v="95"/>
    <n v="3"/>
    <n v="1690.7"/>
    <n v="479.76"/>
    <n v="2170.46"/>
    <x v="1"/>
    <n v="0"/>
    <n v="88.9"/>
    <n v="455"/>
    <n v="470"/>
  </r>
  <r>
    <x v="519"/>
    <s v="C8866"/>
    <d v="2024-10-22T00:00:00"/>
    <d v="2024-03-15T00:00:00"/>
    <x v="2"/>
    <s v="Africa"/>
    <s v="China"/>
    <s v="Toronto"/>
    <s v="P73164"/>
    <s v="Apparel"/>
    <s v="Chair"/>
    <s v="Product_1480"/>
    <n v="137.11000000000001"/>
    <n v="7"/>
    <s v="S115"/>
    <s v="Alpha Corp"/>
    <s v="W7"/>
    <x v="3"/>
    <s v="FedEx"/>
    <s v="Berlin-Toronto"/>
    <n v="4524"/>
    <n v="242"/>
    <n v="1"/>
    <n v="879.67"/>
    <n v="420.16"/>
    <n v="1299.83"/>
    <x v="1"/>
    <n v="0"/>
    <n v="72.59"/>
    <n v="318"/>
    <n v="340"/>
  </r>
  <r>
    <x v="520"/>
    <s v="C8841"/>
    <d v="2020-03-22T00:00:00"/>
    <d v="2022-02-06T00:00:00"/>
    <x v="1"/>
    <s v="Africa"/>
    <s v="UK"/>
    <s v="Berlin"/>
    <s v="P94404"/>
    <s v="Furniture"/>
    <s v="Shirt"/>
    <s v="Product_6605"/>
    <n v="46.79"/>
    <n v="11"/>
    <s v="S326"/>
    <s v="Delta Traders"/>
    <s v="W9"/>
    <x v="2"/>
    <s v="Maersk"/>
    <s v="Berlin-New York"/>
    <n v="4661"/>
    <n v="345"/>
    <n v="28"/>
    <n v="1396.91"/>
    <n v="190.68"/>
    <n v="1587.59"/>
    <x v="1"/>
    <n v="0"/>
    <n v="84.07"/>
    <n v="309"/>
    <n v="296"/>
  </r>
  <r>
    <x v="521"/>
    <s v="C9622"/>
    <d v="2022-03-26T00:00:00"/>
    <d v="2024-05-20T00:00:00"/>
    <x v="1"/>
    <s v="South America"/>
    <s v="China"/>
    <s v="New York"/>
    <s v="P95693"/>
    <s v="Apparel"/>
    <s v="Snacks"/>
    <s v="Product_8224"/>
    <n v="68.64"/>
    <n v="73"/>
    <s v="S360"/>
    <s v="Delta Traders"/>
    <s v="W13"/>
    <x v="2"/>
    <s v="FedEx"/>
    <s v="New York-Mumbai"/>
    <n v="216"/>
    <n v="242"/>
    <n v="15"/>
    <n v="464.35"/>
    <n v="121.07"/>
    <n v="585.42000000000007"/>
    <x v="1"/>
    <n v="0"/>
    <n v="80.599999999999994"/>
    <n v="353"/>
    <n v="348"/>
  </r>
  <r>
    <x v="522"/>
    <s v="C3095"/>
    <d v="2024-10-26T00:00:00"/>
    <d v="2020-03-15T00:00:00"/>
    <x v="1"/>
    <s v="South America"/>
    <s v="India"/>
    <s v="São Paulo"/>
    <s v="P73540"/>
    <s v="Food"/>
    <s v="Shirt"/>
    <s v="Product_2679"/>
    <n v="410.55"/>
    <n v="87"/>
    <s v="S146"/>
    <s v="Epsilon LLC"/>
    <s v="W18"/>
    <x v="3"/>
    <s v="DHL"/>
    <s v="São Paulo-Cape Town"/>
    <n v="3231"/>
    <n v="267"/>
    <n v="29"/>
    <n v="673.93"/>
    <n v="321"/>
    <n v="994.93"/>
    <x v="1"/>
    <n v="0"/>
    <n v="89.43"/>
    <n v="244"/>
    <n v="264"/>
  </r>
  <r>
    <x v="523"/>
    <s v="C3821"/>
    <d v="2024-05-10T00:00:00"/>
    <d v="2021-09-02T00:00:00"/>
    <x v="1"/>
    <s v="Europe"/>
    <s v="Germany"/>
    <s v="São Paulo"/>
    <s v="P12638"/>
    <s v="Apparel"/>
    <s v="Shirt"/>
    <s v="Product_2770"/>
    <n v="248.01"/>
    <n v="93"/>
    <s v="S119"/>
    <s v="Beta Ltd"/>
    <s v="W2"/>
    <x v="1"/>
    <s v="UPS"/>
    <s v="Berlin-Beijing"/>
    <n v="4709"/>
    <n v="402"/>
    <n v="2"/>
    <n v="1913.58"/>
    <n v="261.77"/>
    <n v="2175.35"/>
    <x v="1"/>
    <n v="0"/>
    <n v="79.900000000000006"/>
    <n v="490"/>
    <n v="482"/>
  </r>
  <r>
    <x v="524"/>
    <s v="C1115"/>
    <d v="2023-03-15T00:00:00"/>
    <d v="2020-05-22T00:00:00"/>
    <x v="2"/>
    <s v="South America"/>
    <s v="Canada"/>
    <s v="New York"/>
    <s v="P90823"/>
    <s v="Apparel"/>
    <s v="Laptop"/>
    <s v="Product_3473"/>
    <n v="224.71"/>
    <n v="40"/>
    <s v="S333"/>
    <s v="Gamma Inc"/>
    <s v="W8"/>
    <x v="2"/>
    <s v="FedEx"/>
    <s v="São Paulo-São Paulo"/>
    <n v="3512"/>
    <n v="448"/>
    <n v="8"/>
    <n v="628.76"/>
    <n v="381.04"/>
    <n v="1009.8"/>
    <x v="1"/>
    <n v="0"/>
    <n v="81.87"/>
    <n v="254"/>
    <n v="301"/>
  </r>
  <r>
    <x v="525"/>
    <s v="C6335"/>
    <d v="2022-01-04T00:00:00"/>
    <d v="2024-05-01T00:00:00"/>
    <x v="1"/>
    <s v="North America"/>
    <s v="USA"/>
    <s v="New York"/>
    <s v="P58977"/>
    <s v="Food"/>
    <s v="Shirt"/>
    <s v="Product_6726"/>
    <n v="319.88"/>
    <n v="43"/>
    <s v="S629"/>
    <s v="Epsilon LLC"/>
    <s v="W15"/>
    <x v="1"/>
    <s v="Maersk"/>
    <s v="Mumbai-São Paulo"/>
    <n v="4374"/>
    <n v="70"/>
    <n v="10"/>
    <n v="1546.92"/>
    <n v="410.16"/>
    <n v="1957.08"/>
    <x v="1"/>
    <n v="0"/>
    <n v="70.62"/>
    <n v="77"/>
    <n v="61"/>
  </r>
  <r>
    <x v="526"/>
    <s v="C9574"/>
    <d v="2022-05-06T00:00:00"/>
    <d v="2021-05-21T00:00:00"/>
    <x v="2"/>
    <s v="Africa"/>
    <s v="USA"/>
    <s v="Berlin"/>
    <s v="P15649"/>
    <s v="Electronics"/>
    <s v="Laptop"/>
    <s v="Product_6514"/>
    <n v="386.09"/>
    <n v="92"/>
    <s v="S129"/>
    <s v="Alpha Corp"/>
    <s v="W9"/>
    <x v="2"/>
    <s v="DHL"/>
    <s v="Berlin-London"/>
    <n v="3737"/>
    <n v="55"/>
    <n v="19"/>
    <n v="407.74"/>
    <n v="78.53"/>
    <n v="486.27"/>
    <x v="1"/>
    <n v="0"/>
    <n v="81.290000000000006"/>
    <n v="184"/>
    <n v="229"/>
  </r>
  <r>
    <x v="527"/>
    <s v="C7710"/>
    <d v="2021-04-20T00:00:00"/>
    <d v="2021-10-05T00:00:00"/>
    <x v="0"/>
    <s v="South America"/>
    <s v="Canada"/>
    <s v="Cape Town"/>
    <s v="P64879"/>
    <s v="Furniture"/>
    <s v="Laptop"/>
    <s v="Product_6135"/>
    <n v="481.24"/>
    <n v="29"/>
    <s v="S579"/>
    <s v="Beta Ltd"/>
    <s v="W15"/>
    <x v="0"/>
    <s v="FedEx"/>
    <s v="New York-Mumbai"/>
    <n v="3630"/>
    <n v="243"/>
    <n v="7"/>
    <n v="1066.9100000000001"/>
    <n v="325.58"/>
    <n v="1392.49"/>
    <x v="1"/>
    <n v="0"/>
    <n v="98.37"/>
    <n v="198"/>
    <n v="159"/>
  </r>
  <r>
    <x v="528"/>
    <s v="C3334"/>
    <d v="2021-08-05T00:00:00"/>
    <d v="2021-12-20T00:00:00"/>
    <x v="2"/>
    <s v="North America"/>
    <s v="South Africa"/>
    <s v="London"/>
    <s v="P52068"/>
    <s v="Apparel"/>
    <s v="Chair"/>
    <s v="Product_6868"/>
    <n v="41.7"/>
    <n v="93"/>
    <s v="S833"/>
    <s v="Delta Traders"/>
    <s v="W3"/>
    <x v="1"/>
    <s v="Maersk"/>
    <s v="São Paulo-Mumbai"/>
    <n v="3258"/>
    <n v="64"/>
    <n v="14"/>
    <n v="1318.52"/>
    <n v="464.98"/>
    <n v="1783.5"/>
    <x v="1"/>
    <n v="0"/>
    <n v="81.150000000000006"/>
    <n v="213"/>
    <n v="180"/>
  </r>
  <r>
    <x v="529"/>
    <s v="C9738"/>
    <d v="2022-02-13T00:00:00"/>
    <d v="2024-06-17T00:00:00"/>
    <x v="1"/>
    <s v="Africa"/>
    <s v="South Africa"/>
    <s v="London"/>
    <s v="P61951"/>
    <s v="Electronics"/>
    <s v="Chair"/>
    <s v="Product_7382"/>
    <n v="178.03"/>
    <n v="57"/>
    <s v="S839"/>
    <s v="Alpha Corp"/>
    <s v="W31"/>
    <x v="0"/>
    <s v="FedEx"/>
    <s v="London-Mumbai"/>
    <n v="859"/>
    <n v="414"/>
    <n v="16"/>
    <n v="945.05"/>
    <n v="257.05"/>
    <n v="1202.0999999999999"/>
    <x v="1"/>
    <n v="0"/>
    <n v="98.5"/>
    <n v="391"/>
    <n v="439"/>
  </r>
  <r>
    <x v="530"/>
    <s v="C2165"/>
    <d v="2022-11-22T00:00:00"/>
    <d v="2020-10-24T00:00:00"/>
    <x v="0"/>
    <s v="Europe"/>
    <s v="UK"/>
    <s v="London"/>
    <s v="P20880"/>
    <s v="Apparel"/>
    <s v="Shirt"/>
    <s v="Product_2829"/>
    <n v="249.47"/>
    <n v="90"/>
    <s v="S144"/>
    <s v="Beta Ltd"/>
    <s v="W24"/>
    <x v="3"/>
    <s v="Maersk"/>
    <s v="São Paulo-São Paulo"/>
    <n v="1496"/>
    <n v="486"/>
    <n v="6"/>
    <n v="1092.22"/>
    <n v="289.64999999999998"/>
    <n v="1381.87"/>
    <x v="1"/>
    <n v="0"/>
    <n v="98.87"/>
    <n v="468"/>
    <n v="509"/>
  </r>
  <r>
    <x v="531"/>
    <s v="C9697"/>
    <d v="2024-08-08T00:00:00"/>
    <d v="2024-08-02T00:00:00"/>
    <x v="2"/>
    <s v="Asia"/>
    <s v="Canada"/>
    <s v="Toronto"/>
    <s v="P75043"/>
    <s v="Furniture"/>
    <s v="Shirt"/>
    <s v="Product_7758"/>
    <n v="277.82"/>
    <n v="79"/>
    <s v="S595"/>
    <s v="Alpha Corp"/>
    <s v="W21"/>
    <x v="1"/>
    <s v="FedEx"/>
    <s v="Mumbai-Cape Town"/>
    <n v="4467"/>
    <n v="276"/>
    <n v="20"/>
    <n v="120.24"/>
    <n v="243.77"/>
    <n v="364.01"/>
    <x v="1"/>
    <n v="0"/>
    <n v="78.260000000000005"/>
    <n v="222"/>
    <n v="213"/>
  </r>
  <r>
    <x v="532"/>
    <s v="C8851"/>
    <d v="2023-01-03T00:00:00"/>
    <d v="2024-10-28T00:00:00"/>
    <x v="2"/>
    <s v="South America"/>
    <s v="Canada"/>
    <s v="Berlin"/>
    <s v="P44627"/>
    <s v="Food"/>
    <s v="Laptop"/>
    <s v="Product_1421"/>
    <n v="364.94"/>
    <n v="93"/>
    <s v="S762"/>
    <s v="Delta Traders"/>
    <s v="W14"/>
    <x v="2"/>
    <s v="FedEx"/>
    <s v="Berlin-Mumbai"/>
    <n v="4825"/>
    <n v="445"/>
    <n v="21"/>
    <n v="639.24"/>
    <n v="467.98"/>
    <n v="1107.22"/>
    <x v="1"/>
    <n v="0"/>
    <n v="96.7"/>
    <n v="495"/>
    <n v="506"/>
  </r>
  <r>
    <x v="533"/>
    <s v="C6747"/>
    <d v="2021-09-09T00:00:00"/>
    <d v="2024-09-03T00:00:00"/>
    <x v="2"/>
    <s v="South America"/>
    <s v="India"/>
    <s v="Berlin"/>
    <s v="P18382"/>
    <s v="Electronics"/>
    <s v="Medicines"/>
    <s v="Product_5876"/>
    <n v="156.07"/>
    <n v="23"/>
    <s v="S753"/>
    <s v="Gamma Inc"/>
    <s v="W41"/>
    <x v="1"/>
    <s v="BlueDart"/>
    <s v="Cape Town-Berlin"/>
    <n v="151"/>
    <n v="206"/>
    <n v="9"/>
    <n v="392.77"/>
    <n v="109.12"/>
    <n v="501.89"/>
    <x v="1"/>
    <n v="0"/>
    <n v="74.42"/>
    <n v="437"/>
    <n v="478"/>
  </r>
  <r>
    <x v="534"/>
    <s v="C6044"/>
    <d v="2023-04-14T00:00:00"/>
    <d v="2024-06-30T00:00:00"/>
    <x v="0"/>
    <s v="Asia"/>
    <s v="Germany"/>
    <s v="New York"/>
    <s v="P61396"/>
    <s v="Apparel"/>
    <s v="Laptop"/>
    <s v="Product_2352"/>
    <n v="155.88"/>
    <n v="60"/>
    <s v="S261"/>
    <s v="Delta Traders"/>
    <s v="W9"/>
    <x v="0"/>
    <s v="FedEx"/>
    <s v="Toronto-London"/>
    <n v="422"/>
    <n v="401"/>
    <n v="26"/>
    <n v="573.34"/>
    <n v="147.33000000000001"/>
    <n v="720.67000000000007"/>
    <x v="1"/>
    <n v="0"/>
    <n v="89.32"/>
    <n v="452"/>
    <n v="433"/>
  </r>
  <r>
    <x v="535"/>
    <s v="C5033"/>
    <d v="2020-10-07T00:00:00"/>
    <d v="2022-08-24T00:00:00"/>
    <x v="2"/>
    <s v="South America"/>
    <s v="India"/>
    <s v="London"/>
    <s v="P49583"/>
    <s v="Furniture"/>
    <s v="Shirt"/>
    <s v="Product_2682"/>
    <n v="129.77000000000001"/>
    <n v="56"/>
    <s v="S829"/>
    <s v="Epsilon LLC"/>
    <s v="W13"/>
    <x v="1"/>
    <s v="UPS"/>
    <s v="Berlin-Berlin"/>
    <n v="58"/>
    <n v="110"/>
    <n v="16"/>
    <n v="229.33"/>
    <n v="205.34"/>
    <n v="434.67"/>
    <x v="1"/>
    <n v="0"/>
    <n v="76.48"/>
    <n v="301"/>
    <n v="315"/>
  </r>
  <r>
    <x v="536"/>
    <s v="C9931"/>
    <d v="2023-09-11T00:00:00"/>
    <d v="2024-12-14T00:00:00"/>
    <x v="2"/>
    <s v="Europe"/>
    <s v="Germany"/>
    <s v="London"/>
    <s v="P87497"/>
    <s v="Furniture"/>
    <s v="Laptop"/>
    <s v="Product_3948"/>
    <n v="187.55"/>
    <n v="80"/>
    <s v="S872"/>
    <s v="Beta Ltd"/>
    <s v="W4"/>
    <x v="3"/>
    <s v="UPS"/>
    <s v="London-Cape Town"/>
    <n v="339"/>
    <n v="80"/>
    <n v="6"/>
    <n v="1498.36"/>
    <n v="30.38"/>
    <n v="1528.74"/>
    <x v="1"/>
    <n v="0"/>
    <n v="71.95"/>
    <n v="366"/>
    <n v="375"/>
  </r>
  <r>
    <x v="537"/>
    <s v="C7547"/>
    <d v="2023-09-26T00:00:00"/>
    <d v="2024-10-28T00:00:00"/>
    <x v="2"/>
    <s v="Europe"/>
    <s v="China"/>
    <s v="Toronto"/>
    <s v="P95317"/>
    <s v="Pharma"/>
    <s v="Shirt"/>
    <s v="Product_8093"/>
    <n v="191.76"/>
    <n v="91"/>
    <s v="S180"/>
    <s v="Beta Ltd"/>
    <s v="W17"/>
    <x v="1"/>
    <s v="FedEx"/>
    <s v="Toronto-Berlin"/>
    <n v="1014"/>
    <n v="91"/>
    <n v="7"/>
    <n v="762.61"/>
    <n v="354.78"/>
    <n v="1117.3900000000001"/>
    <x v="1"/>
    <n v="0"/>
    <n v="95.74"/>
    <n v="90"/>
    <n v="119"/>
  </r>
  <r>
    <x v="538"/>
    <s v="C8466"/>
    <d v="2022-03-22T00:00:00"/>
    <d v="2020-06-30T00:00:00"/>
    <x v="2"/>
    <s v="North America"/>
    <s v="China"/>
    <s v="Mumbai"/>
    <s v="P70453"/>
    <s v="Food"/>
    <s v="Snacks"/>
    <s v="Product_1183"/>
    <n v="214.07"/>
    <n v="58"/>
    <s v="S667"/>
    <s v="Alpha Corp"/>
    <s v="W26"/>
    <x v="0"/>
    <s v="UPS"/>
    <s v="Berlin-Mumbai"/>
    <n v="850"/>
    <n v="189"/>
    <n v="5"/>
    <n v="1949.72"/>
    <n v="248.79"/>
    <n v="2198.5100000000002"/>
    <x v="1"/>
    <n v="0"/>
    <n v="90.25"/>
    <n v="67"/>
    <n v="31"/>
  </r>
  <r>
    <x v="539"/>
    <s v="C6907"/>
    <d v="2023-05-09T00:00:00"/>
    <d v="2020-07-05T00:00:00"/>
    <x v="1"/>
    <s v="Europe"/>
    <s v="China"/>
    <s v="Cape Town"/>
    <s v="P28847"/>
    <s v="Furniture"/>
    <s v="Laptop"/>
    <s v="Product_5716"/>
    <n v="258.83999999999997"/>
    <n v="42"/>
    <s v="S437"/>
    <s v="Epsilon LLC"/>
    <s v="W7"/>
    <x v="0"/>
    <s v="BlueDart"/>
    <s v="Berlin-Beijing"/>
    <n v="2769"/>
    <n v="329"/>
    <n v="24"/>
    <n v="1207.3900000000001"/>
    <n v="146.71"/>
    <n v="1354.1"/>
    <x v="1"/>
    <n v="0"/>
    <n v="84.24"/>
    <n v="154"/>
    <n v="167"/>
  </r>
  <r>
    <x v="540"/>
    <s v="C4388"/>
    <d v="2020-05-29T00:00:00"/>
    <d v="2023-04-12T00:00:00"/>
    <x v="0"/>
    <s v="Africa"/>
    <s v="India"/>
    <s v="São Paulo"/>
    <s v="P27990"/>
    <s v="Apparel"/>
    <s v="Chair"/>
    <s v="Product_9595"/>
    <n v="326.8"/>
    <n v="34"/>
    <s v="S778"/>
    <s v="Gamma Inc"/>
    <s v="W27"/>
    <x v="0"/>
    <s v="BlueDart"/>
    <s v="Berlin-Beijing"/>
    <n v="429"/>
    <n v="93"/>
    <n v="22"/>
    <n v="220.34"/>
    <n v="188.26"/>
    <n v="408.6"/>
    <x v="1"/>
    <n v="0"/>
    <n v="82.24"/>
    <n v="198"/>
    <n v="193"/>
  </r>
  <r>
    <x v="541"/>
    <s v="C1162"/>
    <d v="2024-02-01T00:00:00"/>
    <d v="2024-01-30T00:00:00"/>
    <x v="2"/>
    <s v="Asia"/>
    <s v="USA"/>
    <s v="New York"/>
    <s v="P63052"/>
    <s v="Pharma"/>
    <s v="Medicines"/>
    <s v="Product_8020"/>
    <n v="198.29"/>
    <n v="26"/>
    <s v="S820"/>
    <s v="Gamma Inc"/>
    <s v="W27"/>
    <x v="0"/>
    <s v="Maersk"/>
    <s v="New York-Toronto"/>
    <n v="1628"/>
    <n v="111"/>
    <n v="1"/>
    <n v="699.5"/>
    <n v="280.06"/>
    <n v="979.56"/>
    <x v="1"/>
    <n v="0"/>
    <n v="78.61"/>
    <n v="142"/>
    <n v="110"/>
  </r>
  <r>
    <x v="542"/>
    <s v="C1067"/>
    <d v="2023-11-06T00:00:00"/>
    <d v="2023-10-26T00:00:00"/>
    <x v="1"/>
    <s v="Europe"/>
    <s v="Brazil"/>
    <s v="Cape Town"/>
    <s v="P74695"/>
    <s v="Apparel"/>
    <s v="Chair"/>
    <s v="Product_4292"/>
    <n v="482.38"/>
    <n v="65"/>
    <s v="S119"/>
    <s v="Gamma Inc"/>
    <s v="W7"/>
    <x v="3"/>
    <s v="DHL"/>
    <s v="New York-Berlin"/>
    <n v="379"/>
    <n v="166"/>
    <n v="22"/>
    <n v="1713.32"/>
    <n v="269.02999999999997"/>
    <n v="1982.35"/>
    <x v="1"/>
    <n v="0"/>
    <n v="78.75"/>
    <n v="314"/>
    <n v="300"/>
  </r>
  <r>
    <x v="543"/>
    <s v="C4351"/>
    <d v="2023-05-05T00:00:00"/>
    <d v="2022-12-09T00:00:00"/>
    <x v="2"/>
    <s v="Asia"/>
    <s v="Canada"/>
    <s v="London"/>
    <s v="P52879"/>
    <s v="Furniture"/>
    <s v="Medicines"/>
    <s v="Product_1671"/>
    <n v="446.43"/>
    <n v="50"/>
    <s v="S874"/>
    <s v="Gamma Inc"/>
    <s v="W47"/>
    <x v="2"/>
    <s v="BlueDart"/>
    <s v="Beijing-Cape Town"/>
    <n v="3110"/>
    <n v="68"/>
    <n v="19"/>
    <n v="1951.95"/>
    <n v="197.56"/>
    <n v="2149.5100000000002"/>
    <x v="1"/>
    <n v="0"/>
    <n v="80.91"/>
    <n v="413"/>
    <n v="381"/>
  </r>
  <r>
    <x v="544"/>
    <s v="C5229"/>
    <d v="2024-04-13T00:00:00"/>
    <d v="2023-09-24T00:00:00"/>
    <x v="2"/>
    <s v="North America"/>
    <s v="South Africa"/>
    <s v="Beijing"/>
    <s v="P31233"/>
    <s v="Pharma"/>
    <s v="Shirt"/>
    <s v="Product_5996"/>
    <n v="452.17"/>
    <n v="73"/>
    <s v="S357"/>
    <s v="Delta Traders"/>
    <s v="W10"/>
    <x v="1"/>
    <s v="DHL"/>
    <s v="Berlin-Toronto"/>
    <n v="711"/>
    <n v="331"/>
    <n v="22"/>
    <n v="1740.85"/>
    <n v="495.8"/>
    <n v="2236.65"/>
    <x v="1"/>
    <n v="0"/>
    <n v="86.27"/>
    <n v="406"/>
    <n v="394"/>
  </r>
  <r>
    <x v="545"/>
    <s v="C8460"/>
    <d v="2021-10-30T00:00:00"/>
    <d v="2022-03-04T00:00:00"/>
    <x v="2"/>
    <s v="South America"/>
    <s v="UK"/>
    <s v="Berlin"/>
    <s v="P98803"/>
    <s v="Apparel"/>
    <s v="Snacks"/>
    <s v="Product_2859"/>
    <n v="179.06"/>
    <n v="30"/>
    <s v="S791"/>
    <s v="Epsilon LLC"/>
    <s v="W15"/>
    <x v="0"/>
    <s v="FedEx"/>
    <s v="Mumbai-New York"/>
    <n v="1093"/>
    <n v="276"/>
    <n v="22"/>
    <n v="224.17"/>
    <n v="405.88"/>
    <n v="630.04999999999995"/>
    <x v="1"/>
    <n v="0"/>
    <n v="74.260000000000005"/>
    <n v="289"/>
    <n v="301"/>
  </r>
  <r>
    <x v="546"/>
    <s v="C3655"/>
    <d v="2020-03-06T00:00:00"/>
    <d v="2020-02-20T00:00:00"/>
    <x v="2"/>
    <s v="South America"/>
    <s v="Brazil"/>
    <s v="Mumbai"/>
    <s v="P15111"/>
    <s v="Furniture"/>
    <s v="Laptop"/>
    <s v="Product_1402"/>
    <n v="338.99"/>
    <n v="20"/>
    <s v="S806"/>
    <s v="Beta Ltd"/>
    <s v="W34"/>
    <x v="3"/>
    <s v="BlueDart"/>
    <s v="London-São Paulo"/>
    <n v="3056"/>
    <n v="398"/>
    <n v="16"/>
    <n v="859.76"/>
    <n v="301.24"/>
    <n v="1161"/>
    <x v="1"/>
    <n v="0"/>
    <n v="90.61"/>
    <n v="460"/>
    <n v="418"/>
  </r>
  <r>
    <x v="547"/>
    <s v="C5816"/>
    <d v="2023-08-30T00:00:00"/>
    <d v="2020-07-20T00:00:00"/>
    <x v="2"/>
    <s v="North America"/>
    <s v="UK"/>
    <s v="Cape Town"/>
    <s v="P98496"/>
    <s v="Electronics"/>
    <s v="Shirt"/>
    <s v="Product_5891"/>
    <n v="230.06"/>
    <n v="11"/>
    <s v="S342"/>
    <s v="Alpha Corp"/>
    <s v="W42"/>
    <x v="2"/>
    <s v="BlueDart"/>
    <s v="New York-Mumbai"/>
    <n v="967"/>
    <n v="226"/>
    <n v="24"/>
    <n v="1764"/>
    <n v="326.26"/>
    <n v="2090.2600000000002"/>
    <x v="0"/>
    <n v="5"/>
    <n v="80.55"/>
    <n v="103"/>
    <n v="108"/>
  </r>
  <r>
    <x v="548"/>
    <s v="C9032"/>
    <d v="2024-06-10T00:00:00"/>
    <d v="2020-07-31T00:00:00"/>
    <x v="0"/>
    <s v="North America"/>
    <s v="Brazil"/>
    <s v="Mumbai"/>
    <s v="P52230"/>
    <s v="Apparel"/>
    <s v="Laptop"/>
    <s v="Product_7763"/>
    <n v="165.04"/>
    <n v="42"/>
    <s v="S917"/>
    <s v="Gamma Inc"/>
    <s v="W12"/>
    <x v="3"/>
    <s v="DHL"/>
    <s v="London-Toronto"/>
    <n v="1226"/>
    <n v="195"/>
    <n v="25"/>
    <n v="841.13"/>
    <n v="159.83000000000001"/>
    <n v="1000.96"/>
    <x v="0"/>
    <n v="4"/>
    <n v="86.23"/>
    <n v="452"/>
    <n v="411"/>
  </r>
  <r>
    <x v="549"/>
    <s v="C7271"/>
    <d v="2024-12-22T00:00:00"/>
    <d v="2023-11-18T00:00:00"/>
    <x v="2"/>
    <s v="Asia"/>
    <s v="Germany"/>
    <s v="Cape Town"/>
    <s v="P99940"/>
    <s v="Apparel"/>
    <s v="Shirt"/>
    <s v="Product_2981"/>
    <n v="106"/>
    <n v="82"/>
    <s v="S544"/>
    <s v="Delta Traders"/>
    <s v="W44"/>
    <x v="1"/>
    <s v="UPS"/>
    <s v="Cape Town-São Paulo"/>
    <n v="1287"/>
    <n v="91"/>
    <n v="21"/>
    <n v="1624.3"/>
    <n v="88.88"/>
    <n v="1713.18"/>
    <x v="1"/>
    <n v="0"/>
    <n v="80.92"/>
    <n v="198"/>
    <n v="195"/>
  </r>
  <r>
    <x v="550"/>
    <s v="C9215"/>
    <d v="2020-10-22T00:00:00"/>
    <d v="2024-04-25T00:00:00"/>
    <x v="2"/>
    <s v="Asia"/>
    <s v="Germany"/>
    <s v="Beijing"/>
    <s v="P22243"/>
    <s v="Food"/>
    <s v="Chair"/>
    <s v="Product_3468"/>
    <n v="258.43"/>
    <n v="52"/>
    <s v="S281"/>
    <s v="Epsilon LLC"/>
    <s v="W40"/>
    <x v="2"/>
    <s v="BlueDart"/>
    <s v="Toronto-New York"/>
    <n v="4855"/>
    <n v="394"/>
    <n v="24"/>
    <n v="1675.21"/>
    <n v="201.77"/>
    <n v="1876.98"/>
    <x v="1"/>
    <n v="0"/>
    <n v="84.2"/>
    <n v="474"/>
    <n v="464"/>
  </r>
  <r>
    <x v="551"/>
    <s v="C3461"/>
    <d v="2022-06-08T00:00:00"/>
    <d v="2023-05-26T00:00:00"/>
    <x v="1"/>
    <s v="Asia"/>
    <s v="Germany"/>
    <s v="New York"/>
    <s v="P28279"/>
    <s v="Electronics"/>
    <s v="Snacks"/>
    <s v="Product_3011"/>
    <n v="413.17"/>
    <n v="4"/>
    <s v="S535"/>
    <s v="Alpha Corp"/>
    <s v="W39"/>
    <x v="1"/>
    <s v="BlueDart"/>
    <s v="Toronto-São Paulo"/>
    <n v="2113"/>
    <n v="282"/>
    <n v="19"/>
    <n v="1506.75"/>
    <n v="15.99"/>
    <n v="1522.74"/>
    <x v="1"/>
    <n v="0"/>
    <n v="77.23"/>
    <n v="128"/>
    <n v="166"/>
  </r>
  <r>
    <x v="552"/>
    <s v="C9250"/>
    <d v="2024-07-28T00:00:00"/>
    <d v="2020-10-15T00:00:00"/>
    <x v="2"/>
    <s v="Africa"/>
    <s v="China"/>
    <s v="London"/>
    <s v="P55108"/>
    <s v="Food"/>
    <s v="Medicines"/>
    <s v="Product_1392"/>
    <n v="361.91"/>
    <n v="91"/>
    <s v="S157"/>
    <s v="Delta Traders"/>
    <s v="W5"/>
    <x v="0"/>
    <s v="Maersk"/>
    <s v="Mumbai-Cape Town"/>
    <n v="1530"/>
    <n v="228"/>
    <n v="24"/>
    <n v="1043.96"/>
    <n v="490.92"/>
    <n v="1534.88"/>
    <x v="1"/>
    <n v="0"/>
    <n v="86.63"/>
    <n v="166"/>
    <n v="170"/>
  </r>
  <r>
    <x v="553"/>
    <s v="C8471"/>
    <d v="2020-05-24T00:00:00"/>
    <d v="2021-08-18T00:00:00"/>
    <x v="2"/>
    <s v="Asia"/>
    <s v="India"/>
    <s v="Beijing"/>
    <s v="P59477"/>
    <s v="Electronics"/>
    <s v="Medicines"/>
    <s v="Product_9203"/>
    <n v="403.8"/>
    <n v="57"/>
    <s v="S963"/>
    <s v="Alpha Corp"/>
    <s v="W21"/>
    <x v="3"/>
    <s v="Maersk"/>
    <s v="Toronto-Beijing"/>
    <n v="353"/>
    <n v="475"/>
    <n v="12"/>
    <n v="1359.5"/>
    <n v="87.62"/>
    <n v="1447.12"/>
    <x v="1"/>
    <n v="0"/>
    <n v="76.08"/>
    <n v="432"/>
    <n v="397"/>
  </r>
  <r>
    <x v="554"/>
    <s v="C4521"/>
    <d v="2022-08-29T00:00:00"/>
    <d v="2020-07-15T00:00:00"/>
    <x v="2"/>
    <s v="North America"/>
    <s v="USA"/>
    <s v="São Paulo"/>
    <s v="P92431"/>
    <s v="Electronics"/>
    <s v="Chair"/>
    <s v="Product_9369"/>
    <n v="383.92"/>
    <n v="13"/>
    <s v="S960"/>
    <s v="Beta Ltd"/>
    <s v="W30"/>
    <x v="2"/>
    <s v="Maersk"/>
    <s v="London-New York"/>
    <n v="244"/>
    <n v="432"/>
    <n v="25"/>
    <n v="1902.09"/>
    <n v="289.12"/>
    <n v="2191.21"/>
    <x v="1"/>
    <n v="0"/>
    <n v="99.83"/>
    <n v="169"/>
    <n v="166"/>
  </r>
  <r>
    <x v="555"/>
    <s v="C1741"/>
    <d v="2020-10-22T00:00:00"/>
    <d v="2021-07-03T00:00:00"/>
    <x v="2"/>
    <s v="Asia"/>
    <s v="India"/>
    <s v="London"/>
    <s v="P16085"/>
    <s v="Furniture"/>
    <s v="Snacks"/>
    <s v="Product_6705"/>
    <n v="457.53"/>
    <n v="94"/>
    <s v="S694"/>
    <s v="Gamma Inc"/>
    <s v="W36"/>
    <x v="3"/>
    <s v="FedEx"/>
    <s v="Cape Town-London"/>
    <n v="1578"/>
    <n v="399"/>
    <n v="1"/>
    <n v="1439.19"/>
    <n v="473.67"/>
    <n v="1912.86"/>
    <x v="0"/>
    <n v="13"/>
    <n v="99.46"/>
    <n v="123"/>
    <n v="73"/>
  </r>
  <r>
    <x v="556"/>
    <s v="C9175"/>
    <d v="2020-03-31T00:00:00"/>
    <d v="2021-07-28T00:00:00"/>
    <x v="1"/>
    <s v="Asia"/>
    <s v="Canada"/>
    <s v="Cape Town"/>
    <s v="P50620"/>
    <s v="Furniture"/>
    <s v="Snacks"/>
    <s v="Product_7375"/>
    <n v="150.77000000000001"/>
    <n v="58"/>
    <s v="S746"/>
    <s v="Delta Traders"/>
    <s v="W10"/>
    <x v="2"/>
    <s v="UPS"/>
    <s v="Toronto-Mumbai"/>
    <n v="3416"/>
    <n v="447"/>
    <n v="16"/>
    <n v="147.58000000000001"/>
    <n v="229.81"/>
    <n v="377.39"/>
    <x v="1"/>
    <n v="0"/>
    <n v="89.05"/>
    <n v="476"/>
    <n v="430"/>
  </r>
  <r>
    <x v="557"/>
    <s v="C9826"/>
    <d v="2024-08-31T00:00:00"/>
    <d v="2023-04-02T00:00:00"/>
    <x v="1"/>
    <s v="South America"/>
    <s v="Canada"/>
    <s v="São Paulo"/>
    <s v="P99601"/>
    <s v="Electronics"/>
    <s v="Shirt"/>
    <s v="Product_1133"/>
    <n v="285.98"/>
    <n v="39"/>
    <s v="S563"/>
    <s v="Alpha Corp"/>
    <s v="W41"/>
    <x v="0"/>
    <s v="DHL"/>
    <s v="New York-Beijing"/>
    <n v="1730"/>
    <n v="469"/>
    <n v="10"/>
    <n v="1217.29"/>
    <n v="265.64999999999998"/>
    <n v="1482.94"/>
    <x v="1"/>
    <n v="0"/>
    <n v="79.63"/>
    <n v="472"/>
    <n v="512"/>
  </r>
  <r>
    <x v="558"/>
    <s v="C5052"/>
    <d v="2022-10-04T00:00:00"/>
    <d v="2022-04-11T00:00:00"/>
    <x v="2"/>
    <s v="South America"/>
    <s v="South Africa"/>
    <s v="Berlin"/>
    <s v="P91271"/>
    <s v="Furniture"/>
    <s v="Laptop"/>
    <s v="Product_2611"/>
    <n v="229.18"/>
    <n v="40"/>
    <s v="S949"/>
    <s v="Beta Ltd"/>
    <s v="W10"/>
    <x v="1"/>
    <s v="BlueDart"/>
    <s v="Toronto-New York"/>
    <n v="1472"/>
    <n v="331"/>
    <n v="24"/>
    <n v="535.30999999999995"/>
    <n v="42.4"/>
    <n v="577.70999999999992"/>
    <x v="1"/>
    <n v="0"/>
    <n v="83.43"/>
    <n v="101"/>
    <n v="78"/>
  </r>
  <r>
    <x v="559"/>
    <s v="C6332"/>
    <d v="2021-07-10T00:00:00"/>
    <d v="2022-09-15T00:00:00"/>
    <x v="1"/>
    <s v="Europe"/>
    <s v="Canada"/>
    <s v="New York"/>
    <s v="P99288"/>
    <s v="Pharma"/>
    <s v="Laptop"/>
    <s v="Product_3502"/>
    <n v="327.89"/>
    <n v="28"/>
    <s v="S129"/>
    <s v="Beta Ltd"/>
    <s v="W31"/>
    <x v="0"/>
    <s v="Maersk"/>
    <s v="Berlin-Toronto"/>
    <n v="2172"/>
    <n v="142"/>
    <n v="21"/>
    <n v="90.31"/>
    <n v="378.49"/>
    <n v="468.8"/>
    <x v="1"/>
    <n v="0"/>
    <n v="70.760000000000005"/>
    <n v="447"/>
    <n v="430"/>
  </r>
  <r>
    <x v="560"/>
    <s v="C1264"/>
    <d v="2021-09-16T00:00:00"/>
    <d v="2022-10-28T00:00:00"/>
    <x v="2"/>
    <s v="South America"/>
    <s v="UK"/>
    <s v="Berlin"/>
    <s v="P75255"/>
    <s v="Furniture"/>
    <s v="Chair"/>
    <s v="Product_7193"/>
    <n v="369.66"/>
    <n v="27"/>
    <s v="S951"/>
    <s v="Delta Traders"/>
    <s v="W8"/>
    <x v="3"/>
    <s v="DHL"/>
    <s v="Toronto-New York"/>
    <n v="1125"/>
    <n v="274"/>
    <n v="23"/>
    <n v="636.70000000000005"/>
    <n v="296.86"/>
    <n v="933.56000000000006"/>
    <x v="1"/>
    <n v="0"/>
    <n v="73.25"/>
    <n v="474"/>
    <n v="482"/>
  </r>
  <r>
    <x v="561"/>
    <s v="C1716"/>
    <d v="2021-05-06T00:00:00"/>
    <d v="2020-01-06T00:00:00"/>
    <x v="2"/>
    <s v="Asia"/>
    <s v="Germany"/>
    <s v="São Paulo"/>
    <s v="P37044"/>
    <s v="Pharma"/>
    <s v="Shirt"/>
    <s v="Product_5603"/>
    <n v="265.69"/>
    <n v="98"/>
    <s v="S213"/>
    <s v="Gamma Inc"/>
    <s v="W15"/>
    <x v="0"/>
    <s v="BlueDart"/>
    <s v="São Paulo-Cape Town"/>
    <n v="146"/>
    <n v="295"/>
    <n v="23"/>
    <n v="1527.05"/>
    <n v="487.96"/>
    <n v="2015.01"/>
    <x v="1"/>
    <n v="0"/>
    <n v="94.11"/>
    <n v="104"/>
    <n v="105"/>
  </r>
  <r>
    <x v="562"/>
    <s v="C4881"/>
    <d v="2020-11-05T00:00:00"/>
    <d v="2024-08-23T00:00:00"/>
    <x v="2"/>
    <s v="Africa"/>
    <s v="India"/>
    <s v="Mumbai"/>
    <s v="P67026"/>
    <s v="Pharma"/>
    <s v="Laptop"/>
    <s v="Product_8044"/>
    <n v="483.21"/>
    <n v="67"/>
    <s v="S518"/>
    <s v="Alpha Corp"/>
    <s v="W39"/>
    <x v="2"/>
    <s v="Maersk"/>
    <s v="New York-Berlin"/>
    <n v="2658"/>
    <n v="462"/>
    <n v="15"/>
    <n v="877.85"/>
    <n v="251.29"/>
    <n v="1129.1400000000001"/>
    <x v="1"/>
    <n v="0"/>
    <n v="97.21"/>
    <n v="194"/>
    <n v="172"/>
  </r>
  <r>
    <x v="563"/>
    <s v="C3148"/>
    <d v="2023-04-21T00:00:00"/>
    <d v="2022-05-17T00:00:00"/>
    <x v="2"/>
    <s v="Asia"/>
    <s v="Canada"/>
    <s v="Cape Town"/>
    <s v="P97239"/>
    <s v="Furniture"/>
    <s v="Shirt"/>
    <s v="Product_2468"/>
    <n v="379.19"/>
    <n v="60"/>
    <s v="S370"/>
    <s v="Gamma Inc"/>
    <s v="W29"/>
    <x v="0"/>
    <s v="Maersk"/>
    <s v="London-Mumbai"/>
    <n v="2047"/>
    <n v="123"/>
    <n v="9"/>
    <n v="992.01"/>
    <n v="54.46"/>
    <n v="1046.47"/>
    <x v="1"/>
    <n v="0"/>
    <n v="95.41"/>
    <n v="163"/>
    <n v="160"/>
  </r>
  <r>
    <x v="564"/>
    <s v="C1226"/>
    <d v="2021-01-03T00:00:00"/>
    <d v="2023-08-14T00:00:00"/>
    <x v="0"/>
    <s v="Europe"/>
    <s v="India"/>
    <s v="New York"/>
    <s v="P35279"/>
    <s v="Furniture"/>
    <s v="Medicines"/>
    <s v="Product_7104"/>
    <n v="126.76"/>
    <n v="33"/>
    <s v="S881"/>
    <s v="Alpha Corp"/>
    <s v="W47"/>
    <x v="0"/>
    <s v="UPS"/>
    <s v="New York-Toronto"/>
    <n v="2699"/>
    <n v="271"/>
    <n v="12"/>
    <n v="69.27"/>
    <n v="408.57"/>
    <n v="477.84"/>
    <x v="1"/>
    <n v="0"/>
    <n v="95.2"/>
    <n v="274"/>
    <n v="233"/>
  </r>
  <r>
    <x v="565"/>
    <s v="C4951"/>
    <d v="2023-07-27T00:00:00"/>
    <d v="2024-04-05T00:00:00"/>
    <x v="2"/>
    <s v="Africa"/>
    <s v="South Africa"/>
    <s v="New York"/>
    <s v="P57020"/>
    <s v="Food"/>
    <s v="Medicines"/>
    <s v="Product_2698"/>
    <n v="229.36"/>
    <n v="25"/>
    <s v="S194"/>
    <s v="Alpha Corp"/>
    <s v="W42"/>
    <x v="2"/>
    <s v="BlueDart"/>
    <s v="London-New York"/>
    <n v="3909"/>
    <n v="165"/>
    <n v="6"/>
    <n v="1608.67"/>
    <n v="35.82"/>
    <n v="1644.49"/>
    <x v="1"/>
    <n v="0"/>
    <n v="76.040000000000006"/>
    <n v="463"/>
    <n v="507"/>
  </r>
  <r>
    <x v="566"/>
    <s v="C2511"/>
    <d v="2022-08-04T00:00:00"/>
    <d v="2020-03-14T00:00:00"/>
    <x v="2"/>
    <s v="South America"/>
    <s v="Canada"/>
    <s v="Cape Town"/>
    <s v="P91138"/>
    <s v="Electronics"/>
    <s v="Chair"/>
    <s v="Product_9711"/>
    <n v="385.2"/>
    <n v="88"/>
    <s v="S397"/>
    <s v="Delta Traders"/>
    <s v="W48"/>
    <x v="3"/>
    <s v="BlueDart"/>
    <s v="Toronto-Mumbai"/>
    <n v="1626"/>
    <n v="355"/>
    <n v="21"/>
    <n v="1312.13"/>
    <n v="352.33"/>
    <n v="1664.46"/>
    <x v="1"/>
    <n v="0"/>
    <n v="90.66"/>
    <n v="382"/>
    <n v="422"/>
  </r>
  <r>
    <x v="567"/>
    <s v="C8947"/>
    <d v="2020-02-20T00:00:00"/>
    <d v="2022-06-06T00:00:00"/>
    <x v="0"/>
    <s v="Europe"/>
    <s v="Germany"/>
    <s v="Toronto"/>
    <s v="P82653"/>
    <s v="Apparel"/>
    <s v="Medicines"/>
    <s v="Product_5756"/>
    <n v="464.04"/>
    <n v="69"/>
    <s v="S867"/>
    <s v="Beta Ltd"/>
    <s v="W18"/>
    <x v="0"/>
    <s v="FedEx"/>
    <s v="Toronto-São Paulo"/>
    <n v="3476"/>
    <n v="59"/>
    <n v="12"/>
    <n v="68.84"/>
    <n v="182.15"/>
    <n v="250.99"/>
    <x v="0"/>
    <n v="13"/>
    <n v="82.61"/>
    <n v="330"/>
    <n v="372"/>
  </r>
  <r>
    <x v="568"/>
    <s v="C3007"/>
    <d v="2023-06-24T00:00:00"/>
    <d v="2021-03-07T00:00:00"/>
    <x v="1"/>
    <s v="Europe"/>
    <s v="India"/>
    <s v="Mumbai"/>
    <s v="P81517"/>
    <s v="Electronics"/>
    <s v="Shirt"/>
    <s v="Product_7877"/>
    <n v="136.81"/>
    <n v="22"/>
    <s v="S961"/>
    <s v="Delta Traders"/>
    <s v="W18"/>
    <x v="3"/>
    <s v="UPS"/>
    <s v="New York-Cape Town"/>
    <n v="2618"/>
    <n v="283"/>
    <n v="5"/>
    <n v="829.83"/>
    <n v="197.34"/>
    <n v="1027.17"/>
    <x v="1"/>
    <n v="0"/>
    <n v="98.09"/>
    <n v="284"/>
    <n v="312"/>
  </r>
  <r>
    <x v="569"/>
    <s v="C7141"/>
    <d v="2023-02-06T00:00:00"/>
    <d v="2024-07-18T00:00:00"/>
    <x v="2"/>
    <s v="Europe"/>
    <s v="Germany"/>
    <s v="London"/>
    <s v="P35033"/>
    <s v="Furniture"/>
    <s v="Chair"/>
    <s v="Product_2443"/>
    <n v="95.36"/>
    <n v="30"/>
    <s v="S417"/>
    <s v="Epsilon LLC"/>
    <s v="W31"/>
    <x v="1"/>
    <s v="DHL"/>
    <s v="São Paulo-London"/>
    <n v="2157"/>
    <n v="353"/>
    <n v="2"/>
    <n v="654.92999999999995"/>
    <n v="373.52"/>
    <n v="1028.45"/>
    <x v="1"/>
    <n v="0"/>
    <n v="96.7"/>
    <n v="173"/>
    <n v="181"/>
  </r>
  <r>
    <x v="570"/>
    <s v="C4402"/>
    <d v="2024-02-11T00:00:00"/>
    <d v="2022-01-31T00:00:00"/>
    <x v="2"/>
    <s v="North America"/>
    <s v="USA"/>
    <s v="London"/>
    <s v="P12385"/>
    <s v="Furniture"/>
    <s v="Medicines"/>
    <s v="Product_3609"/>
    <n v="149.6"/>
    <n v="59"/>
    <s v="S729"/>
    <s v="Epsilon LLC"/>
    <s v="W33"/>
    <x v="3"/>
    <s v="BlueDart"/>
    <s v="Mumbai-New York"/>
    <n v="2472"/>
    <n v="464"/>
    <n v="18"/>
    <n v="1570.12"/>
    <n v="279.12"/>
    <n v="1849.24"/>
    <x v="1"/>
    <n v="0"/>
    <n v="90.34"/>
    <n v="429"/>
    <n v="438"/>
  </r>
  <r>
    <x v="571"/>
    <s v="C1977"/>
    <d v="2020-02-03T00:00:00"/>
    <d v="2022-04-29T00:00:00"/>
    <x v="2"/>
    <s v="South America"/>
    <s v="Germany"/>
    <s v="Toronto"/>
    <s v="P20043"/>
    <s v="Electronics"/>
    <s v="Chair"/>
    <s v="Product_8223"/>
    <n v="110.43"/>
    <n v="61"/>
    <s v="S109"/>
    <s v="Epsilon LLC"/>
    <s v="W30"/>
    <x v="1"/>
    <s v="Maersk"/>
    <s v="Berlin-London"/>
    <n v="1181"/>
    <n v="169"/>
    <n v="2"/>
    <n v="823.97"/>
    <n v="288.99"/>
    <n v="1112.96"/>
    <x v="1"/>
    <n v="0"/>
    <n v="81.53"/>
    <n v="415"/>
    <n v="385"/>
  </r>
  <r>
    <x v="572"/>
    <s v="C2547"/>
    <d v="2020-01-28T00:00:00"/>
    <d v="2020-11-11T00:00:00"/>
    <x v="1"/>
    <s v="South America"/>
    <s v="UK"/>
    <s v="Mumbai"/>
    <s v="P14155"/>
    <s v="Food"/>
    <s v="Shirt"/>
    <s v="Product_2126"/>
    <n v="372"/>
    <n v="19"/>
    <s v="S896"/>
    <s v="Alpha Corp"/>
    <s v="W16"/>
    <x v="0"/>
    <s v="FedEx"/>
    <s v="New York-São Paulo"/>
    <n v="423"/>
    <n v="74"/>
    <n v="20"/>
    <n v="742.61"/>
    <n v="432.23"/>
    <n v="1174.8399999999999"/>
    <x v="1"/>
    <n v="0"/>
    <n v="70.180000000000007"/>
    <n v="437"/>
    <n v="484"/>
  </r>
  <r>
    <x v="573"/>
    <s v="C2978"/>
    <d v="2020-03-21T00:00:00"/>
    <d v="2024-08-25T00:00:00"/>
    <x v="2"/>
    <s v="South America"/>
    <s v="Brazil"/>
    <s v="Cape Town"/>
    <s v="P83327"/>
    <s v="Pharma"/>
    <s v="Medicines"/>
    <s v="Product_7904"/>
    <n v="347.06"/>
    <n v="56"/>
    <s v="S647"/>
    <s v="Alpha Corp"/>
    <s v="W37"/>
    <x v="0"/>
    <s v="Maersk"/>
    <s v="New York-Cape Town"/>
    <n v="2022"/>
    <n v="159"/>
    <n v="4"/>
    <n v="678.29"/>
    <n v="148.77000000000001"/>
    <n v="827.06"/>
    <x v="1"/>
    <n v="0"/>
    <n v="79.92"/>
    <n v="489"/>
    <n v="487"/>
  </r>
  <r>
    <x v="574"/>
    <s v="C9687"/>
    <d v="2021-01-07T00:00:00"/>
    <d v="2021-07-15T00:00:00"/>
    <x v="2"/>
    <s v="Asia"/>
    <s v="Brazil"/>
    <s v="São Paulo"/>
    <s v="P73257"/>
    <s v="Pharma"/>
    <s v="Laptop"/>
    <s v="Product_9459"/>
    <n v="91.45"/>
    <n v="66"/>
    <s v="S939"/>
    <s v="Gamma Inc"/>
    <s v="W31"/>
    <x v="1"/>
    <s v="UPS"/>
    <s v="Mumbai-Mumbai"/>
    <n v="2882"/>
    <n v="267"/>
    <n v="22"/>
    <n v="1734.49"/>
    <n v="473.92"/>
    <n v="2208.41"/>
    <x v="1"/>
    <n v="0"/>
    <n v="95.69"/>
    <n v="166"/>
    <n v="126"/>
  </r>
  <r>
    <x v="575"/>
    <s v="C2184"/>
    <d v="2020-04-24T00:00:00"/>
    <d v="2024-08-11T00:00:00"/>
    <x v="2"/>
    <s v="Asia"/>
    <s v="South Africa"/>
    <s v="Berlin"/>
    <s v="P51655"/>
    <s v="Food"/>
    <s v="Snacks"/>
    <s v="Product_3243"/>
    <n v="144.16999999999999"/>
    <n v="58"/>
    <s v="S512"/>
    <s v="Alpha Corp"/>
    <s v="W9"/>
    <x v="1"/>
    <s v="DHL"/>
    <s v="Berlin-London"/>
    <n v="1999"/>
    <n v="192"/>
    <n v="19"/>
    <n v="328.44"/>
    <n v="111.04"/>
    <n v="439.48"/>
    <x v="1"/>
    <n v="0"/>
    <n v="80.12"/>
    <n v="499"/>
    <n v="452"/>
  </r>
  <r>
    <x v="576"/>
    <s v="C9826"/>
    <d v="2023-01-06T00:00:00"/>
    <d v="2023-09-01T00:00:00"/>
    <x v="2"/>
    <s v="North America"/>
    <s v="South Africa"/>
    <s v="Toronto"/>
    <s v="P12402"/>
    <s v="Food"/>
    <s v="Chair"/>
    <s v="Product_4358"/>
    <n v="207.34"/>
    <n v="44"/>
    <s v="S444"/>
    <s v="Gamma Inc"/>
    <s v="W40"/>
    <x v="2"/>
    <s v="DHL"/>
    <s v="London-Berlin"/>
    <n v="952"/>
    <n v="467"/>
    <n v="14"/>
    <n v="1230.51"/>
    <n v="62.64"/>
    <n v="1293.1500000000001"/>
    <x v="1"/>
    <n v="0"/>
    <n v="79.59"/>
    <n v="236"/>
    <n v="239"/>
  </r>
  <r>
    <x v="577"/>
    <s v="C2982"/>
    <d v="2020-06-26T00:00:00"/>
    <d v="2022-03-24T00:00:00"/>
    <x v="2"/>
    <s v="Africa"/>
    <s v="South Africa"/>
    <s v="Mumbai"/>
    <s v="P23763"/>
    <s v="Food"/>
    <s v="Shirt"/>
    <s v="Product_1959"/>
    <n v="115.29"/>
    <n v="80"/>
    <s v="S798"/>
    <s v="Gamma Inc"/>
    <s v="W26"/>
    <x v="1"/>
    <s v="DHL"/>
    <s v="Cape Town-Cape Town"/>
    <n v="1289"/>
    <n v="279"/>
    <n v="12"/>
    <n v="118.22"/>
    <n v="200.93"/>
    <n v="319.14999999999998"/>
    <x v="1"/>
    <n v="0"/>
    <n v="82.04"/>
    <n v="291"/>
    <n v="247"/>
  </r>
  <r>
    <x v="578"/>
    <s v="C2961"/>
    <d v="2023-11-01T00:00:00"/>
    <d v="2021-07-17T00:00:00"/>
    <x v="2"/>
    <s v="Europe"/>
    <s v="Germany"/>
    <s v="São Paulo"/>
    <s v="P26764"/>
    <s v="Electronics"/>
    <s v="Laptop"/>
    <s v="Product_7828"/>
    <n v="219.84"/>
    <n v="41"/>
    <s v="S569"/>
    <s v="Epsilon LLC"/>
    <s v="W39"/>
    <x v="0"/>
    <s v="DHL"/>
    <s v="New York-Berlin"/>
    <n v="434"/>
    <n v="269"/>
    <n v="4"/>
    <n v="876.64"/>
    <n v="353.86"/>
    <n v="1230.5"/>
    <x v="1"/>
    <n v="0"/>
    <n v="70.5"/>
    <n v="484"/>
    <n v="471"/>
  </r>
  <r>
    <x v="579"/>
    <s v="C5453"/>
    <d v="2020-01-04T00:00:00"/>
    <d v="2022-05-06T00:00:00"/>
    <x v="0"/>
    <s v="Europe"/>
    <s v="Canada"/>
    <s v="New York"/>
    <s v="P84893"/>
    <s v="Furniture"/>
    <s v="Shirt"/>
    <s v="Product_4878"/>
    <n v="330.12"/>
    <n v="55"/>
    <s v="S395"/>
    <s v="Beta Ltd"/>
    <s v="W12"/>
    <x v="1"/>
    <s v="BlueDart"/>
    <s v="Mumbai-London"/>
    <n v="1313"/>
    <n v="380"/>
    <n v="6"/>
    <n v="1390.4"/>
    <n v="99.35"/>
    <n v="1489.75"/>
    <x v="1"/>
    <n v="0"/>
    <n v="89.31"/>
    <n v="319"/>
    <n v="297"/>
  </r>
  <r>
    <x v="580"/>
    <s v="C1539"/>
    <d v="2022-10-25T00:00:00"/>
    <d v="2020-11-17T00:00:00"/>
    <x v="2"/>
    <s v="Africa"/>
    <s v="China"/>
    <s v="Berlin"/>
    <s v="P10311"/>
    <s v="Electronics"/>
    <s v="Medicines"/>
    <s v="Product_3433"/>
    <n v="297.08"/>
    <n v="90"/>
    <s v="S303"/>
    <s v="Delta Traders"/>
    <s v="W45"/>
    <x v="2"/>
    <s v="BlueDart"/>
    <s v="London-Toronto"/>
    <n v="1237"/>
    <n v="450"/>
    <n v="20"/>
    <n v="230.38"/>
    <n v="352.55"/>
    <n v="582.93000000000006"/>
    <x v="1"/>
    <n v="0"/>
    <n v="80"/>
    <n v="457"/>
    <n v="412"/>
  </r>
  <r>
    <x v="581"/>
    <s v="C8467"/>
    <d v="2020-09-18T00:00:00"/>
    <d v="2025-01-01T00:00:00"/>
    <x v="2"/>
    <s v="Africa"/>
    <s v="Brazil"/>
    <s v="Cape Town"/>
    <s v="P71926"/>
    <s v="Apparel"/>
    <s v="Laptop"/>
    <s v="Product_4144"/>
    <n v="349.41"/>
    <n v="42"/>
    <s v="S695"/>
    <s v="Epsilon LLC"/>
    <s v="W39"/>
    <x v="2"/>
    <s v="Maersk"/>
    <s v="New York-Beijing"/>
    <n v="4458"/>
    <n v="393"/>
    <n v="20"/>
    <n v="96.34"/>
    <n v="300.07"/>
    <n v="396.41"/>
    <x v="1"/>
    <n v="0"/>
    <n v="83.42"/>
    <n v="230"/>
    <n v="214"/>
  </r>
  <r>
    <x v="582"/>
    <s v="C7505"/>
    <d v="2024-05-16T00:00:00"/>
    <d v="2020-01-16T00:00:00"/>
    <x v="2"/>
    <s v="Africa"/>
    <s v="Germany"/>
    <s v="Cape Town"/>
    <s v="P41433"/>
    <s v="Apparel"/>
    <s v="Shirt"/>
    <s v="Product_5446"/>
    <n v="24.53"/>
    <n v="43"/>
    <s v="S521"/>
    <s v="Alpha Corp"/>
    <s v="W21"/>
    <x v="3"/>
    <s v="UPS"/>
    <s v="London-Cape Town"/>
    <n v="1184"/>
    <n v="140"/>
    <n v="10"/>
    <n v="925.54"/>
    <n v="305.97000000000003"/>
    <n v="1231.51"/>
    <x v="1"/>
    <n v="0"/>
    <n v="82.69"/>
    <n v="498"/>
    <n v="499"/>
  </r>
  <r>
    <x v="583"/>
    <s v="C7601"/>
    <d v="2020-09-24T00:00:00"/>
    <d v="2023-12-28T00:00:00"/>
    <x v="2"/>
    <s v="Europe"/>
    <s v="China"/>
    <s v="New York"/>
    <s v="P34148"/>
    <s v="Apparel"/>
    <s v="Snacks"/>
    <s v="Product_4561"/>
    <n v="464.56"/>
    <n v="91"/>
    <s v="S944"/>
    <s v="Gamma Inc"/>
    <s v="W3"/>
    <x v="1"/>
    <s v="BlueDart"/>
    <s v="Toronto-Mumbai"/>
    <n v="278"/>
    <n v="378"/>
    <n v="27"/>
    <n v="1081.01"/>
    <n v="148.91"/>
    <n v="1229.92"/>
    <x v="1"/>
    <n v="0"/>
    <n v="72.489999999999995"/>
    <n v="189"/>
    <n v="200"/>
  </r>
  <r>
    <x v="584"/>
    <s v="C1866"/>
    <d v="2024-10-24T00:00:00"/>
    <d v="2022-07-03T00:00:00"/>
    <x v="2"/>
    <s v="Asia"/>
    <s v="India"/>
    <s v="Cape Town"/>
    <s v="P62432"/>
    <s v="Pharma"/>
    <s v="Chair"/>
    <s v="Product_9615"/>
    <n v="260.89"/>
    <n v="84"/>
    <s v="S863"/>
    <s v="Beta Ltd"/>
    <s v="W42"/>
    <x v="1"/>
    <s v="Maersk"/>
    <s v="London-New York"/>
    <n v="4167"/>
    <n v="446"/>
    <n v="29"/>
    <n v="188.23"/>
    <n v="408.31"/>
    <n v="596.54"/>
    <x v="1"/>
    <n v="0"/>
    <n v="89.54"/>
    <n v="377"/>
    <n v="413"/>
  </r>
  <r>
    <x v="585"/>
    <s v="C5423"/>
    <d v="2020-07-31T00:00:00"/>
    <d v="2024-09-11T00:00:00"/>
    <x v="2"/>
    <s v="South America"/>
    <s v="Canada"/>
    <s v="Cape Town"/>
    <s v="P83103"/>
    <s v="Pharma"/>
    <s v="Medicines"/>
    <s v="Product_7551"/>
    <n v="180.83"/>
    <n v="87"/>
    <s v="S600"/>
    <s v="Gamma Inc"/>
    <s v="W21"/>
    <x v="0"/>
    <s v="Maersk"/>
    <s v="Beijing-Mumbai"/>
    <n v="2560"/>
    <n v="369"/>
    <n v="15"/>
    <n v="174.17"/>
    <n v="387.95"/>
    <n v="562.12"/>
    <x v="0"/>
    <n v="5"/>
    <n v="86.33"/>
    <n v="498"/>
    <n v="471"/>
  </r>
  <r>
    <x v="586"/>
    <s v="C8654"/>
    <d v="2024-03-16T00:00:00"/>
    <d v="2020-07-06T00:00:00"/>
    <x v="2"/>
    <s v="Asia"/>
    <s v="UK"/>
    <s v="New York"/>
    <s v="P88023"/>
    <s v="Furniture"/>
    <s v="Laptop"/>
    <s v="Product_8463"/>
    <n v="82.84"/>
    <n v="67"/>
    <s v="S568"/>
    <s v="Delta Traders"/>
    <s v="W21"/>
    <x v="0"/>
    <s v="Maersk"/>
    <s v="Toronto-New York"/>
    <n v="3449"/>
    <n v="268"/>
    <n v="11"/>
    <n v="1736.2"/>
    <n v="73.84"/>
    <n v="1810.04"/>
    <x v="1"/>
    <n v="0"/>
    <n v="78.489999999999995"/>
    <n v="147"/>
    <n v="128"/>
  </r>
  <r>
    <x v="587"/>
    <s v="C2928"/>
    <d v="2020-01-02T00:00:00"/>
    <d v="2021-04-06T00:00:00"/>
    <x v="2"/>
    <s v="Europe"/>
    <s v="USA"/>
    <s v="New York"/>
    <s v="P75833"/>
    <s v="Furniture"/>
    <s v="Chair"/>
    <s v="Product_6062"/>
    <n v="320.68"/>
    <n v="38"/>
    <s v="S549"/>
    <s v="Epsilon LLC"/>
    <s v="W1"/>
    <x v="2"/>
    <s v="FedEx"/>
    <s v="Mumbai-Cape Town"/>
    <n v="4061"/>
    <n v="100"/>
    <n v="13"/>
    <n v="1380.71"/>
    <n v="326.22000000000003"/>
    <n v="1706.93"/>
    <x v="1"/>
    <n v="0"/>
    <n v="78.180000000000007"/>
    <n v="50"/>
    <n v="36"/>
  </r>
  <r>
    <x v="588"/>
    <s v="C4310"/>
    <d v="2020-05-15T00:00:00"/>
    <d v="2022-02-15T00:00:00"/>
    <x v="2"/>
    <s v="Asia"/>
    <s v="UK"/>
    <s v="Cape Town"/>
    <s v="P29606"/>
    <s v="Furniture"/>
    <s v="Laptop"/>
    <s v="Product_9536"/>
    <n v="201.09"/>
    <n v="84"/>
    <s v="S582"/>
    <s v="Epsilon LLC"/>
    <s v="W24"/>
    <x v="1"/>
    <s v="FedEx"/>
    <s v="Toronto-Mumbai"/>
    <n v="588"/>
    <n v="65"/>
    <n v="20"/>
    <n v="259.27"/>
    <n v="484.95"/>
    <n v="744.22"/>
    <x v="1"/>
    <n v="0"/>
    <n v="83.73"/>
    <n v="307"/>
    <n v="293"/>
  </r>
  <r>
    <x v="589"/>
    <s v="C8137"/>
    <d v="2021-12-19T00:00:00"/>
    <d v="2022-01-20T00:00:00"/>
    <x v="2"/>
    <s v="North America"/>
    <s v="India"/>
    <s v="New York"/>
    <s v="P53109"/>
    <s v="Pharma"/>
    <s v="Snacks"/>
    <s v="Product_8150"/>
    <n v="53.44"/>
    <n v="13"/>
    <s v="S119"/>
    <s v="Gamma Inc"/>
    <s v="W31"/>
    <x v="0"/>
    <s v="DHL"/>
    <s v="Berlin-London"/>
    <n v="3616"/>
    <n v="178"/>
    <n v="24"/>
    <n v="1955.65"/>
    <n v="473.11"/>
    <n v="2428.7600000000002"/>
    <x v="1"/>
    <n v="0"/>
    <n v="86.98"/>
    <n v="297"/>
    <n v="252"/>
  </r>
  <r>
    <x v="590"/>
    <s v="C4125"/>
    <d v="2023-01-12T00:00:00"/>
    <d v="2020-10-29T00:00:00"/>
    <x v="2"/>
    <s v="South America"/>
    <s v="China"/>
    <s v="São Paulo"/>
    <s v="P54124"/>
    <s v="Food"/>
    <s v="Chair"/>
    <s v="Product_2897"/>
    <n v="213.04"/>
    <n v="9"/>
    <s v="S680"/>
    <s v="Epsilon LLC"/>
    <s v="W22"/>
    <x v="1"/>
    <s v="Maersk"/>
    <s v="London-New York"/>
    <n v="998"/>
    <n v="200"/>
    <n v="18"/>
    <n v="1126.2"/>
    <n v="140.66999999999999"/>
    <n v="1266.8699999999999"/>
    <x v="1"/>
    <n v="0"/>
    <n v="78.42"/>
    <n v="492"/>
    <n v="460"/>
  </r>
  <r>
    <x v="591"/>
    <s v="C1926"/>
    <d v="2020-03-02T00:00:00"/>
    <d v="2020-10-09T00:00:00"/>
    <x v="2"/>
    <s v="Europe"/>
    <s v="USA"/>
    <s v="Cape Town"/>
    <s v="P31637"/>
    <s v="Furniture"/>
    <s v="Snacks"/>
    <s v="Product_1837"/>
    <n v="233.67"/>
    <n v="92"/>
    <s v="S907"/>
    <s v="Beta Ltd"/>
    <s v="W6"/>
    <x v="2"/>
    <s v="FedEx"/>
    <s v="São Paulo-Cape Town"/>
    <n v="2991"/>
    <n v="138"/>
    <n v="6"/>
    <n v="1550.64"/>
    <n v="437.51"/>
    <n v="1988.15"/>
    <x v="1"/>
    <n v="0"/>
    <n v="93.61"/>
    <n v="379"/>
    <n v="357"/>
  </r>
  <r>
    <x v="592"/>
    <s v="C4427"/>
    <d v="2021-04-21T00:00:00"/>
    <d v="2023-10-09T00:00:00"/>
    <x v="2"/>
    <s v="North America"/>
    <s v="USA"/>
    <s v="Cape Town"/>
    <s v="P15717"/>
    <s v="Furniture"/>
    <s v="Medicines"/>
    <s v="Product_8891"/>
    <n v="351.08"/>
    <n v="48"/>
    <s v="S678"/>
    <s v="Gamma Inc"/>
    <s v="W9"/>
    <x v="1"/>
    <s v="FedEx"/>
    <s v="Berlin-London"/>
    <n v="3235"/>
    <n v="307"/>
    <n v="29"/>
    <n v="522.82000000000005"/>
    <n v="460.9"/>
    <n v="983.72"/>
    <x v="1"/>
    <n v="0"/>
    <n v="88.43"/>
    <n v="411"/>
    <n v="373"/>
  </r>
  <r>
    <x v="593"/>
    <s v="C4103"/>
    <d v="2021-09-19T00:00:00"/>
    <d v="2021-12-17T00:00:00"/>
    <x v="2"/>
    <s v="Asia"/>
    <s v="Germany"/>
    <s v="Toronto"/>
    <s v="P60175"/>
    <s v="Food"/>
    <s v="Shirt"/>
    <s v="Product_9270"/>
    <n v="444.21"/>
    <n v="21"/>
    <s v="S170"/>
    <s v="Delta Traders"/>
    <s v="W30"/>
    <x v="1"/>
    <s v="UPS"/>
    <s v="Mumbai-Cape Town"/>
    <n v="2720"/>
    <n v="428"/>
    <n v="29"/>
    <n v="1193.24"/>
    <n v="210.97"/>
    <n v="1404.21"/>
    <x v="1"/>
    <n v="0"/>
    <n v="81.010000000000005"/>
    <n v="369"/>
    <n v="407"/>
  </r>
  <r>
    <x v="594"/>
    <s v="C7233"/>
    <d v="2024-10-31T00:00:00"/>
    <d v="2022-04-26T00:00:00"/>
    <x v="2"/>
    <s v="Africa"/>
    <s v="UK"/>
    <s v="Toronto"/>
    <s v="P32027"/>
    <s v="Apparel"/>
    <s v="Medicines"/>
    <s v="Product_6729"/>
    <n v="443.31"/>
    <n v="72"/>
    <s v="S709"/>
    <s v="Delta Traders"/>
    <s v="W26"/>
    <x v="1"/>
    <s v="BlueDart"/>
    <s v="London-Cape Town"/>
    <n v="3288"/>
    <n v="248"/>
    <n v="20"/>
    <n v="1812.14"/>
    <n v="81.28"/>
    <n v="1893.42"/>
    <x v="1"/>
    <n v="0"/>
    <n v="92.04"/>
    <n v="377"/>
    <n v="351"/>
  </r>
  <r>
    <x v="595"/>
    <s v="C1636"/>
    <d v="2020-05-23T00:00:00"/>
    <d v="2024-02-28T00:00:00"/>
    <x v="1"/>
    <s v="South America"/>
    <s v="Brazil"/>
    <s v="London"/>
    <s v="P93785"/>
    <s v="Apparel"/>
    <s v="Laptop"/>
    <s v="Product_9833"/>
    <n v="355.75"/>
    <n v="75"/>
    <s v="S732"/>
    <s v="Epsilon LLC"/>
    <s v="W21"/>
    <x v="0"/>
    <s v="UPS"/>
    <s v="London-London"/>
    <n v="1110"/>
    <n v="466"/>
    <n v="16"/>
    <n v="1713.69"/>
    <n v="177.14"/>
    <n v="1890.83"/>
    <x v="1"/>
    <n v="0"/>
    <n v="80.69"/>
    <n v="308"/>
    <n v="332"/>
  </r>
  <r>
    <x v="596"/>
    <s v="C5607"/>
    <d v="2020-12-14T00:00:00"/>
    <d v="2022-06-19T00:00:00"/>
    <x v="2"/>
    <s v="South America"/>
    <s v="UK"/>
    <s v="Mumbai"/>
    <s v="P84120"/>
    <s v="Electronics"/>
    <s v="Chair"/>
    <s v="Product_1599"/>
    <n v="22.14"/>
    <n v="49"/>
    <s v="S841"/>
    <s v="Delta Traders"/>
    <s v="W8"/>
    <x v="2"/>
    <s v="BlueDart"/>
    <s v="Beijing-São Paulo"/>
    <n v="1296"/>
    <n v="491"/>
    <n v="20"/>
    <n v="805.51"/>
    <n v="318.81"/>
    <n v="1124.32"/>
    <x v="1"/>
    <n v="0"/>
    <n v="72.66"/>
    <n v="140"/>
    <n v="151"/>
  </r>
  <r>
    <x v="597"/>
    <s v="C6272"/>
    <d v="2024-11-22T00:00:00"/>
    <d v="2020-03-03T00:00:00"/>
    <x v="2"/>
    <s v="Africa"/>
    <s v="USA"/>
    <s v="New York"/>
    <s v="P69391"/>
    <s v="Food"/>
    <s v="Medicines"/>
    <s v="Product_1202"/>
    <n v="428.35"/>
    <n v="14"/>
    <s v="S591"/>
    <s v="Alpha Corp"/>
    <s v="W20"/>
    <x v="0"/>
    <s v="FedEx"/>
    <s v="São Paulo-Toronto"/>
    <n v="3003"/>
    <n v="391"/>
    <n v="14"/>
    <n v="936.68"/>
    <n v="96.66"/>
    <n v="1033.3399999999999"/>
    <x v="1"/>
    <n v="0"/>
    <n v="75.48"/>
    <n v="93"/>
    <n v="130"/>
  </r>
  <r>
    <x v="598"/>
    <s v="C1555"/>
    <d v="2020-09-05T00:00:00"/>
    <d v="2024-01-18T00:00:00"/>
    <x v="1"/>
    <s v="North America"/>
    <s v="USA"/>
    <s v="Toronto"/>
    <s v="P39180"/>
    <s v="Food"/>
    <s v="Laptop"/>
    <s v="Product_8354"/>
    <n v="229"/>
    <n v="48"/>
    <s v="S161"/>
    <s v="Beta Ltd"/>
    <s v="W49"/>
    <x v="2"/>
    <s v="FedEx"/>
    <s v="New York-Mumbai"/>
    <n v="3989"/>
    <n v="137"/>
    <n v="8"/>
    <n v="1937.1"/>
    <n v="407.39"/>
    <n v="2344.4899999999998"/>
    <x v="1"/>
    <n v="0"/>
    <n v="70.78"/>
    <n v="489"/>
    <n v="494"/>
  </r>
  <r>
    <x v="599"/>
    <s v="C3836"/>
    <d v="2023-04-27T00:00:00"/>
    <d v="2022-05-24T00:00:00"/>
    <x v="2"/>
    <s v="Africa"/>
    <s v="India"/>
    <s v="Toronto"/>
    <s v="P54001"/>
    <s v="Electronics"/>
    <s v="Chair"/>
    <s v="Product_1962"/>
    <n v="97.46"/>
    <n v="43"/>
    <s v="S188"/>
    <s v="Beta Ltd"/>
    <s v="W28"/>
    <x v="0"/>
    <s v="FedEx"/>
    <s v="Cape Town-Berlin"/>
    <n v="4631"/>
    <n v="66"/>
    <n v="4"/>
    <n v="515.74"/>
    <n v="117.92"/>
    <n v="633.66"/>
    <x v="1"/>
    <n v="0"/>
    <n v="95.07"/>
    <n v="258"/>
    <n v="260"/>
  </r>
  <r>
    <x v="600"/>
    <s v="C1091"/>
    <d v="2021-04-15T00:00:00"/>
    <d v="2021-02-06T00:00:00"/>
    <x v="2"/>
    <s v="Europe"/>
    <s v="UK"/>
    <s v="Toronto"/>
    <s v="P88993"/>
    <s v="Furniture"/>
    <s v="Shirt"/>
    <s v="Product_1189"/>
    <n v="149.5"/>
    <n v="57"/>
    <s v="S545"/>
    <s v="Epsilon LLC"/>
    <s v="W43"/>
    <x v="3"/>
    <s v="DHL"/>
    <s v="New York-New York"/>
    <n v="620"/>
    <n v="260"/>
    <n v="22"/>
    <n v="1490.06"/>
    <n v="281.45999999999998"/>
    <n v="1771.52"/>
    <x v="1"/>
    <n v="0"/>
    <n v="99.32"/>
    <n v="215"/>
    <n v="235"/>
  </r>
  <r>
    <x v="601"/>
    <s v="C5387"/>
    <d v="2021-07-19T00:00:00"/>
    <d v="2022-08-02T00:00:00"/>
    <x v="1"/>
    <s v="South America"/>
    <s v="Germany"/>
    <s v="Berlin"/>
    <s v="P35653"/>
    <s v="Pharma"/>
    <s v="Chair"/>
    <s v="Product_5367"/>
    <n v="209.49"/>
    <n v="90"/>
    <s v="S655"/>
    <s v="Epsilon LLC"/>
    <s v="W41"/>
    <x v="3"/>
    <s v="FedEx"/>
    <s v="Beijing-Mumbai"/>
    <n v="419"/>
    <n v="191"/>
    <n v="28"/>
    <n v="1375.56"/>
    <n v="316.98"/>
    <n v="1692.54"/>
    <x v="1"/>
    <n v="0"/>
    <n v="97.94"/>
    <n v="177"/>
    <n v="201"/>
  </r>
  <r>
    <x v="602"/>
    <s v="C5925"/>
    <d v="2024-09-20T00:00:00"/>
    <d v="2023-05-20T00:00:00"/>
    <x v="2"/>
    <s v="North America"/>
    <s v="UK"/>
    <s v="Cape Town"/>
    <s v="P58219"/>
    <s v="Food"/>
    <s v="Chair"/>
    <s v="Product_4901"/>
    <n v="229.42"/>
    <n v="27"/>
    <s v="S177"/>
    <s v="Beta Ltd"/>
    <s v="W6"/>
    <x v="0"/>
    <s v="BlueDart"/>
    <s v="New York-Beijing"/>
    <n v="4634"/>
    <n v="293"/>
    <n v="7"/>
    <n v="243.92"/>
    <n v="377.27"/>
    <n v="621.18999999999994"/>
    <x v="1"/>
    <n v="0"/>
    <n v="94.05"/>
    <n v="190"/>
    <n v="145"/>
  </r>
  <r>
    <x v="603"/>
    <s v="C7305"/>
    <d v="2021-10-19T00:00:00"/>
    <d v="2021-02-09T00:00:00"/>
    <x v="1"/>
    <s v="North America"/>
    <s v="UK"/>
    <s v="Beijing"/>
    <s v="P59675"/>
    <s v="Furniture"/>
    <s v="Laptop"/>
    <s v="Product_9738"/>
    <n v="497.85"/>
    <n v="68"/>
    <s v="S373"/>
    <s v="Alpha Corp"/>
    <s v="W37"/>
    <x v="0"/>
    <s v="BlueDart"/>
    <s v="New York-Beijing"/>
    <n v="2094"/>
    <n v="227"/>
    <n v="10"/>
    <n v="133.31"/>
    <n v="242.46"/>
    <n v="375.77"/>
    <x v="0"/>
    <n v="9"/>
    <n v="94.28"/>
    <n v="433"/>
    <n v="397"/>
  </r>
  <r>
    <x v="604"/>
    <s v="C8072"/>
    <d v="2022-07-11T00:00:00"/>
    <d v="2024-05-06T00:00:00"/>
    <x v="2"/>
    <s v="Asia"/>
    <s v="India"/>
    <s v="Beijing"/>
    <s v="P53390"/>
    <s v="Electronics"/>
    <s v="Shirt"/>
    <s v="Product_2039"/>
    <n v="305.91000000000003"/>
    <n v="12"/>
    <s v="S413"/>
    <s v="Epsilon LLC"/>
    <s v="W47"/>
    <x v="0"/>
    <s v="DHL"/>
    <s v="Berlin-São Paulo"/>
    <n v="4524"/>
    <n v="75"/>
    <n v="22"/>
    <n v="813.48"/>
    <n v="273.63"/>
    <n v="1087.1099999999999"/>
    <x v="1"/>
    <n v="0"/>
    <n v="79.099999999999994"/>
    <n v="406"/>
    <n v="380"/>
  </r>
  <r>
    <x v="605"/>
    <s v="C5054"/>
    <d v="2022-05-07T00:00:00"/>
    <d v="2022-10-24T00:00:00"/>
    <x v="2"/>
    <s v="North America"/>
    <s v="China"/>
    <s v="Berlin"/>
    <s v="P72710"/>
    <s v="Apparel"/>
    <s v="Chair"/>
    <s v="Product_2009"/>
    <n v="43.87"/>
    <n v="62"/>
    <s v="S721"/>
    <s v="Beta Ltd"/>
    <s v="W27"/>
    <x v="0"/>
    <s v="Maersk"/>
    <s v="São Paulo-São Paulo"/>
    <n v="3857"/>
    <n v="80"/>
    <n v="14"/>
    <n v="669.28"/>
    <n v="251.11"/>
    <n v="920.39"/>
    <x v="1"/>
    <n v="0"/>
    <n v="96.16"/>
    <n v="174"/>
    <n v="218"/>
  </r>
  <r>
    <x v="606"/>
    <s v="C1860"/>
    <d v="2020-04-13T00:00:00"/>
    <d v="2022-05-06T00:00:00"/>
    <x v="1"/>
    <s v="Asia"/>
    <s v="China"/>
    <s v="Mumbai"/>
    <s v="P76049"/>
    <s v="Food"/>
    <s v="Laptop"/>
    <s v="Product_8613"/>
    <n v="414.23"/>
    <n v="57"/>
    <s v="S745"/>
    <s v="Beta Ltd"/>
    <s v="W44"/>
    <x v="0"/>
    <s v="BlueDart"/>
    <s v="São Paulo-Toronto"/>
    <n v="3817"/>
    <n v="346"/>
    <n v="7"/>
    <n v="163.04"/>
    <n v="88.47"/>
    <n v="251.51"/>
    <x v="0"/>
    <n v="14"/>
    <n v="81.53"/>
    <n v="207"/>
    <n v="220"/>
  </r>
  <r>
    <x v="607"/>
    <s v="C3906"/>
    <d v="2022-08-11T00:00:00"/>
    <d v="2020-11-09T00:00:00"/>
    <x v="2"/>
    <s v="Africa"/>
    <s v="Canada"/>
    <s v="São Paulo"/>
    <s v="P46748"/>
    <s v="Furniture"/>
    <s v="Chair"/>
    <s v="Product_2135"/>
    <n v="306.69"/>
    <n v="81"/>
    <s v="S377"/>
    <s v="Beta Ltd"/>
    <s v="W19"/>
    <x v="2"/>
    <s v="Maersk"/>
    <s v="Cape Town-Berlin"/>
    <n v="3443"/>
    <n v="180"/>
    <n v="11"/>
    <n v="597.44000000000005"/>
    <n v="461.89"/>
    <n v="1059.33"/>
    <x v="0"/>
    <n v="3"/>
    <n v="93.54"/>
    <n v="259"/>
    <n v="219"/>
  </r>
  <r>
    <x v="608"/>
    <s v="C7921"/>
    <d v="2023-07-07T00:00:00"/>
    <d v="2021-11-18T00:00:00"/>
    <x v="2"/>
    <s v="Asia"/>
    <s v="UK"/>
    <s v="London"/>
    <s v="P22516"/>
    <s v="Electronics"/>
    <s v="Shirt"/>
    <s v="Product_7695"/>
    <n v="140.33000000000001"/>
    <n v="89"/>
    <s v="S726"/>
    <s v="Alpha Corp"/>
    <s v="W33"/>
    <x v="0"/>
    <s v="Maersk"/>
    <s v="Toronto-New York"/>
    <n v="4427"/>
    <n v="81"/>
    <n v="27"/>
    <n v="991.65"/>
    <n v="99.12"/>
    <n v="1090.77"/>
    <x v="0"/>
    <n v="1"/>
    <n v="93.64"/>
    <n v="56"/>
    <n v="75"/>
  </r>
  <r>
    <x v="609"/>
    <s v="C7800"/>
    <d v="2022-07-01T00:00:00"/>
    <d v="2024-02-21T00:00:00"/>
    <x v="1"/>
    <s v="South America"/>
    <s v="UK"/>
    <s v="Berlin"/>
    <s v="P96511"/>
    <s v="Electronics"/>
    <s v="Medicines"/>
    <s v="Product_3860"/>
    <n v="27.57"/>
    <n v="57"/>
    <s v="S699"/>
    <s v="Alpha Corp"/>
    <s v="W5"/>
    <x v="0"/>
    <s v="DHL"/>
    <s v="Toronto-Cape Town"/>
    <n v="3271"/>
    <n v="220"/>
    <n v="9"/>
    <n v="114.79"/>
    <n v="188.11"/>
    <n v="302.89999999999998"/>
    <x v="0"/>
    <n v="10"/>
    <n v="73.25"/>
    <n v="159"/>
    <n v="184"/>
  </r>
  <r>
    <x v="610"/>
    <s v="C2710"/>
    <d v="2021-03-02T00:00:00"/>
    <d v="2022-12-08T00:00:00"/>
    <x v="1"/>
    <s v="Africa"/>
    <s v="Brazil"/>
    <s v="New York"/>
    <s v="P44098"/>
    <s v="Pharma"/>
    <s v="Laptop"/>
    <s v="Product_9674"/>
    <n v="354.17"/>
    <n v="49"/>
    <s v="S471"/>
    <s v="Gamma Inc"/>
    <s v="W42"/>
    <x v="2"/>
    <s v="BlueDart"/>
    <s v="Mumbai-Cape Town"/>
    <n v="4332"/>
    <n v="324"/>
    <n v="8"/>
    <n v="706.6"/>
    <n v="407.2"/>
    <n v="1113.8"/>
    <x v="1"/>
    <n v="0"/>
    <n v="91.76"/>
    <n v="440"/>
    <n v="431"/>
  </r>
  <r>
    <x v="611"/>
    <s v="C9551"/>
    <d v="2025-01-01T00:00:00"/>
    <d v="2021-11-10T00:00:00"/>
    <x v="1"/>
    <s v="Asia"/>
    <s v="China"/>
    <s v="Toronto"/>
    <s v="P73661"/>
    <s v="Furniture"/>
    <s v="Medicines"/>
    <s v="Product_5873"/>
    <n v="430.5"/>
    <n v="10"/>
    <s v="S537"/>
    <s v="Gamma Inc"/>
    <s v="W13"/>
    <x v="2"/>
    <s v="UPS"/>
    <s v="Mumbai-Beijing"/>
    <n v="167"/>
    <n v="219"/>
    <n v="2"/>
    <n v="1203.4000000000001"/>
    <n v="264.05"/>
    <n v="1467.45"/>
    <x v="1"/>
    <n v="0"/>
    <n v="71.13"/>
    <n v="55"/>
    <n v="91"/>
  </r>
  <r>
    <x v="612"/>
    <s v="C9346"/>
    <d v="2021-06-03T00:00:00"/>
    <d v="2022-04-26T00:00:00"/>
    <x v="1"/>
    <s v="Africa"/>
    <s v="Brazil"/>
    <s v="Toronto"/>
    <s v="P48773"/>
    <s v="Pharma"/>
    <s v="Snacks"/>
    <s v="Product_2733"/>
    <n v="288.39"/>
    <n v="2"/>
    <s v="S978"/>
    <s v="Gamma Inc"/>
    <s v="W9"/>
    <x v="0"/>
    <s v="DHL"/>
    <s v="London-Beijing"/>
    <n v="1277"/>
    <n v="321"/>
    <n v="2"/>
    <n v="358.93"/>
    <n v="278.32"/>
    <n v="637.25"/>
    <x v="1"/>
    <n v="0"/>
    <n v="74"/>
    <n v="68"/>
    <n v="36"/>
  </r>
  <r>
    <x v="613"/>
    <s v="C6075"/>
    <d v="2020-11-25T00:00:00"/>
    <d v="2021-12-02T00:00:00"/>
    <x v="1"/>
    <s v="Asia"/>
    <s v="USA"/>
    <s v="Toronto"/>
    <s v="P39165"/>
    <s v="Pharma"/>
    <s v="Shirt"/>
    <s v="Product_1562"/>
    <n v="36.25"/>
    <n v="91"/>
    <s v="S516"/>
    <s v="Gamma Inc"/>
    <s v="W11"/>
    <x v="3"/>
    <s v="Maersk"/>
    <s v="São Paulo-São Paulo"/>
    <n v="88"/>
    <n v="379"/>
    <n v="21"/>
    <n v="220.7"/>
    <n v="329.61"/>
    <n v="550.30999999999995"/>
    <x v="1"/>
    <n v="0"/>
    <n v="91.7"/>
    <n v="103"/>
    <n v="75"/>
  </r>
  <r>
    <x v="614"/>
    <s v="C3117"/>
    <d v="2020-01-10T00:00:00"/>
    <d v="2021-06-17T00:00:00"/>
    <x v="0"/>
    <s v="North America"/>
    <s v="Germany"/>
    <s v="Berlin"/>
    <s v="P91307"/>
    <s v="Food"/>
    <s v="Laptop"/>
    <s v="Product_7389"/>
    <n v="314.7"/>
    <n v="52"/>
    <s v="S518"/>
    <s v="Gamma Inc"/>
    <s v="W38"/>
    <x v="3"/>
    <s v="FedEx"/>
    <s v="Cape Town-Toronto"/>
    <n v="3008"/>
    <n v="389"/>
    <n v="4"/>
    <n v="593.33000000000004"/>
    <n v="483.39"/>
    <n v="1076.72"/>
    <x v="0"/>
    <n v="14"/>
    <n v="92.9"/>
    <n v="78"/>
    <n v="56"/>
  </r>
  <r>
    <x v="615"/>
    <s v="C5980"/>
    <d v="2023-03-23T00:00:00"/>
    <d v="2024-03-31T00:00:00"/>
    <x v="2"/>
    <s v="Africa"/>
    <s v="USA"/>
    <s v="London"/>
    <s v="P47560"/>
    <s v="Furniture"/>
    <s v="Laptop"/>
    <s v="Product_3617"/>
    <n v="399.57"/>
    <n v="92"/>
    <s v="S541"/>
    <s v="Epsilon LLC"/>
    <s v="W1"/>
    <x v="0"/>
    <s v="BlueDart"/>
    <s v="London-São Paulo"/>
    <n v="675"/>
    <n v="492"/>
    <n v="21"/>
    <n v="1408"/>
    <n v="257.52999999999997"/>
    <n v="1665.53"/>
    <x v="0"/>
    <n v="8"/>
    <n v="72.58"/>
    <n v="181"/>
    <n v="228"/>
  </r>
  <r>
    <x v="616"/>
    <s v="C1500"/>
    <d v="2021-07-30T00:00:00"/>
    <d v="2024-01-09T00:00:00"/>
    <x v="2"/>
    <s v="South America"/>
    <s v="USA"/>
    <s v="Beijing"/>
    <s v="P10066"/>
    <s v="Furniture"/>
    <s v="Chair"/>
    <s v="Product_7670"/>
    <n v="330.73"/>
    <n v="10"/>
    <s v="S950"/>
    <s v="Gamma Inc"/>
    <s v="W38"/>
    <x v="2"/>
    <s v="DHL"/>
    <s v="Cape Town-São Paulo"/>
    <n v="3698"/>
    <n v="233"/>
    <n v="18"/>
    <n v="323.38"/>
    <n v="401.74"/>
    <n v="725.12"/>
    <x v="1"/>
    <n v="0"/>
    <n v="85.95"/>
    <n v="192"/>
    <n v="177"/>
  </r>
  <r>
    <x v="617"/>
    <s v="C8054"/>
    <d v="2021-10-17T00:00:00"/>
    <d v="2021-03-10T00:00:00"/>
    <x v="2"/>
    <s v="South America"/>
    <s v="Brazil"/>
    <s v="Berlin"/>
    <s v="P61434"/>
    <s v="Apparel"/>
    <s v="Snacks"/>
    <s v="Product_8265"/>
    <n v="498.76"/>
    <n v="4"/>
    <s v="S574"/>
    <s v="Delta Traders"/>
    <s v="W13"/>
    <x v="3"/>
    <s v="BlueDart"/>
    <s v="Berlin-New York"/>
    <n v="477"/>
    <n v="480"/>
    <n v="23"/>
    <n v="1439.43"/>
    <n v="245.99"/>
    <n v="1685.42"/>
    <x v="1"/>
    <n v="0"/>
    <n v="94.31"/>
    <n v="169"/>
    <n v="170"/>
  </r>
  <r>
    <x v="618"/>
    <s v="C2763"/>
    <d v="2023-10-11T00:00:00"/>
    <d v="2023-05-21T00:00:00"/>
    <x v="2"/>
    <s v="North America"/>
    <s v="Brazil"/>
    <s v="Toronto"/>
    <s v="P21333"/>
    <s v="Electronics"/>
    <s v="Snacks"/>
    <s v="Product_9437"/>
    <n v="362.55"/>
    <n v="28"/>
    <s v="S201"/>
    <s v="Delta Traders"/>
    <s v="W16"/>
    <x v="0"/>
    <s v="DHL"/>
    <s v="São Paulo-London"/>
    <n v="4088"/>
    <n v="128"/>
    <n v="11"/>
    <n v="1385.25"/>
    <n v="486.06"/>
    <n v="1871.31"/>
    <x v="0"/>
    <n v="14"/>
    <n v="92.79"/>
    <n v="406"/>
    <n v="369"/>
  </r>
  <r>
    <x v="619"/>
    <s v="C9932"/>
    <d v="2023-10-31T00:00:00"/>
    <d v="2021-11-29T00:00:00"/>
    <x v="0"/>
    <s v="South America"/>
    <s v="Germany"/>
    <s v="Mumbai"/>
    <s v="P55747"/>
    <s v="Electronics"/>
    <s v="Chair"/>
    <s v="Product_1327"/>
    <n v="161.61000000000001"/>
    <n v="11"/>
    <s v="S400"/>
    <s v="Epsilon LLC"/>
    <s v="W37"/>
    <x v="3"/>
    <s v="Maersk"/>
    <s v="Berlin-Berlin"/>
    <n v="4758"/>
    <n v="129"/>
    <n v="22"/>
    <n v="1929.56"/>
    <n v="266.43"/>
    <n v="2195.9899999999998"/>
    <x v="1"/>
    <n v="0"/>
    <n v="88.77"/>
    <n v="452"/>
    <n v="463"/>
  </r>
  <r>
    <x v="620"/>
    <s v="C6107"/>
    <d v="2020-05-11T00:00:00"/>
    <d v="2022-03-10T00:00:00"/>
    <x v="2"/>
    <s v="Africa"/>
    <s v="India"/>
    <s v="Cape Town"/>
    <s v="P47808"/>
    <s v="Electronics"/>
    <s v="Snacks"/>
    <s v="Product_1827"/>
    <n v="29.23"/>
    <n v="32"/>
    <s v="S500"/>
    <s v="Delta Traders"/>
    <s v="W34"/>
    <x v="2"/>
    <s v="DHL"/>
    <s v="London-São Paulo"/>
    <n v="206"/>
    <n v="235"/>
    <n v="10"/>
    <n v="1074.4000000000001"/>
    <n v="158.57"/>
    <n v="1232.97"/>
    <x v="0"/>
    <n v="13"/>
    <n v="99.48"/>
    <n v="100"/>
    <n v="145"/>
  </r>
  <r>
    <x v="621"/>
    <s v="C6145"/>
    <d v="2024-12-12T00:00:00"/>
    <d v="2024-07-06T00:00:00"/>
    <x v="0"/>
    <s v="North America"/>
    <s v="India"/>
    <s v="London"/>
    <s v="P81964"/>
    <s v="Furniture"/>
    <s v="Chair"/>
    <s v="Product_7760"/>
    <n v="456.5"/>
    <n v="56"/>
    <s v="S176"/>
    <s v="Gamma Inc"/>
    <s v="W20"/>
    <x v="0"/>
    <s v="Maersk"/>
    <s v="Berlin-Beijing"/>
    <n v="2772"/>
    <n v="52"/>
    <n v="28"/>
    <n v="1032.74"/>
    <n v="372.69"/>
    <n v="1405.43"/>
    <x v="1"/>
    <n v="0"/>
    <n v="72.59"/>
    <n v="307"/>
    <n v="267"/>
  </r>
  <r>
    <x v="622"/>
    <s v="C3211"/>
    <d v="2022-04-04T00:00:00"/>
    <d v="2021-01-16T00:00:00"/>
    <x v="2"/>
    <s v="Asia"/>
    <s v="South Africa"/>
    <s v="Mumbai"/>
    <s v="P18733"/>
    <s v="Electronics"/>
    <s v="Chair"/>
    <s v="Product_3163"/>
    <n v="136.74"/>
    <n v="89"/>
    <s v="S800"/>
    <s v="Epsilon LLC"/>
    <s v="W4"/>
    <x v="3"/>
    <s v="FedEx"/>
    <s v="New York-São Paulo"/>
    <n v="729"/>
    <n v="440"/>
    <n v="13"/>
    <n v="1054.8599999999999"/>
    <n v="388.22"/>
    <n v="1443.08"/>
    <x v="1"/>
    <n v="0"/>
    <n v="95.51"/>
    <n v="469"/>
    <n v="484"/>
  </r>
  <r>
    <x v="623"/>
    <s v="C9396"/>
    <d v="2023-08-02T00:00:00"/>
    <d v="2023-12-31T00:00:00"/>
    <x v="2"/>
    <s v="North America"/>
    <s v="UK"/>
    <s v="Beijing"/>
    <s v="P91170"/>
    <s v="Furniture"/>
    <s v="Laptop"/>
    <s v="Product_2643"/>
    <n v="213.73"/>
    <n v="75"/>
    <s v="S103"/>
    <s v="Epsilon LLC"/>
    <s v="W2"/>
    <x v="0"/>
    <s v="UPS"/>
    <s v="Beijing-London"/>
    <n v="2155"/>
    <n v="397"/>
    <n v="7"/>
    <n v="378.03"/>
    <n v="411.83"/>
    <n v="789.8599999999999"/>
    <x v="1"/>
    <n v="0"/>
    <n v="71.05"/>
    <n v="479"/>
    <n v="490"/>
  </r>
  <r>
    <x v="624"/>
    <s v="C2280"/>
    <d v="2021-10-20T00:00:00"/>
    <d v="2022-05-19T00:00:00"/>
    <x v="2"/>
    <s v="North America"/>
    <s v="China"/>
    <s v="São Paulo"/>
    <s v="P54957"/>
    <s v="Food"/>
    <s v="Snacks"/>
    <s v="Product_7756"/>
    <n v="34.35"/>
    <n v="46"/>
    <s v="S631"/>
    <s v="Alpha Corp"/>
    <s v="W49"/>
    <x v="0"/>
    <s v="BlueDart"/>
    <s v="São Paulo-Toronto"/>
    <n v="215"/>
    <n v="456"/>
    <n v="29"/>
    <n v="385.04"/>
    <n v="285.83999999999997"/>
    <n v="670.88"/>
    <x v="1"/>
    <n v="0"/>
    <n v="70.91"/>
    <n v="82"/>
    <n v="126"/>
  </r>
  <r>
    <x v="625"/>
    <s v="C4540"/>
    <d v="2021-03-23T00:00:00"/>
    <d v="2024-08-12T00:00:00"/>
    <x v="2"/>
    <s v="North America"/>
    <s v="UK"/>
    <s v="London"/>
    <s v="P40152"/>
    <s v="Apparel"/>
    <s v="Shirt"/>
    <s v="Product_2152"/>
    <n v="66.680000000000007"/>
    <n v="26"/>
    <s v="S167"/>
    <s v="Alpha Corp"/>
    <s v="W36"/>
    <x v="0"/>
    <s v="FedEx"/>
    <s v="Berlin-London"/>
    <n v="4080"/>
    <n v="147"/>
    <n v="6"/>
    <n v="98.66"/>
    <n v="492.83"/>
    <n v="591.49"/>
    <x v="1"/>
    <n v="0"/>
    <n v="98.42"/>
    <n v="100"/>
    <n v="67"/>
  </r>
  <r>
    <x v="626"/>
    <s v="C7376"/>
    <d v="2022-03-24T00:00:00"/>
    <d v="2023-12-24T00:00:00"/>
    <x v="1"/>
    <s v="North America"/>
    <s v="South Africa"/>
    <s v="Mumbai"/>
    <s v="P33403"/>
    <s v="Electronics"/>
    <s v="Snacks"/>
    <s v="Product_2184"/>
    <n v="27.69"/>
    <n v="55"/>
    <s v="S884"/>
    <s v="Gamma Inc"/>
    <s v="W18"/>
    <x v="1"/>
    <s v="Maersk"/>
    <s v="Mumbai-Mumbai"/>
    <n v="2962"/>
    <n v="233"/>
    <n v="2"/>
    <n v="1220.95"/>
    <n v="354.45"/>
    <n v="1575.4"/>
    <x v="1"/>
    <n v="0"/>
    <n v="83.47"/>
    <n v="329"/>
    <n v="351"/>
  </r>
  <r>
    <x v="627"/>
    <s v="C9994"/>
    <d v="2022-11-25T00:00:00"/>
    <d v="2024-09-03T00:00:00"/>
    <x v="2"/>
    <s v="Asia"/>
    <s v="South Africa"/>
    <s v="Berlin"/>
    <s v="P22793"/>
    <s v="Apparel"/>
    <s v="Laptop"/>
    <s v="Product_4854"/>
    <n v="266.5"/>
    <n v="89"/>
    <s v="S334"/>
    <s v="Gamma Inc"/>
    <s v="W10"/>
    <x v="2"/>
    <s v="DHL"/>
    <s v="Cape Town-New York"/>
    <n v="4591"/>
    <n v="221"/>
    <n v="13"/>
    <n v="630.46"/>
    <n v="336"/>
    <n v="966.46"/>
    <x v="1"/>
    <n v="0"/>
    <n v="73.88"/>
    <n v="391"/>
    <n v="378"/>
  </r>
  <r>
    <x v="628"/>
    <s v="C7537"/>
    <d v="2024-04-07T00:00:00"/>
    <d v="2022-01-05T00:00:00"/>
    <x v="2"/>
    <s v="Europe"/>
    <s v="Brazil"/>
    <s v="Toronto"/>
    <s v="P43459"/>
    <s v="Pharma"/>
    <s v="Snacks"/>
    <s v="Product_5755"/>
    <n v="430.34"/>
    <n v="88"/>
    <s v="S227"/>
    <s v="Beta Ltd"/>
    <s v="W4"/>
    <x v="1"/>
    <s v="BlueDart"/>
    <s v="Beijing-Beijing"/>
    <n v="4201"/>
    <n v="449"/>
    <n v="28"/>
    <n v="1860.87"/>
    <n v="438.96"/>
    <n v="2299.83"/>
    <x v="1"/>
    <n v="0"/>
    <n v="97.06"/>
    <n v="242"/>
    <n v="216"/>
  </r>
  <r>
    <x v="629"/>
    <s v="C2328"/>
    <d v="2022-12-19T00:00:00"/>
    <d v="2024-01-13T00:00:00"/>
    <x v="1"/>
    <s v="Africa"/>
    <s v="Brazil"/>
    <s v="Cape Town"/>
    <s v="P99958"/>
    <s v="Food"/>
    <s v="Shirt"/>
    <s v="Product_3428"/>
    <n v="213.44"/>
    <n v="6"/>
    <s v="S343"/>
    <s v="Gamma Inc"/>
    <s v="W30"/>
    <x v="1"/>
    <s v="Maersk"/>
    <s v="Berlin-New York"/>
    <n v="3590"/>
    <n v="216"/>
    <n v="10"/>
    <n v="277.41000000000003"/>
    <n v="42.56"/>
    <n v="319.97000000000003"/>
    <x v="1"/>
    <n v="0"/>
    <n v="86.74"/>
    <n v="82"/>
    <n v="81"/>
  </r>
  <r>
    <x v="630"/>
    <s v="C9021"/>
    <d v="2021-12-19T00:00:00"/>
    <d v="2021-08-11T00:00:00"/>
    <x v="2"/>
    <s v="Africa"/>
    <s v="UK"/>
    <s v="Berlin"/>
    <s v="P78247"/>
    <s v="Apparel"/>
    <s v="Medicines"/>
    <s v="Product_4047"/>
    <n v="28.94"/>
    <n v="68"/>
    <s v="S156"/>
    <s v="Alpha Corp"/>
    <s v="W34"/>
    <x v="2"/>
    <s v="DHL"/>
    <s v="Mumbai-London"/>
    <n v="300"/>
    <n v="369"/>
    <n v="20"/>
    <n v="85.79"/>
    <n v="132.22999999999999"/>
    <n v="218.02"/>
    <x v="1"/>
    <n v="0"/>
    <n v="73.12"/>
    <n v="382"/>
    <n v="371"/>
  </r>
  <r>
    <x v="631"/>
    <s v="C7638"/>
    <d v="2022-12-29T00:00:00"/>
    <d v="2022-07-05T00:00:00"/>
    <x v="2"/>
    <s v="Africa"/>
    <s v="India"/>
    <s v="London"/>
    <s v="P15852"/>
    <s v="Food"/>
    <s v="Laptop"/>
    <s v="Product_1299"/>
    <n v="33.56"/>
    <n v="6"/>
    <s v="S386"/>
    <s v="Epsilon LLC"/>
    <s v="W19"/>
    <x v="0"/>
    <s v="BlueDart"/>
    <s v="Toronto-Toronto"/>
    <n v="1726"/>
    <n v="410"/>
    <n v="17"/>
    <n v="1830.13"/>
    <n v="419.98"/>
    <n v="2250.11"/>
    <x v="1"/>
    <n v="0"/>
    <n v="76.489999999999995"/>
    <n v="168"/>
    <n v="136"/>
  </r>
  <r>
    <x v="632"/>
    <s v="C1516"/>
    <d v="2022-07-06T00:00:00"/>
    <d v="2023-09-26T00:00:00"/>
    <x v="2"/>
    <s v="Asia"/>
    <s v="Brazil"/>
    <s v="Berlin"/>
    <s v="P38175"/>
    <s v="Pharma"/>
    <s v="Shirt"/>
    <s v="Product_4038"/>
    <n v="37.409999999999997"/>
    <n v="77"/>
    <s v="S104"/>
    <s v="Beta Ltd"/>
    <s v="W20"/>
    <x v="3"/>
    <s v="FedEx"/>
    <s v="Mumbai-London"/>
    <n v="1717"/>
    <n v="80"/>
    <n v="2"/>
    <n v="628.51"/>
    <n v="100.25"/>
    <n v="728.76"/>
    <x v="1"/>
    <n v="0"/>
    <n v="91.99"/>
    <n v="225"/>
    <n v="197"/>
  </r>
  <r>
    <x v="633"/>
    <s v="C9197"/>
    <d v="2024-04-29T00:00:00"/>
    <d v="2024-04-17T00:00:00"/>
    <x v="0"/>
    <s v="Europe"/>
    <s v="USA"/>
    <s v="Berlin"/>
    <s v="P77662"/>
    <s v="Apparel"/>
    <s v="Medicines"/>
    <s v="Product_9601"/>
    <n v="321.05"/>
    <n v="80"/>
    <s v="S843"/>
    <s v="Gamma Inc"/>
    <s v="W37"/>
    <x v="0"/>
    <s v="BlueDart"/>
    <s v="New York-Toronto"/>
    <n v="1568"/>
    <n v="447"/>
    <n v="3"/>
    <n v="509.65"/>
    <n v="218.12"/>
    <n v="727.77"/>
    <x v="1"/>
    <n v="0"/>
    <n v="90.88"/>
    <n v="485"/>
    <n v="512"/>
  </r>
  <r>
    <x v="634"/>
    <s v="C6724"/>
    <d v="2020-01-18T00:00:00"/>
    <d v="2020-11-23T00:00:00"/>
    <x v="2"/>
    <s v="Africa"/>
    <s v="USA"/>
    <s v="Berlin"/>
    <s v="P22524"/>
    <s v="Electronics"/>
    <s v="Snacks"/>
    <s v="Product_3639"/>
    <n v="396.34"/>
    <n v="31"/>
    <s v="S940"/>
    <s v="Gamma Inc"/>
    <s v="W21"/>
    <x v="3"/>
    <s v="UPS"/>
    <s v="Berlin-Toronto"/>
    <n v="4475"/>
    <n v="303"/>
    <n v="18"/>
    <n v="619.54999999999995"/>
    <n v="403.03"/>
    <n v="1022.58"/>
    <x v="1"/>
    <n v="0"/>
    <n v="92.62"/>
    <n v="416"/>
    <n v="445"/>
  </r>
  <r>
    <x v="635"/>
    <s v="C1582"/>
    <d v="2022-12-08T00:00:00"/>
    <d v="2020-08-07T00:00:00"/>
    <x v="2"/>
    <s v="North America"/>
    <s v="USA"/>
    <s v="Mumbai"/>
    <s v="P47885"/>
    <s v="Electronics"/>
    <s v="Medicines"/>
    <s v="Product_4182"/>
    <n v="378.94"/>
    <n v="82"/>
    <s v="S196"/>
    <s v="Gamma Inc"/>
    <s v="W13"/>
    <x v="0"/>
    <s v="DHL"/>
    <s v="Beijing-Toronto"/>
    <n v="2027"/>
    <n v="376"/>
    <n v="25"/>
    <n v="713.29"/>
    <n v="119.9"/>
    <n v="833.18999999999994"/>
    <x v="1"/>
    <n v="0"/>
    <n v="95.91"/>
    <n v="356"/>
    <n v="330"/>
  </r>
  <r>
    <x v="636"/>
    <s v="C4432"/>
    <d v="2023-01-01T00:00:00"/>
    <d v="2021-04-18T00:00:00"/>
    <x v="1"/>
    <s v="Africa"/>
    <s v="Canada"/>
    <s v="London"/>
    <s v="P66586"/>
    <s v="Furniture"/>
    <s v="Chair"/>
    <s v="Product_5826"/>
    <n v="119.51"/>
    <n v="11"/>
    <s v="S149"/>
    <s v="Delta Traders"/>
    <s v="W20"/>
    <x v="1"/>
    <s v="FedEx"/>
    <s v="Cape Town-São Paulo"/>
    <n v="3425"/>
    <n v="340"/>
    <n v="19"/>
    <n v="1008.06"/>
    <n v="152.47"/>
    <n v="1160.53"/>
    <x v="1"/>
    <n v="0"/>
    <n v="84.44"/>
    <n v="176"/>
    <n v="172"/>
  </r>
  <r>
    <x v="637"/>
    <s v="C3899"/>
    <d v="2024-12-30T00:00:00"/>
    <d v="2022-11-02T00:00:00"/>
    <x v="1"/>
    <s v="South America"/>
    <s v="China"/>
    <s v="Mumbai"/>
    <s v="P25963"/>
    <s v="Pharma"/>
    <s v="Laptop"/>
    <s v="Product_8446"/>
    <n v="405.96"/>
    <n v="56"/>
    <s v="S139"/>
    <s v="Beta Ltd"/>
    <s v="W12"/>
    <x v="3"/>
    <s v="UPS"/>
    <s v="Beijing-Cape Town"/>
    <n v="2396"/>
    <n v="375"/>
    <n v="19"/>
    <n v="1966.33"/>
    <n v="125.53"/>
    <n v="2091.86"/>
    <x v="1"/>
    <n v="0"/>
    <n v="90.54"/>
    <n v="358"/>
    <n v="356"/>
  </r>
  <r>
    <x v="638"/>
    <s v="C8379"/>
    <d v="2024-05-09T00:00:00"/>
    <d v="2024-09-27T00:00:00"/>
    <x v="1"/>
    <s v="Asia"/>
    <s v="Canada"/>
    <s v="Berlin"/>
    <s v="P85806"/>
    <s v="Furniture"/>
    <s v="Shirt"/>
    <s v="Product_3164"/>
    <n v="29.84"/>
    <n v="49"/>
    <s v="S582"/>
    <s v="Gamma Inc"/>
    <s v="W29"/>
    <x v="1"/>
    <s v="FedEx"/>
    <s v="New York-Cape Town"/>
    <n v="1520"/>
    <n v="246"/>
    <n v="17"/>
    <n v="1910.21"/>
    <n v="136.76"/>
    <n v="2046.97"/>
    <x v="0"/>
    <n v="11"/>
    <n v="89.92"/>
    <n v="171"/>
    <n v="204"/>
  </r>
  <r>
    <x v="639"/>
    <s v="C5612"/>
    <d v="2020-03-26T00:00:00"/>
    <d v="2024-03-14T00:00:00"/>
    <x v="2"/>
    <s v="Europe"/>
    <s v="USA"/>
    <s v="São Paulo"/>
    <s v="P74596"/>
    <s v="Apparel"/>
    <s v="Snacks"/>
    <s v="Product_5016"/>
    <n v="75.489999999999995"/>
    <n v="43"/>
    <s v="S640"/>
    <s v="Beta Ltd"/>
    <s v="W31"/>
    <x v="2"/>
    <s v="DHL"/>
    <s v="London-Beijing"/>
    <n v="1155"/>
    <n v="360"/>
    <n v="15"/>
    <n v="1953.5"/>
    <n v="337.27"/>
    <n v="2290.77"/>
    <x v="1"/>
    <n v="0"/>
    <n v="88.37"/>
    <n v="151"/>
    <n v="129"/>
  </r>
  <r>
    <x v="640"/>
    <s v="C2640"/>
    <d v="2020-10-29T00:00:00"/>
    <d v="2021-02-08T00:00:00"/>
    <x v="2"/>
    <s v="Europe"/>
    <s v="South Africa"/>
    <s v="Cape Town"/>
    <s v="P54440"/>
    <s v="Pharma"/>
    <s v="Shirt"/>
    <s v="Product_4956"/>
    <n v="275.60000000000002"/>
    <n v="67"/>
    <s v="S649"/>
    <s v="Epsilon LLC"/>
    <s v="W6"/>
    <x v="0"/>
    <s v="UPS"/>
    <s v="London-London"/>
    <n v="811"/>
    <n v="319"/>
    <n v="29"/>
    <n v="1751.11"/>
    <n v="301.08"/>
    <n v="2052.19"/>
    <x v="1"/>
    <n v="0"/>
    <n v="81.77"/>
    <n v="129"/>
    <n v="93"/>
  </r>
  <r>
    <x v="641"/>
    <s v="C4160"/>
    <d v="2023-03-01T00:00:00"/>
    <d v="2022-11-04T00:00:00"/>
    <x v="2"/>
    <s v="Europe"/>
    <s v="Canada"/>
    <s v="Mumbai"/>
    <s v="P67081"/>
    <s v="Electronics"/>
    <s v="Shirt"/>
    <s v="Product_2856"/>
    <n v="203.98"/>
    <n v="71"/>
    <s v="S508"/>
    <s v="Beta Ltd"/>
    <s v="W18"/>
    <x v="3"/>
    <s v="FedEx"/>
    <s v="Mumbai-New York"/>
    <n v="742"/>
    <n v="416"/>
    <n v="21"/>
    <n v="1950.98"/>
    <n v="187.82"/>
    <n v="2138.8000000000002"/>
    <x v="1"/>
    <n v="0"/>
    <n v="98.06"/>
    <n v="458"/>
    <n v="453"/>
  </r>
  <r>
    <x v="642"/>
    <s v="C9612"/>
    <d v="2024-01-23T00:00:00"/>
    <d v="2023-09-02T00:00:00"/>
    <x v="2"/>
    <s v="South America"/>
    <s v="USA"/>
    <s v="Toronto"/>
    <s v="P17060"/>
    <s v="Pharma"/>
    <s v="Laptop"/>
    <s v="Product_7448"/>
    <n v="45.22"/>
    <n v="27"/>
    <s v="S871"/>
    <s v="Beta Ltd"/>
    <s v="W47"/>
    <x v="0"/>
    <s v="DHL"/>
    <s v="Beijing-Cape Town"/>
    <n v="2622"/>
    <n v="224"/>
    <n v="19"/>
    <n v="1078.24"/>
    <n v="70.180000000000007"/>
    <n v="1148.42"/>
    <x v="1"/>
    <n v="0"/>
    <n v="78.150000000000006"/>
    <n v="171"/>
    <n v="164"/>
  </r>
  <r>
    <x v="643"/>
    <s v="C6947"/>
    <d v="2022-10-24T00:00:00"/>
    <d v="2024-02-04T00:00:00"/>
    <x v="0"/>
    <s v="North America"/>
    <s v="India"/>
    <s v="Beijing"/>
    <s v="P24666"/>
    <s v="Electronics"/>
    <s v="Laptop"/>
    <s v="Product_5745"/>
    <n v="57.33"/>
    <n v="54"/>
    <s v="S972"/>
    <s v="Gamma Inc"/>
    <s v="W14"/>
    <x v="2"/>
    <s v="FedEx"/>
    <s v="New York-São Paulo"/>
    <n v="2261"/>
    <n v="262"/>
    <n v="1"/>
    <n v="628.4"/>
    <n v="26.92"/>
    <n v="655.31999999999994"/>
    <x v="1"/>
    <n v="0"/>
    <n v="84.54"/>
    <n v="307"/>
    <n v="269"/>
  </r>
  <r>
    <x v="644"/>
    <s v="C6096"/>
    <d v="2020-10-06T00:00:00"/>
    <d v="2021-06-19T00:00:00"/>
    <x v="2"/>
    <s v="Africa"/>
    <s v="Germany"/>
    <s v="São Paulo"/>
    <s v="P25768"/>
    <s v="Furniture"/>
    <s v="Laptop"/>
    <s v="Product_2172"/>
    <n v="64.17"/>
    <n v="35"/>
    <s v="S929"/>
    <s v="Alpha Corp"/>
    <s v="W5"/>
    <x v="0"/>
    <s v="BlueDart"/>
    <s v="São Paulo-New York"/>
    <n v="4749"/>
    <n v="62"/>
    <n v="21"/>
    <n v="852.42"/>
    <n v="38.75"/>
    <n v="891.17"/>
    <x v="1"/>
    <n v="0"/>
    <n v="80.47"/>
    <n v="356"/>
    <n v="337"/>
  </r>
  <r>
    <x v="645"/>
    <s v="C1268"/>
    <d v="2022-11-22T00:00:00"/>
    <d v="2021-11-27T00:00:00"/>
    <x v="2"/>
    <s v="North America"/>
    <s v="Canada"/>
    <s v="Mumbai"/>
    <s v="P84588"/>
    <s v="Food"/>
    <s v="Laptop"/>
    <s v="Product_4108"/>
    <n v="269.12"/>
    <n v="28"/>
    <s v="S876"/>
    <s v="Alpha Corp"/>
    <s v="W28"/>
    <x v="1"/>
    <s v="BlueDart"/>
    <s v="Cape Town-Mumbai"/>
    <n v="4118"/>
    <n v="192"/>
    <n v="21"/>
    <n v="1128.6099999999999"/>
    <n v="30.65"/>
    <n v="1159.26"/>
    <x v="1"/>
    <n v="0"/>
    <n v="99.39"/>
    <n v="79"/>
    <n v="45"/>
  </r>
  <r>
    <x v="646"/>
    <s v="C6427"/>
    <d v="2022-08-10T00:00:00"/>
    <d v="2023-12-22T00:00:00"/>
    <x v="1"/>
    <s v="North America"/>
    <s v="Germany"/>
    <s v="New York"/>
    <s v="P95150"/>
    <s v="Pharma"/>
    <s v="Snacks"/>
    <s v="Product_4557"/>
    <n v="125.26"/>
    <n v="55"/>
    <s v="S983"/>
    <s v="Delta Traders"/>
    <s v="W6"/>
    <x v="0"/>
    <s v="BlueDart"/>
    <s v="Cape Town-London"/>
    <n v="2441"/>
    <n v="133"/>
    <n v="27"/>
    <n v="767.99"/>
    <n v="422.62"/>
    <n v="1190.6099999999999"/>
    <x v="1"/>
    <n v="0"/>
    <n v="92.57"/>
    <n v="314"/>
    <n v="279"/>
  </r>
  <r>
    <x v="647"/>
    <s v="C2585"/>
    <d v="2022-12-22T00:00:00"/>
    <d v="2021-05-26T00:00:00"/>
    <x v="2"/>
    <s v="South America"/>
    <s v="Canada"/>
    <s v="New York"/>
    <s v="P11525"/>
    <s v="Food"/>
    <s v="Snacks"/>
    <s v="Product_6097"/>
    <n v="399.09"/>
    <n v="70"/>
    <s v="S238"/>
    <s v="Epsilon LLC"/>
    <s v="W23"/>
    <x v="1"/>
    <s v="BlueDart"/>
    <s v="Beijing-London"/>
    <n v="1493"/>
    <n v="418"/>
    <n v="21"/>
    <n v="1592.27"/>
    <n v="320.58999999999997"/>
    <n v="1912.86"/>
    <x v="1"/>
    <n v="0"/>
    <n v="98.08"/>
    <n v="480"/>
    <n v="471"/>
  </r>
  <r>
    <x v="648"/>
    <s v="C2261"/>
    <d v="2023-03-18T00:00:00"/>
    <d v="2024-08-07T00:00:00"/>
    <x v="0"/>
    <s v="Europe"/>
    <s v="China"/>
    <s v="London"/>
    <s v="P66278"/>
    <s v="Furniture"/>
    <s v="Medicines"/>
    <s v="Product_3776"/>
    <n v="206.16"/>
    <n v="85"/>
    <s v="S781"/>
    <s v="Delta Traders"/>
    <s v="W48"/>
    <x v="1"/>
    <s v="FedEx"/>
    <s v="New York-Mumbai"/>
    <n v="3018"/>
    <n v="441"/>
    <n v="18"/>
    <n v="1769.19"/>
    <n v="211.68"/>
    <n v="1980.87"/>
    <x v="1"/>
    <n v="0"/>
    <n v="77.2"/>
    <n v="85"/>
    <n v="76"/>
  </r>
  <r>
    <x v="649"/>
    <s v="C9191"/>
    <d v="2021-08-06T00:00:00"/>
    <d v="2023-12-21T00:00:00"/>
    <x v="1"/>
    <s v="Africa"/>
    <s v="India"/>
    <s v="Mumbai"/>
    <s v="P45860"/>
    <s v="Food"/>
    <s v="Snacks"/>
    <s v="Product_6338"/>
    <n v="25.38"/>
    <n v="51"/>
    <s v="S712"/>
    <s v="Epsilon LLC"/>
    <s v="W34"/>
    <x v="3"/>
    <s v="BlueDart"/>
    <s v="London-New York"/>
    <n v="2094"/>
    <n v="456"/>
    <n v="3"/>
    <n v="1514.06"/>
    <n v="168.17"/>
    <n v="1682.23"/>
    <x v="1"/>
    <n v="0"/>
    <n v="89.26"/>
    <n v="179"/>
    <n v="196"/>
  </r>
  <r>
    <x v="650"/>
    <s v="C4307"/>
    <d v="2020-11-26T00:00:00"/>
    <d v="2021-12-20T00:00:00"/>
    <x v="2"/>
    <s v="Asia"/>
    <s v="UK"/>
    <s v="London"/>
    <s v="P51590"/>
    <s v="Food"/>
    <s v="Chair"/>
    <s v="Product_5710"/>
    <n v="181.96"/>
    <n v="41"/>
    <s v="S306"/>
    <s v="Gamma Inc"/>
    <s v="W24"/>
    <x v="2"/>
    <s v="UPS"/>
    <s v="New York-Toronto"/>
    <n v="2369"/>
    <n v="70"/>
    <n v="27"/>
    <n v="1223.1400000000001"/>
    <n v="97.63"/>
    <n v="1320.77"/>
    <x v="1"/>
    <n v="0"/>
    <n v="99.92"/>
    <n v="155"/>
    <n v="121"/>
  </r>
  <r>
    <x v="651"/>
    <s v="C9614"/>
    <d v="2022-12-20T00:00:00"/>
    <d v="2024-04-27T00:00:00"/>
    <x v="0"/>
    <s v="Asia"/>
    <s v="South Africa"/>
    <s v="Cape Town"/>
    <s v="P46691"/>
    <s v="Apparel"/>
    <s v="Shirt"/>
    <s v="Product_9548"/>
    <n v="407.9"/>
    <n v="62"/>
    <s v="S585"/>
    <s v="Gamma Inc"/>
    <s v="W15"/>
    <x v="1"/>
    <s v="Maersk"/>
    <s v="Mumbai-London"/>
    <n v="856"/>
    <n v="380"/>
    <n v="8"/>
    <n v="907"/>
    <n v="48.93"/>
    <n v="955.93"/>
    <x v="1"/>
    <n v="0"/>
    <n v="95.27"/>
    <n v="256"/>
    <n v="287"/>
  </r>
  <r>
    <x v="652"/>
    <s v="C8692"/>
    <d v="2024-12-26T00:00:00"/>
    <d v="2024-07-17T00:00:00"/>
    <x v="1"/>
    <s v="Africa"/>
    <s v="Canada"/>
    <s v="São Paulo"/>
    <s v="P57819"/>
    <s v="Food"/>
    <s v="Chair"/>
    <s v="Product_6868"/>
    <n v="75.73"/>
    <n v="12"/>
    <s v="S844"/>
    <s v="Alpha Corp"/>
    <s v="W42"/>
    <x v="3"/>
    <s v="DHL"/>
    <s v="Cape Town-Toronto"/>
    <n v="4821"/>
    <n v="350"/>
    <n v="12"/>
    <n v="1702.38"/>
    <n v="34.83"/>
    <n v="1737.21"/>
    <x v="1"/>
    <n v="0"/>
    <n v="81.16"/>
    <n v="442"/>
    <n v="441"/>
  </r>
  <r>
    <x v="653"/>
    <s v="C8788"/>
    <d v="2023-02-23T00:00:00"/>
    <d v="2020-12-22T00:00:00"/>
    <x v="2"/>
    <s v="South America"/>
    <s v="Brazil"/>
    <s v="Berlin"/>
    <s v="P96966"/>
    <s v="Apparel"/>
    <s v="Shirt"/>
    <s v="Product_7358"/>
    <n v="486.61"/>
    <n v="58"/>
    <s v="S791"/>
    <s v="Delta Traders"/>
    <s v="W3"/>
    <x v="3"/>
    <s v="Maersk"/>
    <s v="Mumbai-Mumbai"/>
    <n v="1807"/>
    <n v="487"/>
    <n v="20"/>
    <n v="255.05"/>
    <n v="393.12"/>
    <n v="648.17000000000007"/>
    <x v="1"/>
    <n v="0"/>
    <n v="95.8"/>
    <n v="412"/>
    <n v="422"/>
  </r>
  <r>
    <x v="654"/>
    <s v="C4442"/>
    <d v="2024-05-10T00:00:00"/>
    <d v="2024-07-01T00:00:00"/>
    <x v="2"/>
    <s v="South America"/>
    <s v="India"/>
    <s v="London"/>
    <s v="P80100"/>
    <s v="Pharma"/>
    <s v="Shirt"/>
    <s v="Product_6029"/>
    <n v="481.76"/>
    <n v="53"/>
    <s v="S495"/>
    <s v="Alpha Corp"/>
    <s v="W40"/>
    <x v="2"/>
    <s v="DHL"/>
    <s v="Toronto-Beijing"/>
    <n v="2864"/>
    <n v="482"/>
    <n v="12"/>
    <n v="1718.96"/>
    <n v="291.57"/>
    <n v="2010.53"/>
    <x v="1"/>
    <n v="0"/>
    <n v="71.290000000000006"/>
    <n v="146"/>
    <n v="186"/>
  </r>
  <r>
    <x v="655"/>
    <s v="C4147"/>
    <d v="2024-04-01T00:00:00"/>
    <d v="2024-01-02T00:00:00"/>
    <x v="2"/>
    <s v="North America"/>
    <s v="South Africa"/>
    <s v="Beijing"/>
    <s v="P90898"/>
    <s v="Furniture"/>
    <s v="Medicines"/>
    <s v="Product_7656"/>
    <n v="97.52"/>
    <n v="26"/>
    <s v="S504"/>
    <s v="Delta Traders"/>
    <s v="W42"/>
    <x v="1"/>
    <s v="FedEx"/>
    <s v="Toronto-London"/>
    <n v="1160"/>
    <n v="332"/>
    <n v="9"/>
    <n v="893.68"/>
    <n v="241.95"/>
    <n v="1135.6300000000001"/>
    <x v="1"/>
    <n v="0"/>
    <n v="96.54"/>
    <n v="287"/>
    <n v="243"/>
  </r>
  <r>
    <x v="656"/>
    <s v="C5636"/>
    <d v="2024-09-29T00:00:00"/>
    <d v="2022-10-24T00:00:00"/>
    <x v="2"/>
    <s v="North America"/>
    <s v="South Africa"/>
    <s v="London"/>
    <s v="P22055"/>
    <s v="Food"/>
    <s v="Chair"/>
    <s v="Product_4065"/>
    <n v="323.66000000000003"/>
    <n v="60"/>
    <s v="S752"/>
    <s v="Epsilon LLC"/>
    <s v="W44"/>
    <x v="3"/>
    <s v="UPS"/>
    <s v="Toronto-New York"/>
    <n v="4472"/>
    <n v="96"/>
    <n v="25"/>
    <n v="1856.05"/>
    <n v="110.62"/>
    <n v="1966.67"/>
    <x v="1"/>
    <n v="0"/>
    <n v="86.12"/>
    <n v="427"/>
    <n v="461"/>
  </r>
  <r>
    <x v="657"/>
    <s v="C6534"/>
    <d v="2022-01-19T00:00:00"/>
    <d v="2022-07-09T00:00:00"/>
    <x v="1"/>
    <s v="South America"/>
    <s v="India"/>
    <s v="Toronto"/>
    <s v="P91757"/>
    <s v="Apparel"/>
    <s v="Chair"/>
    <s v="Product_6418"/>
    <n v="124.41"/>
    <n v="69"/>
    <s v="S332"/>
    <s v="Epsilon LLC"/>
    <s v="W31"/>
    <x v="3"/>
    <s v="Maersk"/>
    <s v="London-Mumbai"/>
    <n v="3496"/>
    <n v="167"/>
    <n v="11"/>
    <n v="774.91"/>
    <n v="355.77"/>
    <n v="1130.68"/>
    <x v="0"/>
    <n v="9"/>
    <n v="91.18"/>
    <n v="136"/>
    <n v="114"/>
  </r>
  <r>
    <x v="658"/>
    <s v="C6542"/>
    <d v="2021-05-28T00:00:00"/>
    <d v="2024-10-24T00:00:00"/>
    <x v="1"/>
    <s v="Africa"/>
    <s v="UK"/>
    <s v="Beijing"/>
    <s v="P16481"/>
    <s v="Furniture"/>
    <s v="Snacks"/>
    <s v="Product_6138"/>
    <n v="155.05000000000001"/>
    <n v="39"/>
    <s v="S835"/>
    <s v="Epsilon LLC"/>
    <s v="W29"/>
    <x v="0"/>
    <s v="DHL"/>
    <s v="London-New York"/>
    <n v="3178"/>
    <n v="116"/>
    <n v="7"/>
    <n v="504.2"/>
    <n v="54.12"/>
    <n v="558.31999999999994"/>
    <x v="1"/>
    <n v="0"/>
    <n v="91.08"/>
    <n v="54"/>
    <n v="71"/>
  </r>
  <r>
    <x v="659"/>
    <s v="C6376"/>
    <d v="2024-01-25T00:00:00"/>
    <d v="2020-08-30T00:00:00"/>
    <x v="1"/>
    <s v="Africa"/>
    <s v="UK"/>
    <s v="Berlin"/>
    <s v="P61253"/>
    <s v="Pharma"/>
    <s v="Laptop"/>
    <s v="Product_3521"/>
    <n v="291.41000000000003"/>
    <n v="76"/>
    <s v="S803"/>
    <s v="Alpha Corp"/>
    <s v="W18"/>
    <x v="3"/>
    <s v="DHL"/>
    <s v="Berlin-Cape Town"/>
    <n v="1623"/>
    <n v="71"/>
    <n v="27"/>
    <n v="870.17"/>
    <n v="274.69"/>
    <n v="1144.8599999999999"/>
    <x v="1"/>
    <n v="0"/>
    <n v="74.44"/>
    <n v="259"/>
    <n v="260"/>
  </r>
  <r>
    <x v="660"/>
    <s v="C1615"/>
    <d v="2022-03-02T00:00:00"/>
    <d v="2022-12-04T00:00:00"/>
    <x v="2"/>
    <s v="Europe"/>
    <s v="USA"/>
    <s v="London"/>
    <s v="P85897"/>
    <s v="Furniture"/>
    <s v="Shirt"/>
    <s v="Product_5192"/>
    <n v="458.92"/>
    <n v="76"/>
    <s v="S341"/>
    <s v="Delta Traders"/>
    <s v="W12"/>
    <x v="1"/>
    <s v="FedEx"/>
    <s v="Berlin-Berlin"/>
    <n v="3816"/>
    <n v="341"/>
    <n v="27"/>
    <n v="1651.32"/>
    <n v="251.56"/>
    <n v="1902.88"/>
    <x v="1"/>
    <n v="0"/>
    <n v="94.3"/>
    <n v="384"/>
    <n v="421"/>
  </r>
  <r>
    <x v="661"/>
    <s v="C2289"/>
    <d v="2022-09-09T00:00:00"/>
    <d v="2024-01-14T00:00:00"/>
    <x v="2"/>
    <s v="Europe"/>
    <s v="India"/>
    <s v="New York"/>
    <s v="P86723"/>
    <s v="Food"/>
    <s v="Snacks"/>
    <s v="Product_4698"/>
    <n v="356.58"/>
    <n v="7"/>
    <s v="S731"/>
    <s v="Epsilon LLC"/>
    <s v="W5"/>
    <x v="1"/>
    <s v="DHL"/>
    <s v="Berlin-New York"/>
    <n v="637"/>
    <n v="244"/>
    <n v="25"/>
    <n v="581.17999999999995"/>
    <n v="452.91"/>
    <n v="1034.0899999999999"/>
    <x v="1"/>
    <n v="0"/>
    <n v="92.4"/>
    <n v="304"/>
    <n v="264"/>
  </r>
  <r>
    <x v="662"/>
    <s v="C2876"/>
    <d v="2023-07-24T00:00:00"/>
    <d v="2023-07-23T00:00:00"/>
    <x v="2"/>
    <s v="Europe"/>
    <s v="UK"/>
    <s v="Beijing"/>
    <s v="P30534"/>
    <s v="Food"/>
    <s v="Medicines"/>
    <s v="Product_8824"/>
    <n v="378.73"/>
    <n v="94"/>
    <s v="S193"/>
    <s v="Delta Traders"/>
    <s v="W48"/>
    <x v="1"/>
    <s v="BlueDart"/>
    <s v="Beijing-Berlin"/>
    <n v="165"/>
    <n v="479"/>
    <n v="13"/>
    <n v="596.32000000000005"/>
    <n v="203.61"/>
    <n v="799.93000000000006"/>
    <x v="1"/>
    <n v="0"/>
    <n v="78.69"/>
    <n v="440"/>
    <n v="435"/>
  </r>
  <r>
    <x v="663"/>
    <s v="C3739"/>
    <d v="2021-12-14T00:00:00"/>
    <d v="2022-09-16T00:00:00"/>
    <x v="2"/>
    <s v="Asia"/>
    <s v="India"/>
    <s v="New York"/>
    <s v="P49475"/>
    <s v="Apparel"/>
    <s v="Chair"/>
    <s v="Product_8171"/>
    <n v="209.16"/>
    <n v="20"/>
    <s v="S115"/>
    <s v="Epsilon LLC"/>
    <s v="W17"/>
    <x v="0"/>
    <s v="FedEx"/>
    <s v="London-Cape Town"/>
    <n v="2903"/>
    <n v="120"/>
    <n v="20"/>
    <n v="466.95"/>
    <n v="418.85"/>
    <n v="885.8"/>
    <x v="1"/>
    <n v="0"/>
    <n v="77.930000000000007"/>
    <n v="424"/>
    <n v="403"/>
  </r>
  <r>
    <x v="664"/>
    <s v="C9967"/>
    <d v="2020-03-07T00:00:00"/>
    <d v="2022-02-10T00:00:00"/>
    <x v="2"/>
    <s v="North America"/>
    <s v="Brazil"/>
    <s v="Berlin"/>
    <s v="P90919"/>
    <s v="Food"/>
    <s v="Shirt"/>
    <s v="Product_6769"/>
    <n v="187.63"/>
    <n v="91"/>
    <s v="S439"/>
    <s v="Alpha Corp"/>
    <s v="W2"/>
    <x v="2"/>
    <s v="FedEx"/>
    <s v="Beijing-Beijing"/>
    <n v="3549"/>
    <n v="334"/>
    <n v="3"/>
    <n v="577.17999999999995"/>
    <n v="274.11"/>
    <n v="851.29"/>
    <x v="0"/>
    <n v="3"/>
    <n v="77.08"/>
    <n v="196"/>
    <n v="189"/>
  </r>
  <r>
    <x v="665"/>
    <s v="C9509"/>
    <d v="2023-11-18T00:00:00"/>
    <d v="2023-11-12T00:00:00"/>
    <x v="1"/>
    <s v="Asia"/>
    <s v="UK"/>
    <s v="Beijing"/>
    <s v="P26779"/>
    <s v="Pharma"/>
    <s v="Laptop"/>
    <s v="Product_3717"/>
    <n v="39.299999999999997"/>
    <n v="43"/>
    <s v="S167"/>
    <s v="Delta Traders"/>
    <s v="W42"/>
    <x v="2"/>
    <s v="UPS"/>
    <s v="New York-London"/>
    <n v="636"/>
    <n v="62"/>
    <n v="1"/>
    <n v="1087.5899999999999"/>
    <n v="208.36"/>
    <n v="1295.95"/>
    <x v="0"/>
    <n v="9"/>
    <n v="81.02"/>
    <n v="383"/>
    <n v="338"/>
  </r>
  <r>
    <x v="666"/>
    <s v="C7119"/>
    <d v="2021-10-11T00:00:00"/>
    <d v="2022-01-02T00:00:00"/>
    <x v="2"/>
    <s v="South America"/>
    <s v="Canada"/>
    <s v="São Paulo"/>
    <s v="P19253"/>
    <s v="Furniture"/>
    <s v="Medicines"/>
    <s v="Product_4185"/>
    <n v="82.17"/>
    <n v="22"/>
    <s v="S491"/>
    <s v="Alpha Corp"/>
    <s v="W45"/>
    <x v="3"/>
    <s v="DHL"/>
    <s v="Toronto-São Paulo"/>
    <n v="4309"/>
    <n v="422"/>
    <n v="2"/>
    <n v="1642.18"/>
    <n v="163.80000000000001"/>
    <n v="1805.98"/>
    <x v="0"/>
    <n v="9"/>
    <n v="89.73"/>
    <n v="199"/>
    <n v="178"/>
  </r>
  <r>
    <x v="667"/>
    <s v="C4478"/>
    <d v="2022-09-05T00:00:00"/>
    <d v="2021-09-14T00:00:00"/>
    <x v="2"/>
    <s v="South America"/>
    <s v="Brazil"/>
    <s v="Cape Town"/>
    <s v="P70300"/>
    <s v="Food"/>
    <s v="Chair"/>
    <s v="Product_5516"/>
    <n v="319.85000000000002"/>
    <n v="48"/>
    <s v="S246"/>
    <s v="Gamma Inc"/>
    <s v="W23"/>
    <x v="3"/>
    <s v="BlueDart"/>
    <s v="São Paulo-São Paulo"/>
    <n v="1301"/>
    <n v="76"/>
    <n v="18"/>
    <n v="824.36"/>
    <n v="197.84"/>
    <n v="1022.2"/>
    <x v="1"/>
    <n v="0"/>
    <n v="73.709999999999994"/>
    <n v="180"/>
    <n v="202"/>
  </r>
  <r>
    <x v="668"/>
    <s v="C8498"/>
    <d v="2023-11-04T00:00:00"/>
    <d v="2023-09-23T00:00:00"/>
    <x v="2"/>
    <s v="Africa"/>
    <s v="China"/>
    <s v="London"/>
    <s v="P10134"/>
    <s v="Furniture"/>
    <s v="Medicines"/>
    <s v="Product_7026"/>
    <n v="133.22999999999999"/>
    <n v="62"/>
    <s v="S653"/>
    <s v="Gamma Inc"/>
    <s v="W14"/>
    <x v="3"/>
    <s v="FedEx"/>
    <s v="São Paulo-Cape Town"/>
    <n v="4556"/>
    <n v="339"/>
    <n v="16"/>
    <n v="1659.81"/>
    <n v="120.29"/>
    <n v="1780.1"/>
    <x v="1"/>
    <n v="0"/>
    <n v="98.76"/>
    <n v="444"/>
    <n v="395"/>
  </r>
  <r>
    <x v="669"/>
    <s v="C4371"/>
    <d v="2023-06-22T00:00:00"/>
    <d v="2021-08-25T00:00:00"/>
    <x v="2"/>
    <s v="North America"/>
    <s v="USA"/>
    <s v="São Paulo"/>
    <s v="P28495"/>
    <s v="Furniture"/>
    <s v="Shirt"/>
    <s v="Product_1174"/>
    <n v="394.41"/>
    <n v="37"/>
    <s v="S557"/>
    <s v="Alpha Corp"/>
    <s v="W44"/>
    <x v="1"/>
    <s v="BlueDart"/>
    <s v="Beijing-Berlin"/>
    <n v="807"/>
    <n v="192"/>
    <n v="10"/>
    <n v="1712.56"/>
    <n v="99.59"/>
    <n v="1812.15"/>
    <x v="1"/>
    <n v="0"/>
    <n v="88.49"/>
    <n v="267"/>
    <n v="236"/>
  </r>
  <r>
    <x v="670"/>
    <s v="C1374"/>
    <d v="2024-01-27T00:00:00"/>
    <d v="2022-02-21T00:00:00"/>
    <x v="0"/>
    <s v="North America"/>
    <s v="UK"/>
    <s v="Beijing"/>
    <s v="P88156"/>
    <s v="Electronics"/>
    <s v="Chair"/>
    <s v="Product_9277"/>
    <n v="303.42"/>
    <n v="16"/>
    <s v="S707"/>
    <s v="Delta Traders"/>
    <s v="W9"/>
    <x v="1"/>
    <s v="DHL"/>
    <s v="Toronto-Mumbai"/>
    <n v="814"/>
    <n v="224"/>
    <n v="27"/>
    <n v="762.14"/>
    <n v="384.4"/>
    <n v="1146.54"/>
    <x v="1"/>
    <n v="0"/>
    <n v="93.93"/>
    <n v="336"/>
    <n v="377"/>
  </r>
  <r>
    <x v="671"/>
    <s v="C1774"/>
    <d v="2024-08-27T00:00:00"/>
    <d v="2023-04-27T00:00:00"/>
    <x v="2"/>
    <s v="South America"/>
    <s v="China"/>
    <s v="New York"/>
    <s v="P56073"/>
    <s v="Apparel"/>
    <s v="Shirt"/>
    <s v="Product_1510"/>
    <n v="134.91999999999999"/>
    <n v="8"/>
    <s v="S645"/>
    <s v="Epsilon LLC"/>
    <s v="W3"/>
    <x v="0"/>
    <s v="FedEx"/>
    <s v="São Paulo-Beijing"/>
    <n v="3687"/>
    <n v="459"/>
    <n v="1"/>
    <n v="551.12"/>
    <n v="209.74"/>
    <n v="760.86"/>
    <x v="1"/>
    <n v="0"/>
    <n v="94.24"/>
    <n v="352"/>
    <n v="388"/>
  </r>
  <r>
    <x v="672"/>
    <s v="C9526"/>
    <d v="2023-06-06T00:00:00"/>
    <d v="2020-10-09T00:00:00"/>
    <x v="2"/>
    <s v="North America"/>
    <s v="India"/>
    <s v="New York"/>
    <s v="P33293"/>
    <s v="Food"/>
    <s v="Shirt"/>
    <s v="Product_2898"/>
    <n v="237.43"/>
    <n v="14"/>
    <s v="S432"/>
    <s v="Delta Traders"/>
    <s v="W13"/>
    <x v="2"/>
    <s v="BlueDart"/>
    <s v="São Paulo-Beijing"/>
    <n v="1960"/>
    <n v="181"/>
    <n v="9"/>
    <n v="1343.01"/>
    <n v="243.8"/>
    <n v="1586.81"/>
    <x v="1"/>
    <n v="0"/>
    <n v="72.150000000000006"/>
    <n v="222"/>
    <n v="212"/>
  </r>
  <r>
    <x v="673"/>
    <s v="C9954"/>
    <d v="2024-08-06T00:00:00"/>
    <d v="2023-11-25T00:00:00"/>
    <x v="0"/>
    <s v="Europe"/>
    <s v="Brazil"/>
    <s v="New York"/>
    <s v="P98619"/>
    <s v="Pharma"/>
    <s v="Laptop"/>
    <s v="Product_2982"/>
    <n v="240.85"/>
    <n v="91"/>
    <s v="S964"/>
    <s v="Beta Ltd"/>
    <s v="W36"/>
    <x v="0"/>
    <s v="UPS"/>
    <s v="Mumbai-Mumbai"/>
    <n v="3454"/>
    <n v="226"/>
    <n v="25"/>
    <n v="1826.94"/>
    <n v="357.49"/>
    <n v="2184.4299999999998"/>
    <x v="1"/>
    <n v="0"/>
    <n v="74.239999999999995"/>
    <n v="150"/>
    <n v="195"/>
  </r>
  <r>
    <x v="674"/>
    <s v="C9430"/>
    <d v="2020-06-04T00:00:00"/>
    <d v="2024-07-26T00:00:00"/>
    <x v="2"/>
    <s v="Asia"/>
    <s v="China"/>
    <s v="Cape Town"/>
    <s v="P90358"/>
    <s v="Electronics"/>
    <s v="Snacks"/>
    <s v="Product_8120"/>
    <n v="282.7"/>
    <n v="41"/>
    <s v="S269"/>
    <s v="Delta Traders"/>
    <s v="W5"/>
    <x v="1"/>
    <s v="Maersk"/>
    <s v="São Paulo-Berlin"/>
    <n v="930"/>
    <n v="76"/>
    <n v="6"/>
    <n v="1353.78"/>
    <n v="258.94"/>
    <n v="1612.72"/>
    <x v="1"/>
    <n v="0"/>
    <n v="79.28"/>
    <n v="235"/>
    <n v="219"/>
  </r>
  <r>
    <x v="675"/>
    <s v="C4102"/>
    <d v="2024-07-22T00:00:00"/>
    <d v="2022-05-08T00:00:00"/>
    <x v="1"/>
    <s v="Africa"/>
    <s v="Brazil"/>
    <s v="Mumbai"/>
    <s v="P46364"/>
    <s v="Apparel"/>
    <s v="Snacks"/>
    <s v="Product_6005"/>
    <n v="40.340000000000003"/>
    <n v="15"/>
    <s v="S959"/>
    <s v="Epsilon LLC"/>
    <s v="W3"/>
    <x v="0"/>
    <s v="UPS"/>
    <s v="London-Cape Town"/>
    <n v="1330"/>
    <n v="198"/>
    <n v="15"/>
    <n v="1286.5899999999999"/>
    <n v="123.66"/>
    <n v="1410.25"/>
    <x v="1"/>
    <n v="0"/>
    <n v="77.61"/>
    <n v="195"/>
    <n v="159"/>
  </r>
  <r>
    <x v="676"/>
    <s v="C9186"/>
    <d v="2023-03-06T00:00:00"/>
    <d v="2023-11-04T00:00:00"/>
    <x v="0"/>
    <s v="Africa"/>
    <s v="India"/>
    <s v="Berlin"/>
    <s v="P46373"/>
    <s v="Apparel"/>
    <s v="Shirt"/>
    <s v="Product_7296"/>
    <n v="10.039999999999999"/>
    <n v="51"/>
    <s v="S508"/>
    <s v="Delta Traders"/>
    <s v="W12"/>
    <x v="3"/>
    <s v="Maersk"/>
    <s v="São Paulo-Mumbai"/>
    <n v="1153"/>
    <n v="348"/>
    <n v="10"/>
    <n v="1298.67"/>
    <n v="280.16000000000003"/>
    <n v="1578.83"/>
    <x v="1"/>
    <n v="0"/>
    <n v="85.9"/>
    <n v="282"/>
    <n v="280"/>
  </r>
  <r>
    <x v="677"/>
    <s v="C5918"/>
    <d v="2020-12-16T00:00:00"/>
    <d v="2024-10-10T00:00:00"/>
    <x v="2"/>
    <s v="North America"/>
    <s v="Brazil"/>
    <s v="Mumbai"/>
    <s v="P61738"/>
    <s v="Food"/>
    <s v="Snacks"/>
    <s v="Product_2896"/>
    <n v="241.72"/>
    <n v="35"/>
    <s v="S975"/>
    <s v="Beta Ltd"/>
    <s v="W43"/>
    <x v="2"/>
    <s v="DHL"/>
    <s v="São Paulo-Beijing"/>
    <n v="149"/>
    <n v="288"/>
    <n v="4"/>
    <n v="1241.0999999999999"/>
    <n v="147.41999999999999"/>
    <n v="1388.52"/>
    <x v="1"/>
    <n v="0"/>
    <n v="89.31"/>
    <n v="368"/>
    <n v="380"/>
  </r>
  <r>
    <x v="678"/>
    <s v="C3673"/>
    <d v="2022-04-09T00:00:00"/>
    <d v="2024-02-20T00:00:00"/>
    <x v="2"/>
    <s v="North America"/>
    <s v="Canada"/>
    <s v="London"/>
    <s v="P78315"/>
    <s v="Furniture"/>
    <s v="Laptop"/>
    <s v="Product_3445"/>
    <n v="134.72"/>
    <n v="66"/>
    <s v="S270"/>
    <s v="Beta Ltd"/>
    <s v="W5"/>
    <x v="3"/>
    <s v="BlueDart"/>
    <s v="London-New York"/>
    <n v="2111"/>
    <n v="241"/>
    <n v="17"/>
    <n v="518.37"/>
    <n v="327.12"/>
    <n v="845.49"/>
    <x v="1"/>
    <n v="0"/>
    <n v="84.41"/>
    <n v="364"/>
    <n v="363"/>
  </r>
  <r>
    <x v="679"/>
    <s v="C2048"/>
    <d v="2023-11-28T00:00:00"/>
    <d v="2020-09-23T00:00:00"/>
    <x v="2"/>
    <s v="Africa"/>
    <s v="India"/>
    <s v="Berlin"/>
    <s v="P26292"/>
    <s v="Apparel"/>
    <s v="Snacks"/>
    <s v="Product_3993"/>
    <n v="289.66000000000003"/>
    <n v="85"/>
    <s v="S769"/>
    <s v="Beta Ltd"/>
    <s v="W37"/>
    <x v="1"/>
    <s v="FedEx"/>
    <s v="Berlin-New York"/>
    <n v="617"/>
    <n v="96"/>
    <n v="15"/>
    <n v="340.7"/>
    <n v="68.41"/>
    <n v="409.11"/>
    <x v="1"/>
    <n v="0"/>
    <n v="92.98"/>
    <n v="412"/>
    <n v="386"/>
  </r>
  <r>
    <x v="680"/>
    <s v="C5154"/>
    <d v="2022-04-15T00:00:00"/>
    <d v="2021-01-06T00:00:00"/>
    <x v="2"/>
    <s v="Asia"/>
    <s v="Canada"/>
    <s v="Beijing"/>
    <s v="P96964"/>
    <s v="Apparel"/>
    <s v="Snacks"/>
    <s v="Product_4809"/>
    <n v="458.84"/>
    <n v="17"/>
    <s v="S952"/>
    <s v="Alpha Corp"/>
    <s v="W5"/>
    <x v="1"/>
    <s v="DHL"/>
    <s v="London-New York"/>
    <n v="1149"/>
    <n v="161"/>
    <n v="22"/>
    <n v="824.68"/>
    <n v="475.25"/>
    <n v="1299.93"/>
    <x v="1"/>
    <n v="0"/>
    <n v="75"/>
    <n v="495"/>
    <n v="467"/>
  </r>
  <r>
    <x v="681"/>
    <s v="C3564"/>
    <d v="2024-10-04T00:00:00"/>
    <d v="2020-12-07T00:00:00"/>
    <x v="2"/>
    <s v="Africa"/>
    <s v="China"/>
    <s v="Cape Town"/>
    <s v="P17484"/>
    <s v="Furniture"/>
    <s v="Laptop"/>
    <s v="Product_9369"/>
    <n v="231.96"/>
    <n v="90"/>
    <s v="S988"/>
    <s v="Delta Traders"/>
    <s v="W11"/>
    <x v="0"/>
    <s v="Maersk"/>
    <s v="Berlin-São Paulo"/>
    <n v="2695"/>
    <n v="240"/>
    <n v="25"/>
    <n v="1011.7"/>
    <n v="339.39"/>
    <n v="1351.09"/>
    <x v="1"/>
    <n v="0"/>
    <n v="83.94"/>
    <n v="243"/>
    <n v="222"/>
  </r>
  <r>
    <x v="682"/>
    <s v="C4633"/>
    <d v="2022-04-27T00:00:00"/>
    <d v="2024-01-10T00:00:00"/>
    <x v="2"/>
    <s v="Europe"/>
    <s v="South Africa"/>
    <s v="London"/>
    <s v="P46735"/>
    <s v="Electronics"/>
    <s v="Shirt"/>
    <s v="Product_6075"/>
    <n v="122.06"/>
    <n v="45"/>
    <s v="S760"/>
    <s v="Delta Traders"/>
    <s v="W11"/>
    <x v="2"/>
    <s v="FedEx"/>
    <s v="Cape Town-São Paulo"/>
    <n v="1933"/>
    <n v="457"/>
    <n v="18"/>
    <n v="1001.18"/>
    <n v="75.69"/>
    <n v="1076.8699999999999"/>
    <x v="1"/>
    <n v="0"/>
    <n v="79.180000000000007"/>
    <n v="240"/>
    <n v="205"/>
  </r>
  <r>
    <x v="683"/>
    <s v="C9119"/>
    <d v="2022-07-21T00:00:00"/>
    <d v="2024-08-19T00:00:00"/>
    <x v="2"/>
    <s v="South America"/>
    <s v="Germany"/>
    <s v="London"/>
    <s v="P15878"/>
    <s v="Food"/>
    <s v="Medicines"/>
    <s v="Product_6811"/>
    <n v="357.66"/>
    <n v="88"/>
    <s v="S222"/>
    <s v="Gamma Inc"/>
    <s v="W36"/>
    <x v="1"/>
    <s v="Maersk"/>
    <s v="São Paulo-New York"/>
    <n v="4334"/>
    <n v="459"/>
    <n v="8"/>
    <n v="1230.2"/>
    <n v="145.69999999999999"/>
    <n v="1375.9"/>
    <x v="1"/>
    <n v="0"/>
    <n v="94.28"/>
    <n v="186"/>
    <n v="216"/>
  </r>
  <r>
    <x v="684"/>
    <s v="C1087"/>
    <d v="2021-04-24T00:00:00"/>
    <d v="2023-08-12T00:00:00"/>
    <x v="1"/>
    <s v="North America"/>
    <s v="USA"/>
    <s v="Cape Town"/>
    <s v="P10542"/>
    <s v="Pharma"/>
    <s v="Medicines"/>
    <s v="Product_7845"/>
    <n v="355.08"/>
    <n v="6"/>
    <s v="S434"/>
    <s v="Alpha Corp"/>
    <s v="W5"/>
    <x v="2"/>
    <s v="BlueDart"/>
    <s v="New York-London"/>
    <n v="4788"/>
    <n v="167"/>
    <n v="28"/>
    <n v="97.83"/>
    <n v="95.62"/>
    <n v="193.45"/>
    <x v="1"/>
    <n v="0"/>
    <n v="93.93"/>
    <n v="293"/>
    <n v="276"/>
  </r>
  <r>
    <x v="685"/>
    <s v="C3301"/>
    <d v="2023-12-05T00:00:00"/>
    <d v="2023-03-04T00:00:00"/>
    <x v="0"/>
    <s v="Europe"/>
    <s v="USA"/>
    <s v="Mumbai"/>
    <s v="P44884"/>
    <s v="Apparel"/>
    <s v="Medicines"/>
    <s v="Product_4326"/>
    <n v="412.51"/>
    <n v="37"/>
    <s v="S866"/>
    <s v="Alpha Corp"/>
    <s v="W39"/>
    <x v="1"/>
    <s v="FedEx"/>
    <s v="Berlin-Toronto"/>
    <n v="1360"/>
    <n v="395"/>
    <n v="20"/>
    <n v="1179.82"/>
    <n v="122.48"/>
    <n v="1302.3"/>
    <x v="1"/>
    <n v="0"/>
    <n v="77.959999999999994"/>
    <n v="488"/>
    <n v="531"/>
  </r>
  <r>
    <x v="686"/>
    <s v="C2936"/>
    <d v="2020-09-14T00:00:00"/>
    <d v="2024-02-21T00:00:00"/>
    <x v="2"/>
    <s v="Asia"/>
    <s v="USA"/>
    <s v="São Paulo"/>
    <s v="P77772"/>
    <s v="Pharma"/>
    <s v="Snacks"/>
    <s v="Product_1984"/>
    <n v="319.37"/>
    <n v="96"/>
    <s v="S464"/>
    <s v="Beta Ltd"/>
    <s v="W20"/>
    <x v="3"/>
    <s v="FedEx"/>
    <s v="Mumbai-Mumbai"/>
    <n v="3102"/>
    <n v="447"/>
    <n v="11"/>
    <n v="635.20000000000005"/>
    <n v="98.26"/>
    <n v="733.46"/>
    <x v="1"/>
    <n v="0"/>
    <n v="70.02"/>
    <n v="297"/>
    <n v="308"/>
  </r>
  <r>
    <x v="687"/>
    <s v="C3066"/>
    <d v="2020-01-17T00:00:00"/>
    <d v="2023-08-08T00:00:00"/>
    <x v="1"/>
    <s v="Europe"/>
    <s v="USA"/>
    <s v="London"/>
    <s v="P18207"/>
    <s v="Apparel"/>
    <s v="Snacks"/>
    <s v="Product_2321"/>
    <n v="140.46"/>
    <n v="59"/>
    <s v="S297"/>
    <s v="Alpha Corp"/>
    <s v="W29"/>
    <x v="2"/>
    <s v="FedEx"/>
    <s v="London-Berlin"/>
    <n v="2150"/>
    <n v="351"/>
    <n v="28"/>
    <n v="56.14"/>
    <n v="237.94"/>
    <n v="294.08"/>
    <x v="1"/>
    <n v="0"/>
    <n v="87.74"/>
    <n v="322"/>
    <n v="353"/>
  </r>
  <r>
    <x v="688"/>
    <s v="C7763"/>
    <d v="2023-08-26T00:00:00"/>
    <d v="2024-10-24T00:00:00"/>
    <x v="2"/>
    <s v="South America"/>
    <s v="USA"/>
    <s v="Beijing"/>
    <s v="P14449"/>
    <s v="Pharma"/>
    <s v="Chair"/>
    <s v="Product_6065"/>
    <n v="93.55"/>
    <n v="84"/>
    <s v="S440"/>
    <s v="Beta Ltd"/>
    <s v="W29"/>
    <x v="1"/>
    <s v="UPS"/>
    <s v="London-Beijing"/>
    <n v="2138"/>
    <n v="343"/>
    <n v="12"/>
    <n v="717.52"/>
    <n v="341.98"/>
    <n v="1059.5"/>
    <x v="0"/>
    <n v="5"/>
    <n v="98.1"/>
    <n v="379"/>
    <n v="397"/>
  </r>
  <r>
    <x v="689"/>
    <s v="C6318"/>
    <d v="2020-12-24T00:00:00"/>
    <d v="2021-01-16T00:00:00"/>
    <x v="1"/>
    <s v="North America"/>
    <s v="South Africa"/>
    <s v="London"/>
    <s v="P65785"/>
    <s v="Pharma"/>
    <s v="Medicines"/>
    <s v="Product_4302"/>
    <n v="285.3"/>
    <n v="68"/>
    <s v="S672"/>
    <s v="Delta Traders"/>
    <s v="W38"/>
    <x v="1"/>
    <s v="BlueDart"/>
    <s v="São Paulo-London"/>
    <n v="1417"/>
    <n v="181"/>
    <n v="23"/>
    <n v="541.85"/>
    <n v="62.25"/>
    <n v="604.1"/>
    <x v="1"/>
    <n v="0"/>
    <n v="88.8"/>
    <n v="324"/>
    <n v="350"/>
  </r>
  <r>
    <x v="690"/>
    <s v="C3562"/>
    <d v="2021-01-08T00:00:00"/>
    <d v="2021-08-27T00:00:00"/>
    <x v="2"/>
    <s v="South America"/>
    <s v="UK"/>
    <s v="London"/>
    <s v="P95886"/>
    <s v="Pharma"/>
    <s v="Snacks"/>
    <s v="Product_5076"/>
    <n v="343.43"/>
    <n v="43"/>
    <s v="S380"/>
    <s v="Delta Traders"/>
    <s v="W15"/>
    <x v="3"/>
    <s v="BlueDart"/>
    <s v="São Paulo-Toronto"/>
    <n v="2803"/>
    <n v="89"/>
    <n v="29"/>
    <n v="785.64"/>
    <n v="332.78"/>
    <n v="1118.42"/>
    <x v="1"/>
    <n v="0"/>
    <n v="72.790000000000006"/>
    <n v="113"/>
    <n v="131"/>
  </r>
  <r>
    <x v="691"/>
    <s v="C7083"/>
    <d v="2021-08-22T00:00:00"/>
    <d v="2024-12-27T00:00:00"/>
    <x v="2"/>
    <s v="Asia"/>
    <s v="Brazil"/>
    <s v="Beijing"/>
    <s v="P99244"/>
    <s v="Electronics"/>
    <s v="Medicines"/>
    <s v="Product_1841"/>
    <n v="424.16"/>
    <n v="17"/>
    <s v="S826"/>
    <s v="Gamma Inc"/>
    <s v="W28"/>
    <x v="1"/>
    <s v="Maersk"/>
    <s v="New York-Cape Town"/>
    <n v="3035"/>
    <n v="455"/>
    <n v="27"/>
    <n v="521.45000000000005"/>
    <n v="460.31"/>
    <n v="981.76"/>
    <x v="1"/>
    <n v="0"/>
    <n v="92.95"/>
    <n v="70"/>
    <n v="83"/>
  </r>
  <r>
    <x v="692"/>
    <s v="C6352"/>
    <d v="2022-10-21T00:00:00"/>
    <d v="2022-10-01T00:00:00"/>
    <x v="2"/>
    <s v="Asia"/>
    <s v="Brazil"/>
    <s v="Berlin"/>
    <s v="P16183"/>
    <s v="Electronics"/>
    <s v="Shirt"/>
    <s v="Product_9581"/>
    <n v="38.67"/>
    <n v="54"/>
    <s v="S544"/>
    <s v="Gamma Inc"/>
    <s v="W9"/>
    <x v="0"/>
    <s v="BlueDart"/>
    <s v="São Paulo-Beijing"/>
    <n v="192"/>
    <n v="188"/>
    <n v="11"/>
    <n v="614.74"/>
    <n v="460.63"/>
    <n v="1075.3699999999999"/>
    <x v="1"/>
    <n v="0"/>
    <n v="98.82"/>
    <n v="333"/>
    <n v="382"/>
  </r>
  <r>
    <x v="693"/>
    <s v="C7354"/>
    <d v="2021-10-16T00:00:00"/>
    <d v="2021-04-10T00:00:00"/>
    <x v="2"/>
    <s v="South America"/>
    <s v="South Africa"/>
    <s v="Beijing"/>
    <s v="P79673"/>
    <s v="Electronics"/>
    <s v="Medicines"/>
    <s v="Product_5252"/>
    <n v="278.05"/>
    <n v="29"/>
    <s v="S811"/>
    <s v="Beta Ltd"/>
    <s v="W44"/>
    <x v="3"/>
    <s v="DHL"/>
    <s v="New York-Mumbai"/>
    <n v="3021"/>
    <n v="358"/>
    <n v="17"/>
    <n v="247.57"/>
    <n v="250.13"/>
    <n v="497.7"/>
    <x v="1"/>
    <n v="0"/>
    <n v="74.709999999999994"/>
    <n v="211"/>
    <n v="238"/>
  </r>
  <r>
    <x v="694"/>
    <s v="C8006"/>
    <d v="2021-05-22T00:00:00"/>
    <d v="2022-10-04T00:00:00"/>
    <x v="2"/>
    <s v="Africa"/>
    <s v="Brazil"/>
    <s v="Mumbai"/>
    <s v="P12059"/>
    <s v="Electronics"/>
    <s v="Shirt"/>
    <s v="Product_4376"/>
    <n v="385.4"/>
    <n v="57"/>
    <s v="S708"/>
    <s v="Delta Traders"/>
    <s v="W8"/>
    <x v="3"/>
    <s v="UPS"/>
    <s v="New York-Mumbai"/>
    <n v="751"/>
    <n v="102"/>
    <n v="4"/>
    <n v="1987.37"/>
    <n v="384.01"/>
    <n v="2371.38"/>
    <x v="1"/>
    <n v="0"/>
    <n v="78.540000000000006"/>
    <n v="295"/>
    <n v="327"/>
  </r>
  <r>
    <x v="695"/>
    <s v="C5001"/>
    <d v="2023-08-12T00:00:00"/>
    <d v="2023-09-12T00:00:00"/>
    <x v="2"/>
    <s v="Asia"/>
    <s v="Brazil"/>
    <s v="Beijing"/>
    <s v="P32823"/>
    <s v="Furniture"/>
    <s v="Shirt"/>
    <s v="Product_8748"/>
    <n v="223.43"/>
    <n v="71"/>
    <s v="S691"/>
    <s v="Alpha Corp"/>
    <s v="W3"/>
    <x v="0"/>
    <s v="Maersk"/>
    <s v="Berlin-New York"/>
    <n v="1460"/>
    <n v="486"/>
    <n v="9"/>
    <n v="1891.96"/>
    <n v="494.16"/>
    <n v="2386.12"/>
    <x v="1"/>
    <n v="0"/>
    <n v="70.52"/>
    <n v="303"/>
    <n v="262"/>
  </r>
  <r>
    <x v="696"/>
    <s v="C4842"/>
    <d v="2020-01-04T00:00:00"/>
    <d v="2022-02-25T00:00:00"/>
    <x v="2"/>
    <s v="North America"/>
    <s v="USA"/>
    <s v="São Paulo"/>
    <s v="P35268"/>
    <s v="Pharma"/>
    <s v="Chair"/>
    <s v="Product_5838"/>
    <n v="392.82"/>
    <n v="19"/>
    <s v="S266"/>
    <s v="Beta Ltd"/>
    <s v="W46"/>
    <x v="0"/>
    <s v="Maersk"/>
    <s v="Mumbai-Berlin"/>
    <n v="1252"/>
    <n v="184"/>
    <n v="29"/>
    <n v="1819.46"/>
    <n v="383.08"/>
    <n v="2202.54"/>
    <x v="1"/>
    <n v="0"/>
    <n v="99.35"/>
    <n v="455"/>
    <n v="498"/>
  </r>
  <r>
    <x v="697"/>
    <s v="C3953"/>
    <d v="2022-05-04T00:00:00"/>
    <d v="2022-12-04T00:00:00"/>
    <x v="0"/>
    <s v="Asia"/>
    <s v="India"/>
    <s v="Cape Town"/>
    <s v="P65247"/>
    <s v="Food"/>
    <s v="Medicines"/>
    <s v="Product_9600"/>
    <n v="347.54"/>
    <n v="90"/>
    <s v="S252"/>
    <s v="Delta Traders"/>
    <s v="W18"/>
    <x v="0"/>
    <s v="FedEx"/>
    <s v="Beijing-New York"/>
    <n v="745"/>
    <n v="132"/>
    <n v="25"/>
    <n v="1759.93"/>
    <n v="412.56"/>
    <n v="2172.4899999999998"/>
    <x v="0"/>
    <n v="12"/>
    <n v="83.48"/>
    <n v="444"/>
    <n v="434"/>
  </r>
  <r>
    <x v="698"/>
    <s v="C1879"/>
    <d v="2023-12-11T00:00:00"/>
    <d v="2022-11-11T00:00:00"/>
    <x v="2"/>
    <s v="Africa"/>
    <s v="China"/>
    <s v="Cape Town"/>
    <s v="P58601"/>
    <s v="Pharma"/>
    <s v="Snacks"/>
    <s v="Product_6831"/>
    <n v="338.79"/>
    <n v="12"/>
    <s v="S820"/>
    <s v="Alpha Corp"/>
    <s v="W15"/>
    <x v="3"/>
    <s v="FedEx"/>
    <s v="New York-Toronto"/>
    <n v="230"/>
    <n v="427"/>
    <n v="26"/>
    <n v="1020.87"/>
    <n v="49.4"/>
    <n v="1070.27"/>
    <x v="1"/>
    <n v="0"/>
    <n v="92.74"/>
    <n v="101"/>
    <n v="90"/>
  </r>
  <r>
    <x v="699"/>
    <s v="C6987"/>
    <d v="2023-02-19T00:00:00"/>
    <d v="2021-04-26T00:00:00"/>
    <x v="1"/>
    <s v="Asia"/>
    <s v="USA"/>
    <s v="Mumbai"/>
    <s v="P14439"/>
    <s v="Apparel"/>
    <s v="Laptop"/>
    <s v="Product_1853"/>
    <n v="444.27"/>
    <n v="53"/>
    <s v="S488"/>
    <s v="Delta Traders"/>
    <s v="W19"/>
    <x v="1"/>
    <s v="FedEx"/>
    <s v="São Paulo-Mumbai"/>
    <n v="3111"/>
    <n v="239"/>
    <n v="20"/>
    <n v="1509.59"/>
    <n v="385.18"/>
    <n v="1894.77"/>
    <x v="1"/>
    <n v="0"/>
    <n v="93.24"/>
    <n v="186"/>
    <n v="215"/>
  </r>
  <r>
    <x v="700"/>
    <s v="C5868"/>
    <d v="2020-07-31T00:00:00"/>
    <d v="2021-11-08T00:00:00"/>
    <x v="0"/>
    <s v="Asia"/>
    <s v="Germany"/>
    <s v="Cape Town"/>
    <s v="P73410"/>
    <s v="Pharma"/>
    <s v="Medicines"/>
    <s v="Product_4907"/>
    <n v="91.73"/>
    <n v="12"/>
    <s v="S997"/>
    <s v="Epsilon LLC"/>
    <s v="W4"/>
    <x v="1"/>
    <s v="FedEx"/>
    <s v="Beijing-Cape Town"/>
    <n v="1434"/>
    <n v="332"/>
    <n v="17"/>
    <n v="1157.67"/>
    <n v="469.65"/>
    <n v="1627.32"/>
    <x v="1"/>
    <n v="0"/>
    <n v="76.239999999999995"/>
    <n v="327"/>
    <n v="335"/>
  </r>
  <r>
    <x v="701"/>
    <s v="C6914"/>
    <d v="2020-12-08T00:00:00"/>
    <d v="2023-10-05T00:00:00"/>
    <x v="2"/>
    <s v="Asia"/>
    <s v="USA"/>
    <s v="Toronto"/>
    <s v="P53553"/>
    <s v="Electronics"/>
    <s v="Laptop"/>
    <s v="Product_4804"/>
    <n v="152.71"/>
    <n v="93"/>
    <s v="S821"/>
    <s v="Delta Traders"/>
    <s v="W26"/>
    <x v="1"/>
    <s v="DHL"/>
    <s v="São Paulo-London"/>
    <n v="4501"/>
    <n v="220"/>
    <n v="3"/>
    <n v="416.38"/>
    <n v="34.200000000000003"/>
    <n v="450.58"/>
    <x v="1"/>
    <n v="0"/>
    <n v="71.28"/>
    <n v="88"/>
    <n v="99"/>
  </r>
  <r>
    <x v="702"/>
    <s v="C3562"/>
    <d v="2024-12-31T00:00:00"/>
    <d v="2024-05-19T00:00:00"/>
    <x v="2"/>
    <s v="Asia"/>
    <s v="USA"/>
    <s v="Cape Town"/>
    <s v="P77323"/>
    <s v="Electronics"/>
    <s v="Laptop"/>
    <s v="Product_6666"/>
    <n v="86.46"/>
    <n v="4"/>
    <s v="S680"/>
    <s v="Alpha Corp"/>
    <s v="W31"/>
    <x v="3"/>
    <s v="BlueDart"/>
    <s v="São Paulo-London"/>
    <n v="1684"/>
    <n v="481"/>
    <n v="4"/>
    <n v="1512.51"/>
    <n v="200.92"/>
    <n v="1713.43"/>
    <x v="1"/>
    <n v="0"/>
    <n v="89.71"/>
    <n v="249"/>
    <n v="242"/>
  </r>
  <r>
    <x v="703"/>
    <s v="C4755"/>
    <d v="2023-04-19T00:00:00"/>
    <d v="2020-05-14T00:00:00"/>
    <x v="2"/>
    <s v="Africa"/>
    <s v="Brazil"/>
    <s v="Beijing"/>
    <s v="P69809"/>
    <s v="Apparel"/>
    <s v="Chair"/>
    <s v="Product_2798"/>
    <n v="247.03"/>
    <n v="81"/>
    <s v="S147"/>
    <s v="Epsilon LLC"/>
    <s v="W34"/>
    <x v="0"/>
    <s v="Maersk"/>
    <s v="Berlin-Toronto"/>
    <n v="724"/>
    <n v="475"/>
    <n v="28"/>
    <n v="796.86"/>
    <n v="19.55"/>
    <n v="816.41"/>
    <x v="1"/>
    <n v="0"/>
    <n v="95.94"/>
    <n v="245"/>
    <n v="251"/>
  </r>
  <r>
    <x v="704"/>
    <s v="C2590"/>
    <d v="2024-11-17T00:00:00"/>
    <d v="2024-07-26T00:00:00"/>
    <x v="2"/>
    <s v="Africa"/>
    <s v="South Africa"/>
    <s v="Toronto"/>
    <s v="P20979"/>
    <s v="Apparel"/>
    <s v="Snacks"/>
    <s v="Product_7787"/>
    <n v="33.39"/>
    <n v="48"/>
    <s v="S706"/>
    <s v="Delta Traders"/>
    <s v="W46"/>
    <x v="0"/>
    <s v="FedEx"/>
    <s v="Toronto-São Paulo"/>
    <n v="1342"/>
    <n v="491"/>
    <n v="12"/>
    <n v="762.39"/>
    <n v="236.05"/>
    <n v="998.44"/>
    <x v="1"/>
    <n v="0"/>
    <n v="71.260000000000005"/>
    <n v="267"/>
    <n v="222"/>
  </r>
  <r>
    <x v="705"/>
    <s v="C7085"/>
    <d v="2023-06-07T00:00:00"/>
    <d v="2021-03-18T00:00:00"/>
    <x v="1"/>
    <s v="Europe"/>
    <s v="UK"/>
    <s v="São Paulo"/>
    <s v="P67084"/>
    <s v="Furniture"/>
    <s v="Shirt"/>
    <s v="Product_7718"/>
    <n v="449.63"/>
    <n v="2"/>
    <s v="S630"/>
    <s v="Delta Traders"/>
    <s v="W20"/>
    <x v="2"/>
    <s v="FedEx"/>
    <s v="São Paulo-Berlin"/>
    <n v="2043"/>
    <n v="281"/>
    <n v="4"/>
    <n v="610.55999999999995"/>
    <n v="269.86"/>
    <n v="880.42"/>
    <x v="1"/>
    <n v="0"/>
    <n v="75.39"/>
    <n v="204"/>
    <n v="163"/>
  </r>
  <r>
    <x v="706"/>
    <s v="C9053"/>
    <d v="2020-12-13T00:00:00"/>
    <d v="2021-06-06T00:00:00"/>
    <x v="1"/>
    <s v="North America"/>
    <s v="India"/>
    <s v="São Paulo"/>
    <s v="P72698"/>
    <s v="Food"/>
    <s v="Chair"/>
    <s v="Product_9890"/>
    <n v="39.17"/>
    <n v="41"/>
    <s v="S494"/>
    <s v="Delta Traders"/>
    <s v="W4"/>
    <x v="3"/>
    <s v="Maersk"/>
    <s v="Beijing-Beijing"/>
    <n v="1020"/>
    <n v="171"/>
    <n v="6"/>
    <n v="1836.31"/>
    <n v="263.61"/>
    <n v="2099.92"/>
    <x v="0"/>
    <n v="9"/>
    <n v="76.56"/>
    <n v="203"/>
    <n v="221"/>
  </r>
  <r>
    <x v="707"/>
    <s v="C1011"/>
    <d v="2021-01-30T00:00:00"/>
    <d v="2020-01-19T00:00:00"/>
    <x v="2"/>
    <s v="South America"/>
    <s v="India"/>
    <s v="Toronto"/>
    <s v="P15513"/>
    <s v="Food"/>
    <s v="Snacks"/>
    <s v="Product_2497"/>
    <n v="51.25"/>
    <n v="2"/>
    <s v="S408"/>
    <s v="Epsilon LLC"/>
    <s v="W38"/>
    <x v="1"/>
    <s v="UPS"/>
    <s v="Beijing-Toronto"/>
    <n v="3006"/>
    <n v="163"/>
    <n v="15"/>
    <n v="1863.42"/>
    <n v="173.7"/>
    <n v="2037.12"/>
    <x v="1"/>
    <n v="0"/>
    <n v="78.650000000000006"/>
    <n v="376"/>
    <n v="365"/>
  </r>
  <r>
    <x v="708"/>
    <s v="C2429"/>
    <d v="2024-11-06T00:00:00"/>
    <d v="2024-10-30T00:00:00"/>
    <x v="2"/>
    <s v="North America"/>
    <s v="Germany"/>
    <s v="Mumbai"/>
    <s v="P52525"/>
    <s v="Apparel"/>
    <s v="Medicines"/>
    <s v="Product_9337"/>
    <n v="123.98"/>
    <n v="65"/>
    <s v="S801"/>
    <s v="Epsilon LLC"/>
    <s v="W3"/>
    <x v="1"/>
    <s v="BlueDart"/>
    <s v="São Paulo-Toronto"/>
    <n v="163"/>
    <n v="105"/>
    <n v="7"/>
    <n v="970.37"/>
    <n v="190.58"/>
    <n v="1160.95"/>
    <x v="1"/>
    <n v="0"/>
    <n v="79.739999999999995"/>
    <n v="444"/>
    <n v="472"/>
  </r>
  <r>
    <x v="709"/>
    <s v="C9378"/>
    <d v="2021-08-20T00:00:00"/>
    <d v="2020-04-10T00:00:00"/>
    <x v="2"/>
    <s v="Africa"/>
    <s v="Brazil"/>
    <s v="Beijing"/>
    <s v="P13170"/>
    <s v="Furniture"/>
    <s v="Snacks"/>
    <s v="Product_9640"/>
    <n v="444.21"/>
    <n v="3"/>
    <s v="S570"/>
    <s v="Delta Traders"/>
    <s v="W28"/>
    <x v="2"/>
    <s v="BlueDart"/>
    <s v="Beijing-Toronto"/>
    <n v="1903"/>
    <n v="477"/>
    <n v="19"/>
    <n v="906.1"/>
    <n v="432"/>
    <n v="1338.1"/>
    <x v="1"/>
    <n v="0"/>
    <n v="70.27"/>
    <n v="360"/>
    <n v="340"/>
  </r>
  <r>
    <x v="710"/>
    <s v="C1647"/>
    <d v="2022-02-26T00:00:00"/>
    <d v="2021-02-06T00:00:00"/>
    <x v="2"/>
    <s v="North America"/>
    <s v="USA"/>
    <s v="Cape Town"/>
    <s v="P48305"/>
    <s v="Furniture"/>
    <s v="Medicines"/>
    <s v="Product_4470"/>
    <n v="407.33"/>
    <n v="29"/>
    <s v="S346"/>
    <s v="Alpha Corp"/>
    <s v="W22"/>
    <x v="2"/>
    <s v="FedEx"/>
    <s v="Cape Town-Cape Town"/>
    <n v="119"/>
    <n v="306"/>
    <n v="3"/>
    <n v="1365.35"/>
    <n v="298.22000000000003"/>
    <n v="1663.57"/>
    <x v="1"/>
    <n v="0"/>
    <n v="76.52"/>
    <n v="143"/>
    <n v="187"/>
  </r>
  <r>
    <x v="711"/>
    <s v="C1856"/>
    <d v="2021-01-23T00:00:00"/>
    <d v="2020-02-29T00:00:00"/>
    <x v="2"/>
    <s v="Africa"/>
    <s v="UK"/>
    <s v="São Paulo"/>
    <s v="P91635"/>
    <s v="Furniture"/>
    <s v="Medicines"/>
    <s v="Product_8707"/>
    <n v="206.34"/>
    <n v="40"/>
    <s v="S683"/>
    <s v="Alpha Corp"/>
    <s v="W15"/>
    <x v="1"/>
    <s v="BlueDart"/>
    <s v="Mumbai-Berlin"/>
    <n v="1990"/>
    <n v="387"/>
    <n v="25"/>
    <n v="1423.77"/>
    <n v="310.62"/>
    <n v="1734.39"/>
    <x v="1"/>
    <n v="0"/>
    <n v="71.81"/>
    <n v="52"/>
    <n v="88"/>
  </r>
  <r>
    <x v="712"/>
    <s v="C8162"/>
    <d v="2023-03-21T00:00:00"/>
    <d v="2024-06-24T00:00:00"/>
    <x v="1"/>
    <s v="South America"/>
    <s v="UK"/>
    <s v="New York"/>
    <s v="P80523"/>
    <s v="Pharma"/>
    <s v="Snacks"/>
    <s v="Product_3651"/>
    <n v="105.05"/>
    <n v="44"/>
    <s v="S383"/>
    <s v="Beta Ltd"/>
    <s v="W17"/>
    <x v="3"/>
    <s v="BlueDart"/>
    <s v="Cape Town-Beijing"/>
    <n v="4117"/>
    <n v="479"/>
    <n v="8"/>
    <n v="1201.5"/>
    <n v="243.26"/>
    <n v="1444.76"/>
    <x v="1"/>
    <n v="0"/>
    <n v="84.56"/>
    <n v="64"/>
    <n v="49"/>
  </r>
  <r>
    <x v="713"/>
    <s v="C2895"/>
    <d v="2023-06-30T00:00:00"/>
    <d v="2023-05-28T00:00:00"/>
    <x v="2"/>
    <s v="Africa"/>
    <s v="South Africa"/>
    <s v="Berlin"/>
    <s v="P16014"/>
    <s v="Furniture"/>
    <s v="Snacks"/>
    <s v="Product_1890"/>
    <n v="448.06"/>
    <n v="63"/>
    <s v="S439"/>
    <s v="Alpha Corp"/>
    <s v="W32"/>
    <x v="1"/>
    <s v="BlueDart"/>
    <s v="Cape Town-New York"/>
    <n v="168"/>
    <n v="417"/>
    <n v="13"/>
    <n v="149.76"/>
    <n v="356.28"/>
    <n v="506.04"/>
    <x v="1"/>
    <n v="0"/>
    <n v="79.7"/>
    <n v="195"/>
    <n v="194"/>
  </r>
  <r>
    <x v="714"/>
    <s v="C3661"/>
    <d v="2023-05-03T00:00:00"/>
    <d v="2024-09-13T00:00:00"/>
    <x v="2"/>
    <s v="Asia"/>
    <s v="Brazil"/>
    <s v="London"/>
    <s v="P64912"/>
    <s v="Furniture"/>
    <s v="Shirt"/>
    <s v="Product_8963"/>
    <n v="282.31"/>
    <n v="88"/>
    <s v="S920"/>
    <s v="Alpha Corp"/>
    <s v="W32"/>
    <x v="3"/>
    <s v="Maersk"/>
    <s v="Cape Town-London"/>
    <n v="1373"/>
    <n v="483"/>
    <n v="1"/>
    <n v="687.32"/>
    <n v="176.73"/>
    <n v="864.05000000000007"/>
    <x v="1"/>
    <n v="0"/>
    <n v="77.849999999999994"/>
    <n v="336"/>
    <n v="338"/>
  </r>
  <r>
    <x v="715"/>
    <s v="C8905"/>
    <d v="2021-10-05T00:00:00"/>
    <d v="2021-09-29T00:00:00"/>
    <x v="0"/>
    <s v="Asia"/>
    <s v="India"/>
    <s v="London"/>
    <s v="P71113"/>
    <s v="Apparel"/>
    <s v="Snacks"/>
    <s v="Product_6290"/>
    <n v="17.37"/>
    <n v="18"/>
    <s v="S596"/>
    <s v="Epsilon LLC"/>
    <s v="W42"/>
    <x v="3"/>
    <s v="DHL"/>
    <s v="Beijing-Beijing"/>
    <n v="3696"/>
    <n v="221"/>
    <n v="12"/>
    <n v="769.9"/>
    <n v="391.29"/>
    <n v="1161.19"/>
    <x v="1"/>
    <n v="0"/>
    <n v="74.47"/>
    <n v="188"/>
    <n v="169"/>
  </r>
  <r>
    <x v="716"/>
    <s v="C4212"/>
    <d v="2021-02-25T00:00:00"/>
    <d v="2024-10-02T00:00:00"/>
    <x v="2"/>
    <s v="North America"/>
    <s v="UK"/>
    <s v="Berlin"/>
    <s v="P51867"/>
    <s v="Furniture"/>
    <s v="Snacks"/>
    <s v="Product_6370"/>
    <n v="407.11"/>
    <n v="75"/>
    <s v="S188"/>
    <s v="Delta Traders"/>
    <s v="W35"/>
    <x v="0"/>
    <s v="BlueDart"/>
    <s v="Toronto-Mumbai"/>
    <n v="2120"/>
    <n v="94"/>
    <n v="2"/>
    <n v="1410.11"/>
    <n v="373.17"/>
    <n v="1783.28"/>
    <x v="0"/>
    <n v="3"/>
    <n v="89.15"/>
    <n v="320"/>
    <n v="368"/>
  </r>
  <r>
    <x v="717"/>
    <s v="C2181"/>
    <d v="2021-07-27T00:00:00"/>
    <d v="2023-04-17T00:00:00"/>
    <x v="2"/>
    <s v="Europe"/>
    <s v="India"/>
    <s v="Beijing"/>
    <s v="P58667"/>
    <s v="Apparel"/>
    <s v="Snacks"/>
    <s v="Product_4049"/>
    <n v="99.05"/>
    <n v="11"/>
    <s v="S280"/>
    <s v="Beta Ltd"/>
    <s v="W9"/>
    <x v="1"/>
    <s v="UPS"/>
    <s v="Mumbai-Beijing"/>
    <n v="811"/>
    <n v="226"/>
    <n v="6"/>
    <n v="183.85"/>
    <n v="44.22"/>
    <n v="228.07"/>
    <x v="1"/>
    <n v="0"/>
    <n v="70.31"/>
    <n v="434"/>
    <n v="406"/>
  </r>
  <r>
    <x v="718"/>
    <s v="C3897"/>
    <d v="2023-06-06T00:00:00"/>
    <d v="2024-02-28T00:00:00"/>
    <x v="2"/>
    <s v="North America"/>
    <s v="China"/>
    <s v="Beijing"/>
    <s v="P29124"/>
    <s v="Pharma"/>
    <s v="Shirt"/>
    <s v="Product_3382"/>
    <n v="259.32"/>
    <n v="86"/>
    <s v="S896"/>
    <s v="Alpha Corp"/>
    <s v="W29"/>
    <x v="1"/>
    <s v="BlueDart"/>
    <s v="London-New York"/>
    <n v="3606"/>
    <n v="482"/>
    <n v="15"/>
    <n v="1841.16"/>
    <n v="274.52"/>
    <n v="2115.6799999999998"/>
    <x v="1"/>
    <n v="0"/>
    <n v="84.97"/>
    <n v="484"/>
    <n v="502"/>
  </r>
  <r>
    <x v="719"/>
    <s v="C7929"/>
    <d v="2022-08-06T00:00:00"/>
    <d v="2021-08-22T00:00:00"/>
    <x v="2"/>
    <s v="North America"/>
    <s v="South Africa"/>
    <s v="London"/>
    <s v="P28260"/>
    <s v="Pharma"/>
    <s v="Laptop"/>
    <s v="Product_6482"/>
    <n v="93.29"/>
    <n v="77"/>
    <s v="S243"/>
    <s v="Beta Ltd"/>
    <s v="W6"/>
    <x v="0"/>
    <s v="BlueDart"/>
    <s v="New York-Mumbai"/>
    <n v="3231"/>
    <n v="64"/>
    <n v="26"/>
    <n v="1161.1199999999999"/>
    <n v="361.54"/>
    <n v="1522.66"/>
    <x v="1"/>
    <n v="0"/>
    <n v="87.19"/>
    <n v="156"/>
    <n v="178"/>
  </r>
  <r>
    <x v="720"/>
    <s v="C7966"/>
    <d v="2020-07-02T00:00:00"/>
    <d v="2024-10-10T00:00:00"/>
    <x v="2"/>
    <s v="Asia"/>
    <s v="China"/>
    <s v="Cape Town"/>
    <s v="P62510"/>
    <s v="Pharma"/>
    <s v="Medicines"/>
    <s v="Product_2956"/>
    <n v="467.8"/>
    <n v="15"/>
    <s v="S231"/>
    <s v="Delta Traders"/>
    <s v="W2"/>
    <x v="2"/>
    <s v="UPS"/>
    <s v="London-Beijing"/>
    <n v="3915"/>
    <n v="440"/>
    <n v="16"/>
    <n v="1259.19"/>
    <n v="124.5"/>
    <n v="1383.69"/>
    <x v="0"/>
    <n v="13"/>
    <n v="71.36"/>
    <n v="461"/>
    <n v="489"/>
  </r>
  <r>
    <x v="721"/>
    <s v="C9746"/>
    <d v="2022-10-31T00:00:00"/>
    <d v="2020-08-22T00:00:00"/>
    <x v="1"/>
    <s v="Asia"/>
    <s v="Brazil"/>
    <s v="Mumbai"/>
    <s v="P87903"/>
    <s v="Apparel"/>
    <s v="Shirt"/>
    <s v="Product_8514"/>
    <n v="393.51"/>
    <n v="66"/>
    <s v="S224"/>
    <s v="Gamma Inc"/>
    <s v="W40"/>
    <x v="0"/>
    <s v="BlueDart"/>
    <s v="São Paulo-Mumbai"/>
    <n v="1738"/>
    <n v="247"/>
    <n v="17"/>
    <n v="1299.0999999999999"/>
    <n v="185.45"/>
    <n v="1484.55"/>
    <x v="1"/>
    <n v="0"/>
    <n v="77.650000000000006"/>
    <n v="379"/>
    <n v="386"/>
  </r>
  <r>
    <x v="722"/>
    <s v="C5598"/>
    <d v="2020-06-16T00:00:00"/>
    <d v="2022-07-13T00:00:00"/>
    <x v="0"/>
    <s v="South America"/>
    <s v="India"/>
    <s v="Beijing"/>
    <s v="P76302"/>
    <s v="Apparel"/>
    <s v="Shirt"/>
    <s v="Product_6017"/>
    <n v="377.76"/>
    <n v="31"/>
    <s v="S168"/>
    <s v="Alpha Corp"/>
    <s v="W22"/>
    <x v="2"/>
    <s v="DHL"/>
    <s v="London-Mumbai"/>
    <n v="4547"/>
    <n v="292"/>
    <n v="29"/>
    <n v="1841.9"/>
    <n v="34.1"/>
    <n v="1876"/>
    <x v="1"/>
    <n v="0"/>
    <n v="71.03"/>
    <n v="251"/>
    <n v="278"/>
  </r>
  <r>
    <x v="723"/>
    <s v="C1554"/>
    <d v="2021-08-22T00:00:00"/>
    <d v="2020-08-27T00:00:00"/>
    <x v="2"/>
    <s v="Africa"/>
    <s v="Germany"/>
    <s v="São Paulo"/>
    <s v="P75289"/>
    <s v="Pharma"/>
    <s v="Shirt"/>
    <s v="Product_6114"/>
    <n v="340.31"/>
    <n v="47"/>
    <s v="S471"/>
    <s v="Delta Traders"/>
    <s v="W31"/>
    <x v="0"/>
    <s v="Maersk"/>
    <s v="Mumbai-São Paulo"/>
    <n v="225"/>
    <n v="220"/>
    <n v="6"/>
    <n v="324.87"/>
    <n v="426.26"/>
    <n v="751.13"/>
    <x v="1"/>
    <n v="0"/>
    <n v="89.76"/>
    <n v="434"/>
    <n v="446"/>
  </r>
  <r>
    <x v="724"/>
    <s v="C8330"/>
    <d v="2024-09-12T00:00:00"/>
    <d v="2020-08-12T00:00:00"/>
    <x v="2"/>
    <s v="North America"/>
    <s v="USA"/>
    <s v="Mumbai"/>
    <s v="P11679"/>
    <s v="Pharma"/>
    <s v="Shirt"/>
    <s v="Product_1010"/>
    <n v="473.42"/>
    <n v="9"/>
    <s v="S515"/>
    <s v="Alpha Corp"/>
    <s v="W15"/>
    <x v="1"/>
    <s v="BlueDart"/>
    <s v="Beijing-Beijing"/>
    <n v="1052"/>
    <n v="268"/>
    <n v="24"/>
    <n v="439.48"/>
    <n v="304.36"/>
    <n v="743.84"/>
    <x v="1"/>
    <n v="0"/>
    <n v="90.91"/>
    <n v="169"/>
    <n v="216"/>
  </r>
  <r>
    <x v="725"/>
    <s v="C8116"/>
    <d v="2022-10-28T00:00:00"/>
    <d v="2022-01-06T00:00:00"/>
    <x v="2"/>
    <s v="Asia"/>
    <s v="China"/>
    <s v="Cape Town"/>
    <s v="P13359"/>
    <s v="Furniture"/>
    <s v="Laptop"/>
    <s v="Product_1129"/>
    <n v="148.03"/>
    <n v="45"/>
    <s v="S156"/>
    <s v="Beta Ltd"/>
    <s v="W44"/>
    <x v="0"/>
    <s v="FedEx"/>
    <s v="Beijing-Berlin"/>
    <n v="1757"/>
    <n v="111"/>
    <n v="6"/>
    <n v="490.04"/>
    <n v="89.22"/>
    <n v="579.26"/>
    <x v="1"/>
    <n v="0"/>
    <n v="72.12"/>
    <n v="80"/>
    <n v="68"/>
  </r>
  <r>
    <x v="726"/>
    <s v="C5207"/>
    <d v="2023-08-06T00:00:00"/>
    <d v="2021-12-31T00:00:00"/>
    <x v="1"/>
    <s v="South America"/>
    <s v="Canada"/>
    <s v="New York"/>
    <s v="P81080"/>
    <s v="Food"/>
    <s v="Shirt"/>
    <s v="Product_2727"/>
    <n v="145.82"/>
    <n v="12"/>
    <s v="S624"/>
    <s v="Alpha Corp"/>
    <s v="W46"/>
    <x v="3"/>
    <s v="FedEx"/>
    <s v="Toronto-New York"/>
    <n v="2888"/>
    <n v="424"/>
    <n v="9"/>
    <n v="1521.87"/>
    <n v="342.97"/>
    <n v="1864.84"/>
    <x v="1"/>
    <n v="0"/>
    <n v="89.52"/>
    <n v="493"/>
    <n v="502"/>
  </r>
  <r>
    <x v="727"/>
    <s v="C8122"/>
    <d v="2024-04-05T00:00:00"/>
    <d v="2021-06-28T00:00:00"/>
    <x v="2"/>
    <s v="Europe"/>
    <s v="UK"/>
    <s v="Cape Town"/>
    <s v="P34635"/>
    <s v="Apparel"/>
    <s v="Laptop"/>
    <s v="Product_4603"/>
    <n v="258.77"/>
    <n v="32"/>
    <s v="S260"/>
    <s v="Gamma Inc"/>
    <s v="W9"/>
    <x v="1"/>
    <s v="Maersk"/>
    <s v="Mumbai-Beijing"/>
    <n v="4312"/>
    <n v="232"/>
    <n v="1"/>
    <n v="948.87"/>
    <n v="159.35"/>
    <n v="1108.22"/>
    <x v="1"/>
    <n v="0"/>
    <n v="92.41"/>
    <n v="416"/>
    <n v="431"/>
  </r>
  <r>
    <x v="728"/>
    <s v="C2700"/>
    <d v="2022-08-06T00:00:00"/>
    <d v="2021-09-03T00:00:00"/>
    <x v="2"/>
    <s v="North America"/>
    <s v="China"/>
    <s v="Berlin"/>
    <s v="P39667"/>
    <s v="Pharma"/>
    <s v="Chair"/>
    <s v="Product_2854"/>
    <n v="189.54"/>
    <n v="12"/>
    <s v="S539"/>
    <s v="Gamma Inc"/>
    <s v="W2"/>
    <x v="0"/>
    <s v="FedEx"/>
    <s v="New York-Berlin"/>
    <n v="32"/>
    <n v="427"/>
    <n v="7"/>
    <n v="309.01"/>
    <n v="171.3"/>
    <n v="480.31"/>
    <x v="1"/>
    <n v="0"/>
    <n v="76.88"/>
    <n v="437"/>
    <n v="412"/>
  </r>
  <r>
    <x v="729"/>
    <s v="C5440"/>
    <d v="2020-11-14T00:00:00"/>
    <d v="2021-10-17T00:00:00"/>
    <x v="2"/>
    <s v="Asia"/>
    <s v="Germany"/>
    <s v="London"/>
    <s v="P67662"/>
    <s v="Pharma"/>
    <s v="Chair"/>
    <s v="Product_7957"/>
    <n v="295.95"/>
    <n v="43"/>
    <s v="S528"/>
    <s v="Gamma Inc"/>
    <s v="W42"/>
    <x v="1"/>
    <s v="Maersk"/>
    <s v="Mumbai-Toronto"/>
    <n v="1154"/>
    <n v="194"/>
    <n v="9"/>
    <n v="106.49"/>
    <n v="123.51"/>
    <n v="230"/>
    <x v="1"/>
    <n v="0"/>
    <n v="78.930000000000007"/>
    <n v="469"/>
    <n v="423"/>
  </r>
  <r>
    <x v="730"/>
    <s v="C1675"/>
    <d v="2024-11-19T00:00:00"/>
    <d v="2021-08-17T00:00:00"/>
    <x v="2"/>
    <s v="North America"/>
    <s v="USA"/>
    <s v="London"/>
    <s v="P36173"/>
    <s v="Electronics"/>
    <s v="Medicines"/>
    <s v="Product_1656"/>
    <n v="114.26"/>
    <n v="4"/>
    <s v="S424"/>
    <s v="Epsilon LLC"/>
    <s v="W1"/>
    <x v="2"/>
    <s v="UPS"/>
    <s v="São Paulo-New York"/>
    <n v="4767"/>
    <n v="297"/>
    <n v="27"/>
    <n v="1095.25"/>
    <n v="120.39"/>
    <n v="1215.6400000000001"/>
    <x v="0"/>
    <n v="11"/>
    <n v="83.49"/>
    <n v="101"/>
    <n v="59"/>
  </r>
  <r>
    <x v="731"/>
    <s v="C2208"/>
    <d v="2023-05-20T00:00:00"/>
    <d v="2021-12-21T00:00:00"/>
    <x v="1"/>
    <s v="South America"/>
    <s v="USA"/>
    <s v="Toronto"/>
    <s v="P84460"/>
    <s v="Food"/>
    <s v="Shirt"/>
    <s v="Product_4716"/>
    <n v="276.55"/>
    <n v="92"/>
    <s v="S433"/>
    <s v="Beta Ltd"/>
    <s v="W44"/>
    <x v="0"/>
    <s v="BlueDart"/>
    <s v="Toronto-São Paulo"/>
    <n v="676"/>
    <n v="473"/>
    <n v="26"/>
    <n v="622.55999999999995"/>
    <n v="22.22"/>
    <n v="644.78"/>
    <x v="1"/>
    <n v="0"/>
    <n v="96.24"/>
    <n v="58"/>
    <n v="101"/>
  </r>
  <r>
    <x v="732"/>
    <s v="C7424"/>
    <d v="2021-03-15T00:00:00"/>
    <d v="2023-03-18T00:00:00"/>
    <x v="1"/>
    <s v="Asia"/>
    <s v="South Africa"/>
    <s v="Mumbai"/>
    <s v="P44999"/>
    <s v="Pharma"/>
    <s v="Snacks"/>
    <s v="Product_9446"/>
    <n v="128.09"/>
    <n v="39"/>
    <s v="S912"/>
    <s v="Epsilon LLC"/>
    <s v="W6"/>
    <x v="3"/>
    <s v="UPS"/>
    <s v="Toronto-Beijing"/>
    <n v="2572"/>
    <n v="463"/>
    <n v="28"/>
    <n v="305.69"/>
    <n v="476.01"/>
    <n v="781.7"/>
    <x v="0"/>
    <n v="5"/>
    <n v="85.57"/>
    <n v="371"/>
    <n v="387"/>
  </r>
  <r>
    <x v="733"/>
    <s v="C7595"/>
    <d v="2021-12-08T00:00:00"/>
    <d v="2021-05-14T00:00:00"/>
    <x v="2"/>
    <s v="South America"/>
    <s v="Germany"/>
    <s v="Cape Town"/>
    <s v="P86976"/>
    <s v="Electronics"/>
    <s v="Snacks"/>
    <s v="Product_4738"/>
    <n v="264.52999999999997"/>
    <n v="19"/>
    <s v="S600"/>
    <s v="Gamma Inc"/>
    <s v="W47"/>
    <x v="3"/>
    <s v="UPS"/>
    <s v="Toronto-New York"/>
    <n v="1522"/>
    <n v="299"/>
    <n v="6"/>
    <n v="88.1"/>
    <n v="288.42"/>
    <n v="376.52"/>
    <x v="1"/>
    <n v="0"/>
    <n v="82.37"/>
    <n v="81"/>
    <n v="52"/>
  </r>
  <r>
    <x v="734"/>
    <s v="C1254"/>
    <d v="2020-05-17T00:00:00"/>
    <d v="2023-06-14T00:00:00"/>
    <x v="2"/>
    <s v="South America"/>
    <s v="Brazil"/>
    <s v="New York"/>
    <s v="P98503"/>
    <s v="Apparel"/>
    <s v="Laptop"/>
    <s v="Product_2789"/>
    <n v="251.22"/>
    <n v="23"/>
    <s v="S312"/>
    <s v="Epsilon LLC"/>
    <s v="W15"/>
    <x v="0"/>
    <s v="FedEx"/>
    <s v="Mumbai-São Paulo"/>
    <n v="548"/>
    <n v="98"/>
    <n v="29"/>
    <n v="1407.31"/>
    <n v="181.74"/>
    <n v="1589.05"/>
    <x v="1"/>
    <n v="0"/>
    <n v="95.94"/>
    <n v="218"/>
    <n v="245"/>
  </r>
  <r>
    <x v="735"/>
    <s v="C7745"/>
    <d v="2021-11-06T00:00:00"/>
    <d v="2024-06-12T00:00:00"/>
    <x v="2"/>
    <s v="South America"/>
    <s v="Germany"/>
    <s v="Cape Town"/>
    <s v="P41962"/>
    <s v="Apparel"/>
    <s v="Medicines"/>
    <s v="Product_2639"/>
    <n v="109.84"/>
    <n v="58"/>
    <s v="S955"/>
    <s v="Beta Ltd"/>
    <s v="W27"/>
    <x v="0"/>
    <s v="Maersk"/>
    <s v="Cape Town-Mumbai"/>
    <n v="3221"/>
    <n v="351"/>
    <n v="9"/>
    <n v="138.69999999999999"/>
    <n v="153.74"/>
    <n v="292.44"/>
    <x v="1"/>
    <n v="0"/>
    <n v="82.81"/>
    <n v="422"/>
    <n v="378"/>
  </r>
  <r>
    <x v="736"/>
    <s v="C3829"/>
    <d v="2022-02-03T00:00:00"/>
    <d v="2024-12-15T00:00:00"/>
    <x v="2"/>
    <s v="Asia"/>
    <s v="Canada"/>
    <s v="Berlin"/>
    <s v="P64275"/>
    <s v="Electronics"/>
    <s v="Chair"/>
    <s v="Product_6638"/>
    <n v="322.3"/>
    <n v="12"/>
    <s v="S742"/>
    <s v="Delta Traders"/>
    <s v="W48"/>
    <x v="3"/>
    <s v="FedEx"/>
    <s v="Cape Town-Berlin"/>
    <n v="426"/>
    <n v="153"/>
    <n v="5"/>
    <n v="671.13"/>
    <n v="219.86"/>
    <n v="890.99"/>
    <x v="1"/>
    <n v="0"/>
    <n v="75.790000000000006"/>
    <n v="497"/>
    <n v="492"/>
  </r>
  <r>
    <x v="737"/>
    <s v="C9303"/>
    <d v="2020-03-26T00:00:00"/>
    <d v="2021-06-16T00:00:00"/>
    <x v="2"/>
    <s v="North America"/>
    <s v="China"/>
    <s v="Berlin"/>
    <s v="P62717"/>
    <s v="Furniture"/>
    <s v="Shirt"/>
    <s v="Product_8980"/>
    <n v="33.6"/>
    <n v="6"/>
    <s v="S382"/>
    <s v="Alpha Corp"/>
    <s v="W27"/>
    <x v="1"/>
    <s v="FedEx"/>
    <s v="Cape Town-São Paulo"/>
    <n v="3815"/>
    <n v="195"/>
    <n v="18"/>
    <n v="114.27"/>
    <n v="419.71"/>
    <n v="533.98"/>
    <x v="1"/>
    <n v="0"/>
    <n v="90.65"/>
    <n v="357"/>
    <n v="371"/>
  </r>
  <r>
    <x v="738"/>
    <s v="C5214"/>
    <d v="2023-01-02T00:00:00"/>
    <d v="2020-11-11T00:00:00"/>
    <x v="2"/>
    <s v="South America"/>
    <s v="South Africa"/>
    <s v="Cape Town"/>
    <s v="P32670"/>
    <s v="Food"/>
    <s v="Shirt"/>
    <s v="Product_8283"/>
    <n v="361.76"/>
    <n v="1"/>
    <s v="S223"/>
    <s v="Alpha Corp"/>
    <s v="W44"/>
    <x v="0"/>
    <s v="BlueDart"/>
    <s v="Cape Town-Mumbai"/>
    <n v="1440"/>
    <n v="384"/>
    <n v="4"/>
    <n v="781.84"/>
    <n v="454.11"/>
    <n v="1235.95"/>
    <x v="1"/>
    <n v="0"/>
    <n v="82.89"/>
    <n v="428"/>
    <n v="477"/>
  </r>
  <r>
    <x v="739"/>
    <s v="C6397"/>
    <d v="2024-10-03T00:00:00"/>
    <d v="2022-10-26T00:00:00"/>
    <x v="1"/>
    <s v="Asia"/>
    <s v="USA"/>
    <s v="Mumbai"/>
    <s v="P91343"/>
    <s v="Furniture"/>
    <s v="Chair"/>
    <s v="Product_1034"/>
    <n v="424.26"/>
    <n v="27"/>
    <s v="S710"/>
    <s v="Epsilon LLC"/>
    <s v="W21"/>
    <x v="2"/>
    <s v="Maersk"/>
    <s v="New York-London"/>
    <n v="1293"/>
    <n v="456"/>
    <n v="16"/>
    <n v="1830.9"/>
    <n v="282.63"/>
    <n v="2113.5300000000002"/>
    <x v="1"/>
    <n v="0"/>
    <n v="83.49"/>
    <n v="206"/>
    <n v="159"/>
  </r>
  <r>
    <x v="740"/>
    <s v="C9817"/>
    <d v="2024-10-07T00:00:00"/>
    <d v="2024-04-16T00:00:00"/>
    <x v="1"/>
    <s v="Asia"/>
    <s v="Brazil"/>
    <s v="Beijing"/>
    <s v="P78050"/>
    <s v="Furniture"/>
    <s v="Medicines"/>
    <s v="Product_7764"/>
    <n v="358.62"/>
    <n v="63"/>
    <s v="S542"/>
    <s v="Epsilon LLC"/>
    <s v="W27"/>
    <x v="1"/>
    <s v="BlueDart"/>
    <s v="Cape Town-Toronto"/>
    <n v="153"/>
    <n v="317"/>
    <n v="17"/>
    <n v="1258.8499999999999"/>
    <n v="490.03"/>
    <n v="1748.88"/>
    <x v="1"/>
    <n v="0"/>
    <n v="73.05"/>
    <n v="170"/>
    <n v="153"/>
  </r>
  <r>
    <x v="741"/>
    <s v="C4458"/>
    <d v="2023-08-13T00:00:00"/>
    <d v="2023-02-07T00:00:00"/>
    <x v="1"/>
    <s v="Europe"/>
    <s v="Brazil"/>
    <s v="Berlin"/>
    <s v="P46796"/>
    <s v="Electronics"/>
    <s v="Chair"/>
    <s v="Product_2002"/>
    <n v="458.08"/>
    <n v="55"/>
    <s v="S984"/>
    <s v="Beta Ltd"/>
    <s v="W10"/>
    <x v="3"/>
    <s v="DHL"/>
    <s v="London-São Paulo"/>
    <n v="4437"/>
    <n v="438"/>
    <n v="2"/>
    <n v="836.57"/>
    <n v="341.12"/>
    <n v="1177.69"/>
    <x v="1"/>
    <n v="0"/>
    <n v="72.27"/>
    <n v="116"/>
    <n v="133"/>
  </r>
  <r>
    <x v="742"/>
    <s v="C6879"/>
    <d v="2022-08-30T00:00:00"/>
    <d v="2021-11-19T00:00:00"/>
    <x v="2"/>
    <s v="Europe"/>
    <s v="Germany"/>
    <s v="London"/>
    <s v="P70953"/>
    <s v="Furniture"/>
    <s v="Snacks"/>
    <s v="Product_8148"/>
    <n v="53.36"/>
    <n v="84"/>
    <s v="S352"/>
    <s v="Gamma Inc"/>
    <s v="W38"/>
    <x v="0"/>
    <s v="FedEx"/>
    <s v="São Paulo-Berlin"/>
    <n v="4959"/>
    <n v="63"/>
    <n v="7"/>
    <n v="1828.81"/>
    <n v="127.38"/>
    <n v="1956.19"/>
    <x v="1"/>
    <n v="0"/>
    <n v="86.36"/>
    <n v="425"/>
    <n v="443"/>
  </r>
  <r>
    <x v="743"/>
    <s v="C5863"/>
    <d v="2020-10-20T00:00:00"/>
    <d v="2023-10-20T00:00:00"/>
    <x v="2"/>
    <s v="Asia"/>
    <s v="China"/>
    <s v="New York"/>
    <s v="P21712"/>
    <s v="Furniture"/>
    <s v="Laptop"/>
    <s v="Product_5471"/>
    <n v="487.95"/>
    <n v="93"/>
    <s v="S667"/>
    <s v="Delta Traders"/>
    <s v="W29"/>
    <x v="0"/>
    <s v="UPS"/>
    <s v="Berlin-Cape Town"/>
    <n v="398"/>
    <n v="374"/>
    <n v="3"/>
    <n v="1447.69"/>
    <n v="468.76"/>
    <n v="1916.45"/>
    <x v="1"/>
    <n v="0"/>
    <n v="74.150000000000006"/>
    <n v="460"/>
    <n v="501"/>
  </r>
  <r>
    <x v="744"/>
    <s v="C3063"/>
    <d v="2023-01-10T00:00:00"/>
    <d v="2021-10-20T00:00:00"/>
    <x v="1"/>
    <s v="Asia"/>
    <s v="USA"/>
    <s v="Toronto"/>
    <s v="P21114"/>
    <s v="Apparel"/>
    <s v="Chair"/>
    <s v="Product_7599"/>
    <n v="461.8"/>
    <n v="79"/>
    <s v="S626"/>
    <s v="Delta Traders"/>
    <s v="W48"/>
    <x v="2"/>
    <s v="BlueDart"/>
    <s v="New York-New York"/>
    <n v="3308"/>
    <n v="376"/>
    <n v="21"/>
    <n v="92.08"/>
    <n v="262.56"/>
    <n v="354.64"/>
    <x v="1"/>
    <n v="0"/>
    <n v="73.86"/>
    <n v="85"/>
    <n v="122"/>
  </r>
  <r>
    <x v="745"/>
    <s v="C1921"/>
    <d v="2020-08-17T00:00:00"/>
    <d v="2023-07-10T00:00:00"/>
    <x v="2"/>
    <s v="Asia"/>
    <s v="Canada"/>
    <s v="Cape Town"/>
    <s v="P87287"/>
    <s v="Furniture"/>
    <s v="Medicines"/>
    <s v="Product_5588"/>
    <n v="335.21"/>
    <n v="32"/>
    <s v="S664"/>
    <s v="Alpha Corp"/>
    <s v="W27"/>
    <x v="2"/>
    <s v="BlueDart"/>
    <s v="Cape Town-Mumbai"/>
    <n v="2668"/>
    <n v="142"/>
    <n v="13"/>
    <n v="910.99"/>
    <n v="137.4"/>
    <n v="1048.3900000000001"/>
    <x v="1"/>
    <n v="0"/>
    <n v="75.069999999999993"/>
    <n v="407"/>
    <n v="378"/>
  </r>
  <r>
    <x v="746"/>
    <s v="C8415"/>
    <d v="2022-04-18T00:00:00"/>
    <d v="2021-08-31T00:00:00"/>
    <x v="1"/>
    <s v="South America"/>
    <s v="Brazil"/>
    <s v="Mumbai"/>
    <s v="P76450"/>
    <s v="Apparel"/>
    <s v="Chair"/>
    <s v="Product_6935"/>
    <n v="431.66"/>
    <n v="91"/>
    <s v="S892"/>
    <s v="Beta Ltd"/>
    <s v="W16"/>
    <x v="2"/>
    <s v="Maersk"/>
    <s v="Cape Town-London"/>
    <n v="4277"/>
    <n v="461"/>
    <n v="15"/>
    <n v="1548.87"/>
    <n v="363.11"/>
    <n v="1911.98"/>
    <x v="1"/>
    <n v="0"/>
    <n v="84.44"/>
    <n v="442"/>
    <n v="426"/>
  </r>
  <r>
    <x v="747"/>
    <s v="C3712"/>
    <d v="2021-11-29T00:00:00"/>
    <d v="2021-09-15T00:00:00"/>
    <x v="2"/>
    <s v="North America"/>
    <s v="Brazil"/>
    <s v="London"/>
    <s v="P15095"/>
    <s v="Furniture"/>
    <s v="Chair"/>
    <s v="Product_9726"/>
    <n v="368.67"/>
    <n v="49"/>
    <s v="S377"/>
    <s v="Epsilon LLC"/>
    <s v="W19"/>
    <x v="0"/>
    <s v="BlueDart"/>
    <s v="São Paulo-New York"/>
    <n v="2691"/>
    <n v="74"/>
    <n v="4"/>
    <n v="566.82000000000005"/>
    <n v="369.7"/>
    <n v="936.52"/>
    <x v="1"/>
    <n v="0"/>
    <n v="97.16"/>
    <n v="459"/>
    <n v="489"/>
  </r>
  <r>
    <x v="748"/>
    <s v="C9254"/>
    <d v="2022-03-26T00:00:00"/>
    <d v="2022-08-16T00:00:00"/>
    <x v="2"/>
    <s v="Africa"/>
    <s v="UK"/>
    <s v="São Paulo"/>
    <s v="P35383"/>
    <s v="Food"/>
    <s v="Chair"/>
    <s v="Product_8143"/>
    <n v="412.17"/>
    <n v="81"/>
    <s v="S838"/>
    <s v="Beta Ltd"/>
    <s v="W43"/>
    <x v="2"/>
    <s v="BlueDart"/>
    <s v="Beijing-Mumbai"/>
    <n v="2668"/>
    <n v="341"/>
    <n v="16"/>
    <n v="756.15"/>
    <n v="469.87"/>
    <n v="1226.02"/>
    <x v="1"/>
    <n v="0"/>
    <n v="77.489999999999995"/>
    <n v="308"/>
    <n v="283"/>
  </r>
  <r>
    <x v="749"/>
    <s v="C9139"/>
    <d v="2024-06-11T00:00:00"/>
    <d v="2021-05-05T00:00:00"/>
    <x v="2"/>
    <s v="South America"/>
    <s v="South Africa"/>
    <s v="Mumbai"/>
    <s v="P47668"/>
    <s v="Apparel"/>
    <s v="Medicines"/>
    <s v="Product_1287"/>
    <n v="26.47"/>
    <n v="56"/>
    <s v="S979"/>
    <s v="Delta Traders"/>
    <s v="W44"/>
    <x v="2"/>
    <s v="UPS"/>
    <s v="Beijing-Beijing"/>
    <n v="1915"/>
    <n v="466"/>
    <n v="2"/>
    <n v="272.56"/>
    <n v="309.7"/>
    <n v="582.26"/>
    <x v="1"/>
    <n v="0"/>
    <n v="79.75"/>
    <n v="453"/>
    <n v="443"/>
  </r>
  <r>
    <x v="750"/>
    <s v="C5029"/>
    <d v="2024-09-18T00:00:00"/>
    <d v="2023-05-01T00:00:00"/>
    <x v="1"/>
    <s v="Asia"/>
    <s v="South Africa"/>
    <s v="Mumbai"/>
    <s v="P38088"/>
    <s v="Apparel"/>
    <s v="Chair"/>
    <s v="Product_3801"/>
    <n v="368.36"/>
    <n v="70"/>
    <s v="S960"/>
    <s v="Epsilon LLC"/>
    <s v="W34"/>
    <x v="3"/>
    <s v="UPS"/>
    <s v="London-New York"/>
    <n v="1577"/>
    <n v="61"/>
    <n v="12"/>
    <n v="797.96"/>
    <n v="35.03"/>
    <n v="832.99"/>
    <x v="1"/>
    <n v="0"/>
    <n v="77.069999999999993"/>
    <n v="97"/>
    <n v="120"/>
  </r>
  <r>
    <x v="751"/>
    <s v="C1414"/>
    <d v="2024-01-08T00:00:00"/>
    <d v="2024-01-01T00:00:00"/>
    <x v="1"/>
    <s v="Asia"/>
    <s v="UK"/>
    <s v="Toronto"/>
    <s v="P46221"/>
    <s v="Furniture"/>
    <s v="Laptop"/>
    <s v="Product_7899"/>
    <n v="387.21"/>
    <n v="74"/>
    <s v="S528"/>
    <s v="Gamma Inc"/>
    <s v="W25"/>
    <x v="3"/>
    <s v="DHL"/>
    <s v="São Paulo-Mumbai"/>
    <n v="4182"/>
    <n v="166"/>
    <n v="24"/>
    <n v="361.64"/>
    <n v="140.94"/>
    <n v="502.58"/>
    <x v="1"/>
    <n v="0"/>
    <n v="70.56"/>
    <n v="232"/>
    <n v="188"/>
  </r>
  <r>
    <x v="752"/>
    <s v="C7883"/>
    <d v="2022-03-13T00:00:00"/>
    <d v="2021-03-10T00:00:00"/>
    <x v="2"/>
    <s v="North America"/>
    <s v="UK"/>
    <s v="Cape Town"/>
    <s v="P35151"/>
    <s v="Apparel"/>
    <s v="Shirt"/>
    <s v="Product_4929"/>
    <n v="200.29"/>
    <n v="36"/>
    <s v="S153"/>
    <s v="Epsilon LLC"/>
    <s v="W40"/>
    <x v="3"/>
    <s v="BlueDart"/>
    <s v="Toronto-São Paulo"/>
    <n v="3758"/>
    <n v="335"/>
    <n v="29"/>
    <n v="810.91"/>
    <n v="269.94"/>
    <n v="1080.8499999999999"/>
    <x v="0"/>
    <n v="1"/>
    <n v="98.38"/>
    <n v="321"/>
    <n v="292"/>
  </r>
  <r>
    <x v="753"/>
    <s v="C9621"/>
    <d v="2021-12-28T00:00:00"/>
    <d v="2021-01-29T00:00:00"/>
    <x v="2"/>
    <s v="Europe"/>
    <s v="India"/>
    <s v="Beijing"/>
    <s v="P99962"/>
    <s v="Pharma"/>
    <s v="Medicines"/>
    <s v="Product_1457"/>
    <n v="120.06"/>
    <n v="1"/>
    <s v="S876"/>
    <s v="Alpha Corp"/>
    <s v="W48"/>
    <x v="1"/>
    <s v="FedEx"/>
    <s v="Berlin-Beijing"/>
    <n v="231"/>
    <n v="238"/>
    <n v="4"/>
    <n v="1761.25"/>
    <n v="484.39"/>
    <n v="2245.64"/>
    <x v="1"/>
    <n v="0"/>
    <n v="84.67"/>
    <n v="244"/>
    <n v="198"/>
  </r>
  <r>
    <x v="754"/>
    <s v="C2076"/>
    <d v="2024-08-11T00:00:00"/>
    <d v="2024-03-06T00:00:00"/>
    <x v="1"/>
    <s v="South America"/>
    <s v="Germany"/>
    <s v="Toronto"/>
    <s v="P28093"/>
    <s v="Pharma"/>
    <s v="Snacks"/>
    <s v="Product_6711"/>
    <n v="435.99"/>
    <n v="14"/>
    <s v="S275"/>
    <s v="Beta Ltd"/>
    <s v="W13"/>
    <x v="0"/>
    <s v="UPS"/>
    <s v="Cape Town-Mumbai"/>
    <n v="2081"/>
    <n v="345"/>
    <n v="21"/>
    <n v="1361.09"/>
    <n v="484.04"/>
    <n v="1845.13"/>
    <x v="1"/>
    <n v="0"/>
    <n v="97.57"/>
    <n v="480"/>
    <n v="497"/>
  </r>
  <r>
    <x v="755"/>
    <s v="C6667"/>
    <d v="2022-10-26T00:00:00"/>
    <d v="2022-06-11T00:00:00"/>
    <x v="1"/>
    <s v="Asia"/>
    <s v="China"/>
    <s v="São Paulo"/>
    <s v="P60605"/>
    <s v="Food"/>
    <s v="Laptop"/>
    <s v="Product_6493"/>
    <n v="386.09"/>
    <n v="29"/>
    <s v="S841"/>
    <s v="Epsilon LLC"/>
    <s v="W46"/>
    <x v="3"/>
    <s v="DHL"/>
    <s v="New York-Toronto"/>
    <n v="4389"/>
    <n v="451"/>
    <n v="29"/>
    <n v="1645.62"/>
    <n v="377.39"/>
    <n v="2023.01"/>
    <x v="0"/>
    <n v="8"/>
    <n v="88.66"/>
    <n v="193"/>
    <n v="167"/>
  </r>
  <r>
    <x v="756"/>
    <s v="C5062"/>
    <d v="2022-12-26T00:00:00"/>
    <d v="2022-01-28T00:00:00"/>
    <x v="2"/>
    <s v="Europe"/>
    <s v="Germany"/>
    <s v="Berlin"/>
    <s v="P61624"/>
    <s v="Apparel"/>
    <s v="Chair"/>
    <s v="Product_9595"/>
    <n v="447.45"/>
    <n v="92"/>
    <s v="S365"/>
    <s v="Alpha Corp"/>
    <s v="W26"/>
    <x v="0"/>
    <s v="FedEx"/>
    <s v="Beijing-London"/>
    <n v="2022"/>
    <n v="199"/>
    <n v="23"/>
    <n v="525.09"/>
    <n v="433.98"/>
    <n v="959.07"/>
    <x v="1"/>
    <n v="0"/>
    <n v="71.09"/>
    <n v="52"/>
    <n v="55"/>
  </r>
  <r>
    <x v="757"/>
    <s v="C6032"/>
    <d v="2022-05-25T00:00:00"/>
    <d v="2021-11-06T00:00:00"/>
    <x v="2"/>
    <s v="Africa"/>
    <s v="Brazil"/>
    <s v="Beijing"/>
    <s v="P61362"/>
    <s v="Apparel"/>
    <s v="Medicines"/>
    <s v="Product_5792"/>
    <n v="220.32"/>
    <n v="67"/>
    <s v="S869"/>
    <s v="Alpha Corp"/>
    <s v="W6"/>
    <x v="3"/>
    <s v="DHL"/>
    <s v="London-Toronto"/>
    <n v="457"/>
    <n v="296"/>
    <n v="2"/>
    <n v="434.43"/>
    <n v="14.08"/>
    <n v="448.51"/>
    <x v="1"/>
    <n v="0"/>
    <n v="99.5"/>
    <n v="213"/>
    <n v="211"/>
  </r>
  <r>
    <x v="758"/>
    <s v="C8166"/>
    <d v="2024-03-26T00:00:00"/>
    <d v="2023-03-08T00:00:00"/>
    <x v="2"/>
    <s v="North America"/>
    <s v="China"/>
    <s v="Toronto"/>
    <s v="P38032"/>
    <s v="Electronics"/>
    <s v="Shirt"/>
    <s v="Product_8983"/>
    <n v="35.69"/>
    <n v="45"/>
    <s v="S954"/>
    <s v="Beta Ltd"/>
    <s v="W10"/>
    <x v="3"/>
    <s v="Maersk"/>
    <s v="Toronto-Beijing"/>
    <n v="271"/>
    <n v="343"/>
    <n v="23"/>
    <n v="876.65"/>
    <n v="186.29"/>
    <n v="1062.94"/>
    <x v="1"/>
    <n v="0"/>
    <n v="89.21"/>
    <n v="160"/>
    <n v="158"/>
  </r>
  <r>
    <x v="759"/>
    <s v="C5428"/>
    <d v="2023-12-23T00:00:00"/>
    <d v="2023-03-01T00:00:00"/>
    <x v="1"/>
    <s v="North America"/>
    <s v="Canada"/>
    <s v="Cape Town"/>
    <s v="P94289"/>
    <s v="Food"/>
    <s v="Medicines"/>
    <s v="Product_7029"/>
    <n v="38.5"/>
    <n v="28"/>
    <s v="S436"/>
    <s v="Epsilon LLC"/>
    <s v="W21"/>
    <x v="1"/>
    <s v="Maersk"/>
    <s v="London-New York"/>
    <n v="217"/>
    <n v="219"/>
    <n v="10"/>
    <n v="426.28"/>
    <n v="116.32"/>
    <n v="542.59999999999991"/>
    <x v="1"/>
    <n v="0"/>
    <n v="73.83"/>
    <n v="79"/>
    <n v="90"/>
  </r>
  <r>
    <x v="760"/>
    <s v="C2124"/>
    <d v="2023-10-08T00:00:00"/>
    <d v="2023-02-22T00:00:00"/>
    <x v="2"/>
    <s v="North America"/>
    <s v="USA"/>
    <s v="New York"/>
    <s v="P30233"/>
    <s v="Electronics"/>
    <s v="Shirt"/>
    <s v="Product_3067"/>
    <n v="325.98"/>
    <n v="37"/>
    <s v="S895"/>
    <s v="Gamma Inc"/>
    <s v="W26"/>
    <x v="1"/>
    <s v="FedEx"/>
    <s v="Cape Town-Toronto"/>
    <n v="2856"/>
    <n v="408"/>
    <n v="29"/>
    <n v="1998.97"/>
    <n v="135.30000000000001"/>
    <n v="2134.27"/>
    <x v="1"/>
    <n v="0"/>
    <n v="86.1"/>
    <n v="144"/>
    <n v="149"/>
  </r>
  <r>
    <x v="761"/>
    <s v="C7940"/>
    <d v="2020-06-10T00:00:00"/>
    <d v="2020-09-29T00:00:00"/>
    <x v="2"/>
    <s v="Africa"/>
    <s v="China"/>
    <s v="Mumbai"/>
    <s v="P12156"/>
    <s v="Furniture"/>
    <s v="Laptop"/>
    <s v="Product_6088"/>
    <n v="35.46"/>
    <n v="70"/>
    <s v="S775"/>
    <s v="Gamma Inc"/>
    <s v="W29"/>
    <x v="0"/>
    <s v="FedEx"/>
    <s v="Toronto-Berlin"/>
    <n v="3075"/>
    <n v="251"/>
    <n v="9"/>
    <n v="1401.76"/>
    <n v="149.66999999999999"/>
    <n v="1551.43"/>
    <x v="1"/>
    <n v="0"/>
    <n v="94.7"/>
    <n v="497"/>
    <n v="478"/>
  </r>
  <r>
    <x v="762"/>
    <s v="C2229"/>
    <d v="2022-01-04T00:00:00"/>
    <d v="2024-07-03T00:00:00"/>
    <x v="2"/>
    <s v="Europe"/>
    <s v="South Africa"/>
    <s v="Berlin"/>
    <s v="P94377"/>
    <s v="Food"/>
    <s v="Snacks"/>
    <s v="Product_6887"/>
    <n v="179.02"/>
    <n v="79"/>
    <s v="S534"/>
    <s v="Alpha Corp"/>
    <s v="W47"/>
    <x v="2"/>
    <s v="Maersk"/>
    <s v="Cape Town-Toronto"/>
    <n v="1114"/>
    <n v="483"/>
    <n v="18"/>
    <n v="1582.49"/>
    <n v="319.60000000000002"/>
    <n v="1902.09"/>
    <x v="1"/>
    <n v="0"/>
    <n v="87.52"/>
    <n v="421"/>
    <n v="438"/>
  </r>
  <r>
    <x v="763"/>
    <s v="C2768"/>
    <d v="2023-04-26T00:00:00"/>
    <d v="2021-10-02T00:00:00"/>
    <x v="2"/>
    <s v="Asia"/>
    <s v="Canada"/>
    <s v="Berlin"/>
    <s v="P31365"/>
    <s v="Food"/>
    <s v="Snacks"/>
    <s v="Product_7672"/>
    <n v="374.12"/>
    <n v="7"/>
    <s v="S242"/>
    <s v="Alpha Corp"/>
    <s v="W11"/>
    <x v="2"/>
    <s v="FedEx"/>
    <s v="Beijing-Cape Town"/>
    <n v="442"/>
    <n v="330"/>
    <n v="18"/>
    <n v="237.65"/>
    <n v="431.92"/>
    <n v="669.57"/>
    <x v="1"/>
    <n v="0"/>
    <n v="70.61"/>
    <n v="170"/>
    <n v="157"/>
  </r>
  <r>
    <x v="764"/>
    <s v="C4895"/>
    <d v="2021-07-19T00:00:00"/>
    <d v="2023-05-29T00:00:00"/>
    <x v="2"/>
    <s v="Africa"/>
    <s v="Brazil"/>
    <s v="Beijing"/>
    <s v="P32369"/>
    <s v="Electronics"/>
    <s v="Medicines"/>
    <s v="Product_1094"/>
    <n v="479.41"/>
    <n v="50"/>
    <s v="S632"/>
    <s v="Gamma Inc"/>
    <s v="W9"/>
    <x v="1"/>
    <s v="DHL"/>
    <s v="Berlin-London"/>
    <n v="2164"/>
    <n v="140"/>
    <n v="7"/>
    <n v="1064.1600000000001"/>
    <n v="269.77"/>
    <n v="1333.93"/>
    <x v="1"/>
    <n v="0"/>
    <n v="81.569999999999993"/>
    <n v="363"/>
    <n v="363"/>
  </r>
  <r>
    <x v="765"/>
    <s v="C9844"/>
    <d v="2022-08-27T00:00:00"/>
    <d v="2020-10-23T00:00:00"/>
    <x v="2"/>
    <s v="Asia"/>
    <s v="Canada"/>
    <s v="Beijing"/>
    <s v="P95646"/>
    <s v="Electronics"/>
    <s v="Snacks"/>
    <s v="Product_7299"/>
    <n v="414.13"/>
    <n v="6"/>
    <s v="S765"/>
    <s v="Gamma Inc"/>
    <s v="W20"/>
    <x v="0"/>
    <s v="Maersk"/>
    <s v="Berlin-New York"/>
    <n v="1650"/>
    <n v="457"/>
    <n v="14"/>
    <n v="142.9"/>
    <n v="165.67"/>
    <n v="308.57"/>
    <x v="1"/>
    <n v="0"/>
    <n v="73.95"/>
    <n v="411"/>
    <n v="391"/>
  </r>
  <r>
    <x v="766"/>
    <s v="C8983"/>
    <d v="2023-12-21T00:00:00"/>
    <d v="2021-07-09T00:00:00"/>
    <x v="2"/>
    <s v="Africa"/>
    <s v="Germany"/>
    <s v="Beijing"/>
    <s v="P85574"/>
    <s v="Food"/>
    <s v="Medicines"/>
    <s v="Product_3495"/>
    <n v="219.07"/>
    <n v="10"/>
    <s v="S197"/>
    <s v="Delta Traders"/>
    <s v="W11"/>
    <x v="3"/>
    <s v="FedEx"/>
    <s v="Cape Town-Toronto"/>
    <n v="698"/>
    <n v="355"/>
    <n v="16"/>
    <n v="1060.48"/>
    <n v="280.38"/>
    <n v="1340.86"/>
    <x v="0"/>
    <n v="5"/>
    <n v="83.26"/>
    <n v="365"/>
    <n v="329"/>
  </r>
  <r>
    <x v="767"/>
    <s v="C9587"/>
    <d v="2024-10-23T00:00:00"/>
    <d v="2024-04-24T00:00:00"/>
    <x v="0"/>
    <s v="Africa"/>
    <s v="Germany"/>
    <s v="Mumbai"/>
    <s v="P71638"/>
    <s v="Apparel"/>
    <s v="Shirt"/>
    <s v="Product_3939"/>
    <n v="118.62"/>
    <n v="88"/>
    <s v="S374"/>
    <s v="Beta Ltd"/>
    <s v="W44"/>
    <x v="3"/>
    <s v="FedEx"/>
    <s v="Cape Town-Cape Town"/>
    <n v="2414"/>
    <n v="479"/>
    <n v="1"/>
    <n v="790.7"/>
    <n v="345.76"/>
    <n v="1136.46"/>
    <x v="1"/>
    <n v="0"/>
    <n v="86.81"/>
    <n v="238"/>
    <n v="217"/>
  </r>
  <r>
    <x v="768"/>
    <s v="C2447"/>
    <d v="2022-09-14T00:00:00"/>
    <d v="2023-02-20T00:00:00"/>
    <x v="2"/>
    <s v="Europe"/>
    <s v="India"/>
    <s v="Toronto"/>
    <s v="P62353"/>
    <s v="Food"/>
    <s v="Medicines"/>
    <s v="Product_6808"/>
    <n v="299.63"/>
    <n v="26"/>
    <s v="S270"/>
    <s v="Delta Traders"/>
    <s v="W37"/>
    <x v="1"/>
    <s v="FedEx"/>
    <s v="London-London"/>
    <n v="368"/>
    <n v="427"/>
    <n v="1"/>
    <n v="1714.32"/>
    <n v="355.99"/>
    <n v="2070.31"/>
    <x v="1"/>
    <n v="0"/>
    <n v="75.260000000000005"/>
    <n v="159"/>
    <n v="191"/>
  </r>
  <r>
    <x v="769"/>
    <s v="C1690"/>
    <d v="2020-05-21T00:00:00"/>
    <d v="2020-02-14T00:00:00"/>
    <x v="0"/>
    <s v="South America"/>
    <s v="UK"/>
    <s v="Beijing"/>
    <s v="P94991"/>
    <s v="Apparel"/>
    <s v="Laptop"/>
    <s v="Product_1851"/>
    <n v="325.52999999999997"/>
    <n v="57"/>
    <s v="S339"/>
    <s v="Alpha Corp"/>
    <s v="W1"/>
    <x v="3"/>
    <s v="FedEx"/>
    <s v="Toronto-Berlin"/>
    <n v="3091"/>
    <n v="171"/>
    <n v="25"/>
    <n v="1530.3"/>
    <n v="430.9"/>
    <n v="1961.2"/>
    <x v="0"/>
    <n v="12"/>
    <n v="93.64"/>
    <n v="162"/>
    <n v="190"/>
  </r>
  <r>
    <x v="770"/>
    <s v="C5797"/>
    <d v="2022-03-28T00:00:00"/>
    <d v="2020-11-12T00:00:00"/>
    <x v="1"/>
    <s v="Africa"/>
    <s v="China"/>
    <s v="Toronto"/>
    <s v="P81021"/>
    <s v="Electronics"/>
    <s v="Shirt"/>
    <s v="Product_9138"/>
    <n v="384"/>
    <n v="12"/>
    <s v="S294"/>
    <s v="Beta Ltd"/>
    <s v="W42"/>
    <x v="2"/>
    <s v="Maersk"/>
    <s v="São Paulo-New York"/>
    <n v="4591"/>
    <n v="144"/>
    <n v="28"/>
    <n v="653.53"/>
    <n v="446.68"/>
    <n v="1100.21"/>
    <x v="0"/>
    <n v="12"/>
    <n v="81.23"/>
    <n v="305"/>
    <n v="319"/>
  </r>
  <r>
    <x v="771"/>
    <s v="C6416"/>
    <d v="2022-09-01T00:00:00"/>
    <d v="2021-03-07T00:00:00"/>
    <x v="2"/>
    <s v="Africa"/>
    <s v="Germany"/>
    <s v="Cape Town"/>
    <s v="P71708"/>
    <s v="Pharma"/>
    <s v="Shirt"/>
    <s v="Product_8143"/>
    <n v="497.26"/>
    <n v="9"/>
    <s v="S682"/>
    <s v="Epsilon LLC"/>
    <s v="W29"/>
    <x v="3"/>
    <s v="BlueDart"/>
    <s v="Mumbai-Berlin"/>
    <n v="3995"/>
    <n v="125"/>
    <n v="1"/>
    <n v="1920.91"/>
    <n v="143.01"/>
    <n v="2063.92"/>
    <x v="1"/>
    <n v="0"/>
    <n v="92.53"/>
    <n v="110"/>
    <n v="86"/>
  </r>
  <r>
    <x v="772"/>
    <s v="C1313"/>
    <d v="2020-01-17T00:00:00"/>
    <d v="2022-09-18T00:00:00"/>
    <x v="2"/>
    <s v="South America"/>
    <s v="Canada"/>
    <s v="New York"/>
    <s v="P26228"/>
    <s v="Electronics"/>
    <s v="Snacks"/>
    <s v="Product_7391"/>
    <n v="180.25"/>
    <n v="68"/>
    <s v="S765"/>
    <s v="Epsilon LLC"/>
    <s v="W37"/>
    <x v="0"/>
    <s v="BlueDart"/>
    <s v="Cape Town-Mumbai"/>
    <n v="2721"/>
    <n v="349"/>
    <n v="22"/>
    <n v="1633.8"/>
    <n v="280.23"/>
    <n v="1914.03"/>
    <x v="1"/>
    <n v="0"/>
    <n v="98.82"/>
    <n v="124"/>
    <n v="91"/>
  </r>
  <r>
    <x v="773"/>
    <s v="C2706"/>
    <d v="2023-03-08T00:00:00"/>
    <d v="2023-04-16T00:00:00"/>
    <x v="2"/>
    <s v="South America"/>
    <s v="USA"/>
    <s v="Berlin"/>
    <s v="P90278"/>
    <s v="Pharma"/>
    <s v="Snacks"/>
    <s v="Product_2497"/>
    <n v="12.72"/>
    <n v="61"/>
    <s v="S355"/>
    <s v="Delta Traders"/>
    <s v="W38"/>
    <x v="2"/>
    <s v="BlueDart"/>
    <s v="Berlin-London"/>
    <n v="2182"/>
    <n v="121"/>
    <n v="22"/>
    <n v="1837.49"/>
    <n v="307.20999999999998"/>
    <n v="2144.6999999999998"/>
    <x v="1"/>
    <n v="0"/>
    <n v="89.68"/>
    <n v="165"/>
    <n v="158"/>
  </r>
  <r>
    <x v="774"/>
    <s v="C1703"/>
    <d v="2023-06-10T00:00:00"/>
    <d v="2023-12-05T00:00:00"/>
    <x v="2"/>
    <s v="Europe"/>
    <s v="China"/>
    <s v="Beijing"/>
    <s v="P71180"/>
    <s v="Pharma"/>
    <s v="Shirt"/>
    <s v="Product_1388"/>
    <n v="10.78"/>
    <n v="28"/>
    <s v="S627"/>
    <s v="Alpha Corp"/>
    <s v="W35"/>
    <x v="0"/>
    <s v="DHL"/>
    <s v="Mumbai-London"/>
    <n v="3651"/>
    <n v="447"/>
    <n v="21"/>
    <n v="344.9"/>
    <n v="106.86"/>
    <n v="451.76"/>
    <x v="1"/>
    <n v="0"/>
    <n v="84"/>
    <n v="247"/>
    <n v="288"/>
  </r>
  <r>
    <x v="775"/>
    <s v="C6260"/>
    <d v="2023-02-08T00:00:00"/>
    <d v="2021-07-11T00:00:00"/>
    <x v="2"/>
    <s v="Asia"/>
    <s v="UK"/>
    <s v="Beijing"/>
    <s v="P48113"/>
    <s v="Furniture"/>
    <s v="Medicines"/>
    <s v="Product_4588"/>
    <n v="64.150000000000006"/>
    <n v="53"/>
    <s v="S980"/>
    <s v="Alpha Corp"/>
    <s v="W7"/>
    <x v="3"/>
    <s v="UPS"/>
    <s v="São Paulo-New York"/>
    <n v="3264"/>
    <n v="383"/>
    <n v="2"/>
    <n v="1021.61"/>
    <n v="126.53"/>
    <n v="1148.1400000000001"/>
    <x v="0"/>
    <n v="14"/>
    <n v="73.41"/>
    <n v="481"/>
    <n v="486"/>
  </r>
  <r>
    <x v="776"/>
    <s v="C4240"/>
    <d v="2024-09-26T00:00:00"/>
    <d v="2023-01-15T00:00:00"/>
    <x v="2"/>
    <s v="North America"/>
    <s v="India"/>
    <s v="Berlin"/>
    <s v="P25005"/>
    <s v="Food"/>
    <s v="Medicines"/>
    <s v="Product_5108"/>
    <n v="232.6"/>
    <n v="95"/>
    <s v="S641"/>
    <s v="Beta Ltd"/>
    <s v="W24"/>
    <x v="1"/>
    <s v="DHL"/>
    <s v="Toronto-Beijing"/>
    <n v="2453"/>
    <n v="262"/>
    <n v="13"/>
    <n v="1984.6"/>
    <n v="74.67"/>
    <n v="2059.27"/>
    <x v="1"/>
    <n v="0"/>
    <n v="75.099999999999994"/>
    <n v="465"/>
    <n v="434"/>
  </r>
  <r>
    <x v="777"/>
    <s v="C5608"/>
    <d v="2022-11-27T00:00:00"/>
    <d v="2022-02-09T00:00:00"/>
    <x v="1"/>
    <s v="South America"/>
    <s v="Brazil"/>
    <s v="Mumbai"/>
    <s v="P74370"/>
    <s v="Food"/>
    <s v="Medicines"/>
    <s v="Product_3786"/>
    <n v="58.47"/>
    <n v="24"/>
    <s v="S214"/>
    <s v="Gamma Inc"/>
    <s v="W37"/>
    <x v="0"/>
    <s v="DHL"/>
    <s v="Berlin-London"/>
    <n v="2763"/>
    <n v="66"/>
    <n v="9"/>
    <n v="1234.31"/>
    <n v="93.47"/>
    <n v="1327.78"/>
    <x v="1"/>
    <n v="0"/>
    <n v="99.38"/>
    <n v="485"/>
    <n v="503"/>
  </r>
  <r>
    <x v="778"/>
    <s v="C7900"/>
    <d v="2024-02-17T00:00:00"/>
    <d v="2020-06-14T00:00:00"/>
    <x v="1"/>
    <s v="South America"/>
    <s v="Germany"/>
    <s v="New York"/>
    <s v="P79103"/>
    <s v="Apparel"/>
    <s v="Shirt"/>
    <s v="Product_9948"/>
    <n v="95.78"/>
    <n v="24"/>
    <s v="S496"/>
    <s v="Delta Traders"/>
    <s v="W26"/>
    <x v="0"/>
    <s v="UPS"/>
    <s v="Berlin-São Paulo"/>
    <n v="641"/>
    <n v="292"/>
    <n v="26"/>
    <n v="970.53"/>
    <n v="144.61000000000001"/>
    <n v="1115.1400000000001"/>
    <x v="1"/>
    <n v="0"/>
    <n v="91.36"/>
    <n v="264"/>
    <n v="248"/>
  </r>
  <r>
    <x v="779"/>
    <s v="C4456"/>
    <d v="2022-01-18T00:00:00"/>
    <d v="2022-09-22T00:00:00"/>
    <x v="2"/>
    <s v="North America"/>
    <s v="Brazil"/>
    <s v="Beijing"/>
    <s v="P52769"/>
    <s v="Pharma"/>
    <s v="Shirt"/>
    <s v="Product_3573"/>
    <n v="453.78"/>
    <n v="75"/>
    <s v="S194"/>
    <s v="Epsilon LLC"/>
    <s v="W12"/>
    <x v="1"/>
    <s v="Maersk"/>
    <s v="São Paulo-Toronto"/>
    <n v="4113"/>
    <n v="194"/>
    <n v="2"/>
    <n v="1456.29"/>
    <n v="83.03"/>
    <n v="1539.32"/>
    <x v="1"/>
    <n v="0"/>
    <n v="91.4"/>
    <n v="400"/>
    <n v="423"/>
  </r>
  <r>
    <x v="780"/>
    <s v="C1359"/>
    <d v="2022-08-20T00:00:00"/>
    <d v="2022-10-03T00:00:00"/>
    <x v="1"/>
    <s v="Europe"/>
    <s v="USA"/>
    <s v="Toronto"/>
    <s v="P69940"/>
    <s v="Pharma"/>
    <s v="Chair"/>
    <s v="Product_6320"/>
    <n v="432.89"/>
    <n v="94"/>
    <s v="S692"/>
    <s v="Alpha Corp"/>
    <s v="W16"/>
    <x v="2"/>
    <s v="Maersk"/>
    <s v="Beijing-Toronto"/>
    <n v="4856"/>
    <n v="307"/>
    <n v="5"/>
    <n v="1693.95"/>
    <n v="78.17"/>
    <n v="1772.12"/>
    <x v="1"/>
    <n v="0"/>
    <n v="78.84"/>
    <n v="328"/>
    <n v="323"/>
  </r>
  <r>
    <x v="781"/>
    <s v="C9881"/>
    <d v="2024-12-19T00:00:00"/>
    <d v="2022-05-08T00:00:00"/>
    <x v="2"/>
    <s v="Asia"/>
    <s v="Germany"/>
    <s v="New York"/>
    <s v="P91243"/>
    <s v="Apparel"/>
    <s v="Snacks"/>
    <s v="Product_1076"/>
    <n v="145.74"/>
    <n v="16"/>
    <s v="S731"/>
    <s v="Alpha Corp"/>
    <s v="W11"/>
    <x v="2"/>
    <s v="UPS"/>
    <s v="London-Berlin"/>
    <n v="540"/>
    <n v="257"/>
    <n v="13"/>
    <n v="1460.11"/>
    <n v="136.22999999999999"/>
    <n v="1596.34"/>
    <x v="1"/>
    <n v="0"/>
    <n v="95.04"/>
    <n v="437"/>
    <n v="455"/>
  </r>
  <r>
    <x v="782"/>
    <s v="C2104"/>
    <d v="2023-05-15T00:00:00"/>
    <d v="2024-09-16T00:00:00"/>
    <x v="2"/>
    <s v="North America"/>
    <s v="South Africa"/>
    <s v="Toronto"/>
    <s v="P36480"/>
    <s v="Food"/>
    <s v="Snacks"/>
    <s v="Product_6574"/>
    <n v="197.37"/>
    <n v="33"/>
    <s v="S126"/>
    <s v="Beta Ltd"/>
    <s v="W10"/>
    <x v="1"/>
    <s v="BlueDart"/>
    <s v="Beijing-Mumbai"/>
    <n v="4597"/>
    <n v="52"/>
    <n v="11"/>
    <n v="562.11"/>
    <n v="290.64999999999998"/>
    <n v="852.76"/>
    <x v="1"/>
    <n v="0"/>
    <n v="70.13"/>
    <n v="394"/>
    <n v="424"/>
  </r>
  <r>
    <x v="783"/>
    <s v="C8687"/>
    <d v="2020-03-07T00:00:00"/>
    <d v="2024-09-22T00:00:00"/>
    <x v="2"/>
    <s v="Asia"/>
    <s v="China"/>
    <s v="Berlin"/>
    <s v="P18969"/>
    <s v="Pharma"/>
    <s v="Snacks"/>
    <s v="Product_2999"/>
    <n v="395.29"/>
    <n v="95"/>
    <s v="S343"/>
    <s v="Epsilon LLC"/>
    <s v="W47"/>
    <x v="3"/>
    <s v="FedEx"/>
    <s v="Mumbai-São Paulo"/>
    <n v="2744"/>
    <n v="61"/>
    <n v="7"/>
    <n v="1232.26"/>
    <n v="104.36"/>
    <n v="1336.62"/>
    <x v="1"/>
    <n v="0"/>
    <n v="90.73"/>
    <n v="377"/>
    <n v="389"/>
  </r>
  <r>
    <x v="784"/>
    <s v="C2237"/>
    <d v="2023-02-15T00:00:00"/>
    <d v="2022-11-21T00:00:00"/>
    <x v="1"/>
    <s v="North America"/>
    <s v="Germany"/>
    <s v="Mumbai"/>
    <s v="P37660"/>
    <s v="Food"/>
    <s v="Chair"/>
    <s v="Product_5667"/>
    <n v="274.45"/>
    <n v="12"/>
    <s v="S826"/>
    <s v="Gamma Inc"/>
    <s v="W23"/>
    <x v="0"/>
    <s v="Maersk"/>
    <s v="Berlin-Beijing"/>
    <n v="3766"/>
    <n v="104"/>
    <n v="7"/>
    <n v="81.19"/>
    <n v="104.59"/>
    <n v="185.78"/>
    <x v="1"/>
    <n v="0"/>
    <n v="77.62"/>
    <n v="311"/>
    <n v="318"/>
  </r>
  <r>
    <x v="785"/>
    <s v="C6559"/>
    <d v="2022-11-22T00:00:00"/>
    <d v="2022-07-04T00:00:00"/>
    <x v="2"/>
    <s v="North America"/>
    <s v="Canada"/>
    <s v="Toronto"/>
    <s v="P67872"/>
    <s v="Apparel"/>
    <s v="Chair"/>
    <s v="Product_6839"/>
    <n v="188.62"/>
    <n v="68"/>
    <s v="S515"/>
    <s v="Alpha Corp"/>
    <s v="W32"/>
    <x v="0"/>
    <s v="UPS"/>
    <s v="New York-London"/>
    <n v="4103"/>
    <n v="112"/>
    <n v="13"/>
    <n v="656.27"/>
    <n v="34.56"/>
    <n v="690.82999999999993"/>
    <x v="1"/>
    <n v="0"/>
    <n v="97.78"/>
    <n v="160"/>
    <n v="126"/>
  </r>
  <r>
    <x v="786"/>
    <s v="C9997"/>
    <d v="2020-05-25T00:00:00"/>
    <d v="2024-04-18T00:00:00"/>
    <x v="0"/>
    <s v="Asia"/>
    <s v="Germany"/>
    <s v="Mumbai"/>
    <s v="P10521"/>
    <s v="Furniture"/>
    <s v="Medicines"/>
    <s v="Product_2755"/>
    <n v="489.09"/>
    <n v="46"/>
    <s v="S638"/>
    <s v="Epsilon LLC"/>
    <s v="W30"/>
    <x v="3"/>
    <s v="DHL"/>
    <s v="São Paulo-Beijing"/>
    <n v="4620"/>
    <n v="269"/>
    <n v="21"/>
    <n v="1169.06"/>
    <n v="290.87"/>
    <n v="1459.93"/>
    <x v="0"/>
    <n v="14"/>
    <n v="89.02"/>
    <n v="94"/>
    <n v="142"/>
  </r>
  <r>
    <x v="787"/>
    <s v="C3966"/>
    <d v="2022-03-23T00:00:00"/>
    <d v="2022-02-23T00:00:00"/>
    <x v="2"/>
    <s v="North America"/>
    <s v="South Africa"/>
    <s v="Mumbai"/>
    <s v="P29031"/>
    <s v="Food"/>
    <s v="Snacks"/>
    <s v="Product_4441"/>
    <n v="72.3"/>
    <n v="13"/>
    <s v="S960"/>
    <s v="Alpha Corp"/>
    <s v="W45"/>
    <x v="1"/>
    <s v="UPS"/>
    <s v="Berlin-Mumbai"/>
    <n v="4884"/>
    <n v="138"/>
    <n v="18"/>
    <n v="1033.71"/>
    <n v="408.02"/>
    <n v="1441.73"/>
    <x v="1"/>
    <n v="0"/>
    <n v="97.58"/>
    <n v="224"/>
    <n v="239"/>
  </r>
  <r>
    <x v="788"/>
    <s v="C1505"/>
    <d v="2021-06-11T00:00:00"/>
    <d v="2021-04-13T00:00:00"/>
    <x v="1"/>
    <s v="South America"/>
    <s v="USA"/>
    <s v="London"/>
    <s v="P58798"/>
    <s v="Electronics"/>
    <s v="Medicines"/>
    <s v="Product_5914"/>
    <n v="340.74"/>
    <n v="65"/>
    <s v="S407"/>
    <s v="Gamma Inc"/>
    <s v="W28"/>
    <x v="1"/>
    <s v="BlueDart"/>
    <s v="Berlin-Cape Town"/>
    <n v="1076"/>
    <n v="265"/>
    <n v="22"/>
    <n v="1008.22"/>
    <n v="64.62"/>
    <n v="1072.8399999999999"/>
    <x v="1"/>
    <n v="0"/>
    <n v="71.98"/>
    <n v="91"/>
    <n v="136"/>
  </r>
  <r>
    <x v="789"/>
    <s v="C3132"/>
    <d v="2023-08-14T00:00:00"/>
    <d v="2021-10-05T00:00:00"/>
    <x v="2"/>
    <s v="South America"/>
    <s v="India"/>
    <s v="Toronto"/>
    <s v="P10077"/>
    <s v="Furniture"/>
    <s v="Laptop"/>
    <s v="Product_2926"/>
    <n v="230.23"/>
    <n v="24"/>
    <s v="S587"/>
    <s v="Epsilon LLC"/>
    <s v="W5"/>
    <x v="0"/>
    <s v="DHL"/>
    <s v="Beijing-London"/>
    <n v="2781"/>
    <n v="83"/>
    <n v="24"/>
    <n v="1107.58"/>
    <n v="484.19"/>
    <n v="1591.77"/>
    <x v="1"/>
    <n v="0"/>
    <n v="97.09"/>
    <n v="277"/>
    <n v="276"/>
  </r>
  <r>
    <x v="790"/>
    <s v="C3468"/>
    <d v="2022-06-08T00:00:00"/>
    <d v="2024-07-23T00:00:00"/>
    <x v="2"/>
    <s v="Asia"/>
    <s v="China"/>
    <s v="New York"/>
    <s v="P46617"/>
    <s v="Food"/>
    <s v="Shirt"/>
    <s v="Product_1749"/>
    <n v="457.87"/>
    <n v="36"/>
    <s v="S198"/>
    <s v="Gamma Inc"/>
    <s v="W38"/>
    <x v="2"/>
    <s v="FedEx"/>
    <s v="Cape Town-São Paulo"/>
    <n v="3673"/>
    <n v="247"/>
    <n v="17"/>
    <n v="1308.17"/>
    <n v="451.39"/>
    <n v="1759.56"/>
    <x v="1"/>
    <n v="0"/>
    <n v="94.06"/>
    <n v="415"/>
    <n v="454"/>
  </r>
  <r>
    <x v="791"/>
    <s v="C3158"/>
    <d v="2023-06-24T00:00:00"/>
    <d v="2022-02-21T00:00:00"/>
    <x v="2"/>
    <s v="Europe"/>
    <s v="South Africa"/>
    <s v="São Paulo"/>
    <s v="P15371"/>
    <s v="Pharma"/>
    <s v="Laptop"/>
    <s v="Product_3143"/>
    <n v="208.3"/>
    <n v="38"/>
    <s v="S840"/>
    <s v="Delta Traders"/>
    <s v="W12"/>
    <x v="1"/>
    <s v="DHL"/>
    <s v="London-London"/>
    <n v="1294"/>
    <n v="305"/>
    <n v="13"/>
    <n v="916.27"/>
    <n v="389.4"/>
    <n v="1305.67"/>
    <x v="1"/>
    <n v="0"/>
    <n v="97.95"/>
    <n v="200"/>
    <n v="199"/>
  </r>
  <r>
    <x v="792"/>
    <s v="C1293"/>
    <d v="2022-05-30T00:00:00"/>
    <d v="2023-01-27T00:00:00"/>
    <x v="2"/>
    <s v="Europe"/>
    <s v="China"/>
    <s v="Mumbai"/>
    <s v="P81834"/>
    <s v="Pharma"/>
    <s v="Medicines"/>
    <s v="Product_8712"/>
    <n v="19.11"/>
    <n v="11"/>
    <s v="S136"/>
    <s v="Alpha Corp"/>
    <s v="W26"/>
    <x v="1"/>
    <s v="FedEx"/>
    <s v="Mumbai-Mumbai"/>
    <n v="1299"/>
    <n v="169"/>
    <n v="6"/>
    <n v="464.72"/>
    <n v="211.48"/>
    <n v="676.2"/>
    <x v="1"/>
    <n v="0"/>
    <n v="77.05"/>
    <n v="421"/>
    <n v="393"/>
  </r>
  <r>
    <x v="793"/>
    <s v="C2773"/>
    <d v="2024-11-06T00:00:00"/>
    <d v="2021-05-20T00:00:00"/>
    <x v="0"/>
    <s v="Africa"/>
    <s v="Germany"/>
    <s v="Cape Town"/>
    <s v="P84735"/>
    <s v="Electronics"/>
    <s v="Snacks"/>
    <s v="Product_9712"/>
    <n v="380.6"/>
    <n v="94"/>
    <s v="S611"/>
    <s v="Gamma Inc"/>
    <s v="W44"/>
    <x v="1"/>
    <s v="Maersk"/>
    <s v="New York-New York"/>
    <n v="1766"/>
    <n v="87"/>
    <n v="8"/>
    <n v="1150.4100000000001"/>
    <n v="66.44"/>
    <n v="1216.8499999999999"/>
    <x v="1"/>
    <n v="0"/>
    <n v="96.94"/>
    <n v="400"/>
    <n v="395"/>
  </r>
  <r>
    <x v="794"/>
    <s v="C6191"/>
    <d v="2020-07-10T00:00:00"/>
    <d v="2022-03-04T00:00:00"/>
    <x v="2"/>
    <s v="Europe"/>
    <s v="USA"/>
    <s v="Beijing"/>
    <s v="P72367"/>
    <s v="Furniture"/>
    <s v="Medicines"/>
    <s v="Product_3694"/>
    <n v="196.13"/>
    <n v="96"/>
    <s v="S296"/>
    <s v="Epsilon LLC"/>
    <s v="W35"/>
    <x v="2"/>
    <s v="Maersk"/>
    <s v="Toronto-Berlin"/>
    <n v="4621"/>
    <n v="438"/>
    <n v="4"/>
    <n v="1790.83"/>
    <n v="421.52"/>
    <n v="2212.35"/>
    <x v="1"/>
    <n v="0"/>
    <n v="92.7"/>
    <n v="288"/>
    <n v="239"/>
  </r>
  <r>
    <x v="795"/>
    <s v="C3830"/>
    <d v="2021-10-17T00:00:00"/>
    <d v="2020-12-12T00:00:00"/>
    <x v="2"/>
    <s v="Asia"/>
    <s v="Canada"/>
    <s v="London"/>
    <s v="P43894"/>
    <s v="Furniture"/>
    <s v="Medicines"/>
    <s v="Product_4106"/>
    <n v="425.71"/>
    <n v="71"/>
    <s v="S546"/>
    <s v="Gamma Inc"/>
    <s v="W4"/>
    <x v="2"/>
    <s v="UPS"/>
    <s v="London-Cape Town"/>
    <n v="4964"/>
    <n v="475"/>
    <n v="2"/>
    <n v="1737.1"/>
    <n v="156.82"/>
    <n v="1893.92"/>
    <x v="1"/>
    <n v="0"/>
    <n v="90.07"/>
    <n v="355"/>
    <n v="381"/>
  </r>
  <r>
    <x v="796"/>
    <s v="C4429"/>
    <d v="2023-07-24T00:00:00"/>
    <d v="2024-05-20T00:00:00"/>
    <x v="2"/>
    <s v="North America"/>
    <s v="South Africa"/>
    <s v="Toronto"/>
    <s v="P85123"/>
    <s v="Pharma"/>
    <s v="Shirt"/>
    <s v="Product_1660"/>
    <n v="33.69"/>
    <n v="90"/>
    <s v="S494"/>
    <s v="Delta Traders"/>
    <s v="W21"/>
    <x v="2"/>
    <s v="FedEx"/>
    <s v="Toronto-Cape Town"/>
    <n v="1594"/>
    <n v="375"/>
    <n v="10"/>
    <n v="878.84"/>
    <n v="26.49"/>
    <n v="905.33"/>
    <x v="0"/>
    <n v="4"/>
    <n v="90.74"/>
    <n v="478"/>
    <n v="486"/>
  </r>
  <r>
    <x v="797"/>
    <s v="C4772"/>
    <d v="2022-04-13T00:00:00"/>
    <d v="2024-05-30T00:00:00"/>
    <x v="0"/>
    <s v="North America"/>
    <s v="USA"/>
    <s v="New York"/>
    <s v="P23051"/>
    <s v="Pharma"/>
    <s v="Shirt"/>
    <s v="Product_1694"/>
    <n v="183.66"/>
    <n v="83"/>
    <s v="S844"/>
    <s v="Gamma Inc"/>
    <s v="W32"/>
    <x v="1"/>
    <s v="Maersk"/>
    <s v="Beijing-Beijing"/>
    <n v="4970"/>
    <n v="189"/>
    <n v="23"/>
    <n v="1902.13"/>
    <n v="73.88"/>
    <n v="1976.01"/>
    <x v="1"/>
    <n v="0"/>
    <n v="92.83"/>
    <n v="388"/>
    <n v="361"/>
  </r>
  <r>
    <x v="798"/>
    <s v="C7817"/>
    <d v="2024-11-23T00:00:00"/>
    <d v="2023-04-07T00:00:00"/>
    <x v="1"/>
    <s v="Asia"/>
    <s v="India"/>
    <s v="São Paulo"/>
    <s v="P22569"/>
    <s v="Electronics"/>
    <s v="Shirt"/>
    <s v="Product_3086"/>
    <n v="475.6"/>
    <n v="14"/>
    <s v="S778"/>
    <s v="Epsilon LLC"/>
    <s v="W41"/>
    <x v="1"/>
    <s v="DHL"/>
    <s v="São Paulo-Toronto"/>
    <n v="3153"/>
    <n v="313"/>
    <n v="21"/>
    <n v="1317.73"/>
    <n v="450.21"/>
    <n v="1767.94"/>
    <x v="1"/>
    <n v="0"/>
    <n v="71.37"/>
    <n v="260"/>
    <n v="273"/>
  </r>
  <r>
    <x v="799"/>
    <s v="C3342"/>
    <d v="2020-12-06T00:00:00"/>
    <d v="2024-03-15T00:00:00"/>
    <x v="2"/>
    <s v="South America"/>
    <s v="South Africa"/>
    <s v="São Paulo"/>
    <s v="P42924"/>
    <s v="Apparel"/>
    <s v="Chair"/>
    <s v="Product_3103"/>
    <n v="196.45"/>
    <n v="85"/>
    <s v="S253"/>
    <s v="Delta Traders"/>
    <s v="W8"/>
    <x v="3"/>
    <s v="DHL"/>
    <s v="Toronto-Cape Town"/>
    <n v="2229"/>
    <n v="216"/>
    <n v="24"/>
    <n v="1810.78"/>
    <n v="26.8"/>
    <n v="1837.58"/>
    <x v="1"/>
    <n v="0"/>
    <n v="71.61"/>
    <n v="427"/>
    <n v="452"/>
  </r>
  <r>
    <x v="800"/>
    <s v="C7782"/>
    <d v="2021-02-14T00:00:00"/>
    <d v="2023-02-05T00:00:00"/>
    <x v="1"/>
    <s v="South America"/>
    <s v="China"/>
    <s v="Beijing"/>
    <s v="P76636"/>
    <s v="Electronics"/>
    <s v="Shirt"/>
    <s v="Product_9139"/>
    <n v="496.49"/>
    <n v="12"/>
    <s v="S144"/>
    <s v="Epsilon LLC"/>
    <s v="W30"/>
    <x v="2"/>
    <s v="UPS"/>
    <s v="São Paulo-Berlin"/>
    <n v="1959"/>
    <n v="90"/>
    <n v="6"/>
    <n v="179.15"/>
    <n v="36.72"/>
    <n v="215.87"/>
    <x v="1"/>
    <n v="0"/>
    <n v="92.89"/>
    <n v="487"/>
    <n v="450"/>
  </r>
  <r>
    <x v="801"/>
    <s v="C9444"/>
    <d v="2024-07-07T00:00:00"/>
    <d v="2021-04-11T00:00:00"/>
    <x v="2"/>
    <s v="Africa"/>
    <s v="China"/>
    <s v="London"/>
    <s v="P36407"/>
    <s v="Food"/>
    <s v="Chair"/>
    <s v="Product_8936"/>
    <n v="215.64"/>
    <n v="62"/>
    <s v="S185"/>
    <s v="Delta Traders"/>
    <s v="W14"/>
    <x v="2"/>
    <s v="Maersk"/>
    <s v="Beijing-Toronto"/>
    <n v="4123"/>
    <n v="78"/>
    <n v="5"/>
    <n v="1573.08"/>
    <n v="342.57"/>
    <n v="1915.65"/>
    <x v="1"/>
    <n v="0"/>
    <n v="85.86"/>
    <n v="331"/>
    <n v="299"/>
  </r>
  <r>
    <x v="802"/>
    <s v="C7673"/>
    <d v="2021-09-08T00:00:00"/>
    <d v="2023-09-21T00:00:00"/>
    <x v="2"/>
    <s v="Europe"/>
    <s v="South Africa"/>
    <s v="Toronto"/>
    <s v="P75377"/>
    <s v="Food"/>
    <s v="Laptop"/>
    <s v="Product_1308"/>
    <n v="447.98"/>
    <n v="41"/>
    <s v="S157"/>
    <s v="Delta Traders"/>
    <s v="W38"/>
    <x v="0"/>
    <s v="Maersk"/>
    <s v="Toronto-Beijing"/>
    <n v="2568"/>
    <n v="445"/>
    <n v="21"/>
    <n v="755.18"/>
    <n v="107.67"/>
    <n v="862.84999999999991"/>
    <x v="1"/>
    <n v="0"/>
    <n v="80.58"/>
    <n v="308"/>
    <n v="279"/>
  </r>
  <r>
    <x v="803"/>
    <s v="C9733"/>
    <d v="2023-05-24T00:00:00"/>
    <d v="2020-10-01T00:00:00"/>
    <x v="1"/>
    <s v="Asia"/>
    <s v="UK"/>
    <s v="São Paulo"/>
    <s v="P81570"/>
    <s v="Furniture"/>
    <s v="Laptop"/>
    <s v="Product_6126"/>
    <n v="139.43"/>
    <n v="85"/>
    <s v="S694"/>
    <s v="Beta Ltd"/>
    <s v="W28"/>
    <x v="0"/>
    <s v="BlueDart"/>
    <s v="Cape Town-London"/>
    <n v="296"/>
    <n v="337"/>
    <n v="24"/>
    <n v="1503.56"/>
    <n v="155.46"/>
    <n v="1659.02"/>
    <x v="1"/>
    <n v="0"/>
    <n v="89.89"/>
    <n v="223"/>
    <n v="257"/>
  </r>
  <r>
    <x v="804"/>
    <s v="C1082"/>
    <d v="2020-09-16T00:00:00"/>
    <d v="2022-08-07T00:00:00"/>
    <x v="2"/>
    <s v="Europe"/>
    <s v="South Africa"/>
    <s v="Toronto"/>
    <s v="P62889"/>
    <s v="Furniture"/>
    <s v="Laptop"/>
    <s v="Product_5135"/>
    <n v="416.84"/>
    <n v="86"/>
    <s v="S871"/>
    <s v="Epsilon LLC"/>
    <s v="W18"/>
    <x v="1"/>
    <s v="Maersk"/>
    <s v="Cape Town-Beijing"/>
    <n v="1206"/>
    <n v="199"/>
    <n v="21"/>
    <n v="1770.18"/>
    <n v="161.38"/>
    <n v="1931.56"/>
    <x v="1"/>
    <n v="0"/>
    <n v="77.959999999999994"/>
    <n v="387"/>
    <n v="418"/>
  </r>
  <r>
    <x v="805"/>
    <s v="C7360"/>
    <d v="2021-10-29T00:00:00"/>
    <d v="2020-06-24T00:00:00"/>
    <x v="2"/>
    <s v="South America"/>
    <s v="China"/>
    <s v="Toronto"/>
    <s v="P88821"/>
    <s v="Furniture"/>
    <s v="Chair"/>
    <s v="Product_5447"/>
    <n v="87.94"/>
    <n v="59"/>
    <s v="S723"/>
    <s v="Beta Ltd"/>
    <s v="W23"/>
    <x v="2"/>
    <s v="BlueDart"/>
    <s v="São Paulo-São Paulo"/>
    <n v="678"/>
    <n v="271"/>
    <n v="3"/>
    <n v="185.96"/>
    <n v="379.5"/>
    <n v="565.46"/>
    <x v="1"/>
    <n v="0"/>
    <n v="75.08"/>
    <n v="200"/>
    <n v="186"/>
  </r>
  <r>
    <x v="806"/>
    <s v="C6967"/>
    <d v="2023-03-07T00:00:00"/>
    <d v="2023-03-03T00:00:00"/>
    <x v="1"/>
    <s v="Africa"/>
    <s v="South Africa"/>
    <s v="São Paulo"/>
    <s v="P14270"/>
    <s v="Furniture"/>
    <s v="Medicines"/>
    <s v="Product_8083"/>
    <n v="141.04"/>
    <n v="73"/>
    <s v="S870"/>
    <s v="Delta Traders"/>
    <s v="W6"/>
    <x v="1"/>
    <s v="DHL"/>
    <s v="Toronto-São Paulo"/>
    <n v="1285"/>
    <n v="364"/>
    <n v="9"/>
    <n v="294.70999999999998"/>
    <n v="141.6"/>
    <n v="436.30999999999989"/>
    <x v="1"/>
    <n v="0"/>
    <n v="79.28"/>
    <n v="91"/>
    <n v="71"/>
  </r>
  <r>
    <x v="807"/>
    <s v="C2035"/>
    <d v="2021-04-29T00:00:00"/>
    <d v="2023-02-25T00:00:00"/>
    <x v="2"/>
    <s v="South America"/>
    <s v="South Africa"/>
    <s v="London"/>
    <s v="P53228"/>
    <s v="Furniture"/>
    <s v="Medicines"/>
    <s v="Product_7381"/>
    <n v="92.79"/>
    <n v="52"/>
    <s v="S280"/>
    <s v="Beta Ltd"/>
    <s v="W44"/>
    <x v="2"/>
    <s v="UPS"/>
    <s v="Berlin-Berlin"/>
    <n v="828"/>
    <n v="221"/>
    <n v="27"/>
    <n v="1626"/>
    <n v="382.27"/>
    <n v="2008.27"/>
    <x v="1"/>
    <n v="0"/>
    <n v="86.41"/>
    <n v="465"/>
    <n v="447"/>
  </r>
  <r>
    <x v="808"/>
    <s v="C8504"/>
    <d v="2024-03-25T00:00:00"/>
    <d v="2023-08-29T00:00:00"/>
    <x v="2"/>
    <s v="North America"/>
    <s v="India"/>
    <s v="Toronto"/>
    <s v="P49557"/>
    <s v="Furniture"/>
    <s v="Snacks"/>
    <s v="Product_5129"/>
    <n v="106.8"/>
    <n v="16"/>
    <s v="S135"/>
    <s v="Alpha Corp"/>
    <s v="W4"/>
    <x v="0"/>
    <s v="UPS"/>
    <s v="Berlin-Mumbai"/>
    <n v="2691"/>
    <n v="400"/>
    <n v="10"/>
    <n v="1015.8"/>
    <n v="283.45999999999998"/>
    <n v="1299.26"/>
    <x v="1"/>
    <n v="0"/>
    <n v="73.260000000000005"/>
    <n v="90"/>
    <n v="72"/>
  </r>
  <r>
    <x v="809"/>
    <s v="C6680"/>
    <d v="2023-06-27T00:00:00"/>
    <d v="2020-03-02T00:00:00"/>
    <x v="1"/>
    <s v="North America"/>
    <s v="USA"/>
    <s v="São Paulo"/>
    <s v="P71466"/>
    <s v="Food"/>
    <s v="Medicines"/>
    <s v="Product_6295"/>
    <n v="82.36"/>
    <n v="49"/>
    <s v="S158"/>
    <s v="Beta Ltd"/>
    <s v="W38"/>
    <x v="0"/>
    <s v="UPS"/>
    <s v="São Paulo-Cape Town"/>
    <n v="3144"/>
    <n v="439"/>
    <n v="25"/>
    <n v="1322.12"/>
    <n v="435.38"/>
    <n v="1757.5"/>
    <x v="1"/>
    <n v="0"/>
    <n v="93.89"/>
    <n v="67"/>
    <n v="36"/>
  </r>
  <r>
    <x v="810"/>
    <s v="C4942"/>
    <d v="2023-12-04T00:00:00"/>
    <d v="2020-04-22T00:00:00"/>
    <x v="2"/>
    <s v="Asia"/>
    <s v="Brazil"/>
    <s v="London"/>
    <s v="P15716"/>
    <s v="Electronics"/>
    <s v="Shirt"/>
    <s v="Product_4790"/>
    <n v="495.34"/>
    <n v="94"/>
    <s v="S793"/>
    <s v="Epsilon LLC"/>
    <s v="W38"/>
    <x v="3"/>
    <s v="DHL"/>
    <s v="Beijing-Toronto"/>
    <n v="3192"/>
    <n v="470"/>
    <n v="23"/>
    <n v="1406"/>
    <n v="222.95"/>
    <n v="1628.95"/>
    <x v="1"/>
    <n v="0"/>
    <n v="75.739999999999995"/>
    <n v="495"/>
    <n v="476"/>
  </r>
  <r>
    <x v="811"/>
    <s v="C4646"/>
    <d v="2022-03-30T00:00:00"/>
    <d v="2022-04-29T00:00:00"/>
    <x v="2"/>
    <s v="North America"/>
    <s v="Germany"/>
    <s v="Beijing"/>
    <s v="P34742"/>
    <s v="Electronics"/>
    <s v="Shirt"/>
    <s v="Product_9516"/>
    <n v="51.83"/>
    <n v="70"/>
    <s v="S301"/>
    <s v="Epsilon LLC"/>
    <s v="W19"/>
    <x v="0"/>
    <s v="Maersk"/>
    <s v="Berlin-London"/>
    <n v="2811"/>
    <n v="159"/>
    <n v="7"/>
    <n v="1945.16"/>
    <n v="497.24"/>
    <n v="2442.4"/>
    <x v="1"/>
    <n v="0"/>
    <n v="98.96"/>
    <n v="390"/>
    <n v="372"/>
  </r>
  <r>
    <x v="812"/>
    <s v="C2125"/>
    <d v="2021-02-02T00:00:00"/>
    <d v="2024-04-07T00:00:00"/>
    <x v="2"/>
    <s v="Africa"/>
    <s v="China"/>
    <s v="Cape Town"/>
    <s v="P27685"/>
    <s v="Electronics"/>
    <s v="Medicines"/>
    <s v="Product_8317"/>
    <n v="244.25"/>
    <n v="83"/>
    <s v="S658"/>
    <s v="Alpha Corp"/>
    <s v="W18"/>
    <x v="3"/>
    <s v="DHL"/>
    <s v="New York-Cape Town"/>
    <n v="3908"/>
    <n v="65"/>
    <n v="23"/>
    <n v="1851.92"/>
    <n v="467.29"/>
    <n v="2319.21"/>
    <x v="1"/>
    <n v="0"/>
    <n v="86.42"/>
    <n v="469"/>
    <n v="507"/>
  </r>
  <r>
    <x v="813"/>
    <s v="C9843"/>
    <d v="2024-10-08T00:00:00"/>
    <d v="2023-09-16T00:00:00"/>
    <x v="2"/>
    <s v="North America"/>
    <s v="South Africa"/>
    <s v="Toronto"/>
    <s v="P93624"/>
    <s v="Furniture"/>
    <s v="Shirt"/>
    <s v="Product_5704"/>
    <n v="20.59"/>
    <n v="83"/>
    <s v="S654"/>
    <s v="Gamma Inc"/>
    <s v="W30"/>
    <x v="3"/>
    <s v="Maersk"/>
    <s v="Berlin-Cape Town"/>
    <n v="725"/>
    <n v="481"/>
    <n v="28"/>
    <n v="501.74"/>
    <n v="415.58"/>
    <n v="917.31999999999994"/>
    <x v="1"/>
    <n v="0"/>
    <n v="82.79"/>
    <n v="72"/>
    <n v="98"/>
  </r>
  <r>
    <x v="814"/>
    <s v="C2080"/>
    <d v="2020-01-25T00:00:00"/>
    <d v="2021-01-12T00:00:00"/>
    <x v="2"/>
    <s v="Asia"/>
    <s v="Germany"/>
    <s v="Mumbai"/>
    <s v="P65260"/>
    <s v="Furniture"/>
    <s v="Medicines"/>
    <s v="Product_5666"/>
    <n v="254.64"/>
    <n v="52"/>
    <s v="S733"/>
    <s v="Delta Traders"/>
    <s v="W12"/>
    <x v="3"/>
    <s v="Maersk"/>
    <s v="Beijing-New York"/>
    <n v="1163"/>
    <n v="474"/>
    <n v="21"/>
    <n v="1958.84"/>
    <n v="84.92"/>
    <n v="2043.76"/>
    <x v="1"/>
    <n v="0"/>
    <n v="99.12"/>
    <n v="165"/>
    <n v="186"/>
  </r>
  <r>
    <x v="815"/>
    <s v="C2060"/>
    <d v="2021-11-17T00:00:00"/>
    <d v="2021-07-24T00:00:00"/>
    <x v="2"/>
    <s v="Africa"/>
    <s v="South Africa"/>
    <s v="Berlin"/>
    <s v="P91790"/>
    <s v="Furniture"/>
    <s v="Laptop"/>
    <s v="Product_2887"/>
    <n v="303.64"/>
    <n v="51"/>
    <s v="S774"/>
    <s v="Delta Traders"/>
    <s v="W13"/>
    <x v="3"/>
    <s v="FedEx"/>
    <s v="Mumbai-New York"/>
    <n v="2010"/>
    <n v="200"/>
    <n v="13"/>
    <n v="272.11"/>
    <n v="446.51"/>
    <n v="718.62"/>
    <x v="1"/>
    <n v="0"/>
    <n v="99.46"/>
    <n v="351"/>
    <n v="307"/>
  </r>
  <r>
    <x v="816"/>
    <s v="C6147"/>
    <d v="2020-12-10T00:00:00"/>
    <d v="2022-11-01T00:00:00"/>
    <x v="1"/>
    <s v="South America"/>
    <s v="UK"/>
    <s v="Beijing"/>
    <s v="P64863"/>
    <s v="Pharma"/>
    <s v="Snacks"/>
    <s v="Product_7321"/>
    <n v="65.209999999999994"/>
    <n v="84"/>
    <s v="S975"/>
    <s v="Alpha Corp"/>
    <s v="W34"/>
    <x v="3"/>
    <s v="FedEx"/>
    <s v="Beijing-Cape Town"/>
    <n v="331"/>
    <n v="387"/>
    <n v="8"/>
    <n v="817.07"/>
    <n v="330.69"/>
    <n v="1147.76"/>
    <x v="1"/>
    <n v="0"/>
    <n v="71.290000000000006"/>
    <n v="203"/>
    <n v="237"/>
  </r>
  <r>
    <x v="817"/>
    <s v="C8608"/>
    <d v="2024-03-05T00:00:00"/>
    <d v="2020-08-04T00:00:00"/>
    <x v="2"/>
    <s v="Europe"/>
    <s v="China"/>
    <s v="New York"/>
    <s v="P32583"/>
    <s v="Pharma"/>
    <s v="Shirt"/>
    <s v="Product_7793"/>
    <n v="68.13"/>
    <n v="3"/>
    <s v="S656"/>
    <s v="Alpha Corp"/>
    <s v="W32"/>
    <x v="1"/>
    <s v="DHL"/>
    <s v="São Paulo-London"/>
    <n v="2815"/>
    <n v="384"/>
    <n v="19"/>
    <n v="105.04"/>
    <n v="144.71"/>
    <n v="249.75"/>
    <x v="1"/>
    <n v="0"/>
    <n v="85.97"/>
    <n v="419"/>
    <n v="417"/>
  </r>
  <r>
    <x v="818"/>
    <s v="C8455"/>
    <d v="2020-02-29T00:00:00"/>
    <d v="2020-10-22T00:00:00"/>
    <x v="1"/>
    <s v="Europe"/>
    <s v="USA"/>
    <s v="London"/>
    <s v="P83283"/>
    <s v="Pharma"/>
    <s v="Chair"/>
    <s v="Product_7134"/>
    <n v="424.11"/>
    <n v="24"/>
    <s v="S593"/>
    <s v="Beta Ltd"/>
    <s v="W19"/>
    <x v="1"/>
    <s v="Maersk"/>
    <s v="Toronto-Cape Town"/>
    <n v="669"/>
    <n v="336"/>
    <n v="29"/>
    <n v="498.52"/>
    <n v="79.040000000000006"/>
    <n v="577.55999999999995"/>
    <x v="1"/>
    <n v="0"/>
    <n v="72.58"/>
    <n v="464"/>
    <n v="441"/>
  </r>
  <r>
    <x v="819"/>
    <s v="C6655"/>
    <d v="2024-09-13T00:00:00"/>
    <d v="2024-04-14T00:00:00"/>
    <x v="1"/>
    <s v="Africa"/>
    <s v="Brazil"/>
    <s v="Cape Town"/>
    <s v="P38896"/>
    <s v="Food"/>
    <s v="Laptop"/>
    <s v="Product_3681"/>
    <n v="497.02"/>
    <n v="49"/>
    <s v="S102"/>
    <s v="Gamma Inc"/>
    <s v="W9"/>
    <x v="1"/>
    <s v="FedEx"/>
    <s v="New York-Cape Town"/>
    <n v="105"/>
    <n v="293"/>
    <n v="2"/>
    <n v="1905.3"/>
    <n v="415.64"/>
    <n v="2320.94"/>
    <x v="1"/>
    <n v="0"/>
    <n v="84.64"/>
    <n v="149"/>
    <n v="132"/>
  </r>
  <r>
    <x v="820"/>
    <s v="C9678"/>
    <d v="2020-05-18T00:00:00"/>
    <d v="2021-10-08T00:00:00"/>
    <x v="0"/>
    <s v="Africa"/>
    <s v="Germany"/>
    <s v="Cape Town"/>
    <s v="P31144"/>
    <s v="Furniture"/>
    <s v="Chair"/>
    <s v="Product_2754"/>
    <n v="207.91"/>
    <n v="98"/>
    <s v="S439"/>
    <s v="Beta Ltd"/>
    <s v="W19"/>
    <x v="1"/>
    <s v="BlueDart"/>
    <s v="Toronto-Toronto"/>
    <n v="51"/>
    <n v="493"/>
    <n v="4"/>
    <n v="1207.58"/>
    <n v="88.38"/>
    <n v="1295.96"/>
    <x v="1"/>
    <n v="0"/>
    <n v="92.4"/>
    <n v="345"/>
    <n v="364"/>
  </r>
  <r>
    <x v="821"/>
    <s v="C4767"/>
    <d v="2020-02-12T00:00:00"/>
    <d v="2022-01-22T00:00:00"/>
    <x v="2"/>
    <s v="North America"/>
    <s v="USA"/>
    <s v="São Paulo"/>
    <s v="P38899"/>
    <s v="Pharma"/>
    <s v="Shirt"/>
    <s v="Product_4292"/>
    <n v="52.29"/>
    <n v="52"/>
    <s v="S210"/>
    <s v="Gamma Inc"/>
    <s v="W7"/>
    <x v="1"/>
    <s v="BlueDart"/>
    <s v="São Paulo-São Paulo"/>
    <n v="102"/>
    <n v="346"/>
    <n v="3"/>
    <n v="530.97"/>
    <n v="78.86"/>
    <n v="609.83000000000004"/>
    <x v="1"/>
    <n v="0"/>
    <n v="92.94"/>
    <n v="363"/>
    <n v="398"/>
  </r>
  <r>
    <x v="822"/>
    <s v="C2480"/>
    <d v="2023-06-07T00:00:00"/>
    <d v="2023-09-02T00:00:00"/>
    <x v="1"/>
    <s v="Asia"/>
    <s v="Brazil"/>
    <s v="Mumbai"/>
    <s v="P23482"/>
    <s v="Food"/>
    <s v="Laptop"/>
    <s v="Product_7718"/>
    <n v="165.29"/>
    <n v="86"/>
    <s v="S175"/>
    <s v="Epsilon LLC"/>
    <s v="W1"/>
    <x v="2"/>
    <s v="DHL"/>
    <s v="New York-Cape Town"/>
    <n v="3622"/>
    <n v="482"/>
    <n v="8"/>
    <n v="1496.64"/>
    <n v="212.47"/>
    <n v="1709.11"/>
    <x v="1"/>
    <n v="0"/>
    <n v="72.63"/>
    <n v="276"/>
    <n v="320"/>
  </r>
  <r>
    <x v="823"/>
    <s v="C3887"/>
    <d v="2024-01-13T00:00:00"/>
    <d v="2022-06-17T00:00:00"/>
    <x v="2"/>
    <s v="North America"/>
    <s v="UK"/>
    <s v="São Paulo"/>
    <s v="P31753"/>
    <s v="Pharma"/>
    <s v="Shirt"/>
    <s v="Product_3414"/>
    <n v="469.89"/>
    <n v="12"/>
    <s v="S252"/>
    <s v="Alpha Corp"/>
    <s v="W48"/>
    <x v="3"/>
    <s v="UPS"/>
    <s v="Toronto-Beijing"/>
    <n v="2288"/>
    <n v="229"/>
    <n v="15"/>
    <n v="1177.3900000000001"/>
    <n v="57.53"/>
    <n v="1234.92"/>
    <x v="1"/>
    <n v="0"/>
    <n v="84.88"/>
    <n v="94"/>
    <n v="102"/>
  </r>
  <r>
    <x v="824"/>
    <s v="C1542"/>
    <d v="2023-08-21T00:00:00"/>
    <d v="2024-09-02T00:00:00"/>
    <x v="0"/>
    <s v="North America"/>
    <s v="China"/>
    <s v="Berlin"/>
    <s v="P64998"/>
    <s v="Food"/>
    <s v="Chair"/>
    <s v="Product_6696"/>
    <n v="70.23"/>
    <n v="17"/>
    <s v="S825"/>
    <s v="Gamma Inc"/>
    <s v="W29"/>
    <x v="0"/>
    <s v="UPS"/>
    <s v="London-São Paulo"/>
    <n v="4072"/>
    <n v="211"/>
    <n v="9"/>
    <n v="454.83"/>
    <n v="369.51"/>
    <n v="824.33999999999992"/>
    <x v="1"/>
    <n v="0"/>
    <n v="74.319999999999993"/>
    <n v="224"/>
    <n v="217"/>
  </r>
  <r>
    <x v="825"/>
    <s v="C8016"/>
    <d v="2022-01-23T00:00:00"/>
    <d v="2023-04-01T00:00:00"/>
    <x v="2"/>
    <s v="North America"/>
    <s v="UK"/>
    <s v="Mumbai"/>
    <s v="P74738"/>
    <s v="Furniture"/>
    <s v="Laptop"/>
    <s v="Product_8990"/>
    <n v="417.19"/>
    <n v="54"/>
    <s v="S453"/>
    <s v="Alpha Corp"/>
    <s v="W18"/>
    <x v="3"/>
    <s v="BlueDart"/>
    <s v="London-Toronto"/>
    <n v="1674"/>
    <n v="320"/>
    <n v="18"/>
    <n v="761.53"/>
    <n v="482.71"/>
    <n v="1244.24"/>
    <x v="1"/>
    <n v="0"/>
    <n v="81.150000000000006"/>
    <n v="311"/>
    <n v="289"/>
  </r>
  <r>
    <x v="826"/>
    <s v="C7882"/>
    <d v="2020-11-29T00:00:00"/>
    <d v="2024-02-21T00:00:00"/>
    <x v="1"/>
    <s v="North America"/>
    <s v="Brazil"/>
    <s v="Toronto"/>
    <s v="P61445"/>
    <s v="Furniture"/>
    <s v="Laptop"/>
    <s v="Product_1481"/>
    <n v="39.380000000000003"/>
    <n v="70"/>
    <s v="S745"/>
    <s v="Epsilon LLC"/>
    <s v="W40"/>
    <x v="1"/>
    <s v="Maersk"/>
    <s v="São Paulo-São Paulo"/>
    <n v="4265"/>
    <n v="128"/>
    <n v="23"/>
    <n v="1201.31"/>
    <n v="311.97000000000003"/>
    <n v="1513.28"/>
    <x v="1"/>
    <n v="0"/>
    <n v="87.03"/>
    <n v="407"/>
    <n v="358"/>
  </r>
  <r>
    <x v="827"/>
    <s v="C3241"/>
    <d v="2020-08-27T00:00:00"/>
    <d v="2021-09-04T00:00:00"/>
    <x v="2"/>
    <s v="North America"/>
    <s v="China"/>
    <s v="Beijing"/>
    <s v="P60187"/>
    <s v="Furniture"/>
    <s v="Chair"/>
    <s v="Product_2630"/>
    <n v="86.36"/>
    <n v="92"/>
    <s v="S243"/>
    <s v="Beta Ltd"/>
    <s v="W33"/>
    <x v="3"/>
    <s v="FedEx"/>
    <s v="Beijing-São Paulo"/>
    <n v="3247"/>
    <n v="75"/>
    <n v="5"/>
    <n v="1774.73"/>
    <n v="199.97"/>
    <n v="1974.7"/>
    <x v="1"/>
    <n v="0"/>
    <n v="78.099999999999994"/>
    <n v="364"/>
    <n v="314"/>
  </r>
  <r>
    <x v="828"/>
    <s v="C5180"/>
    <d v="2022-09-18T00:00:00"/>
    <d v="2023-05-28T00:00:00"/>
    <x v="2"/>
    <s v="Asia"/>
    <s v="UK"/>
    <s v="Toronto"/>
    <s v="P28713"/>
    <s v="Apparel"/>
    <s v="Snacks"/>
    <s v="Product_6257"/>
    <n v="8.02"/>
    <n v="60"/>
    <s v="S568"/>
    <s v="Epsilon LLC"/>
    <s v="W24"/>
    <x v="0"/>
    <s v="FedEx"/>
    <s v="Beijing-London"/>
    <n v="3128"/>
    <n v="137"/>
    <n v="14"/>
    <n v="1934.88"/>
    <n v="420.1"/>
    <n v="2354.98"/>
    <x v="1"/>
    <n v="0"/>
    <n v="85.61"/>
    <n v="173"/>
    <n v="181"/>
  </r>
  <r>
    <x v="829"/>
    <s v="C3662"/>
    <d v="2024-08-17T00:00:00"/>
    <d v="2020-10-20T00:00:00"/>
    <x v="2"/>
    <s v="Europe"/>
    <s v="South Africa"/>
    <s v="Beijing"/>
    <s v="P68462"/>
    <s v="Electronics"/>
    <s v="Chair"/>
    <s v="Product_6042"/>
    <n v="296.45"/>
    <n v="23"/>
    <s v="S372"/>
    <s v="Epsilon LLC"/>
    <s v="W46"/>
    <x v="0"/>
    <s v="Maersk"/>
    <s v="Berlin-New York"/>
    <n v="3683"/>
    <n v="218"/>
    <n v="21"/>
    <n v="1107.03"/>
    <n v="384.46"/>
    <n v="1491.49"/>
    <x v="1"/>
    <n v="0"/>
    <n v="91.38"/>
    <n v="206"/>
    <n v="170"/>
  </r>
  <r>
    <x v="830"/>
    <s v="C8524"/>
    <d v="2024-04-17T00:00:00"/>
    <d v="2021-10-29T00:00:00"/>
    <x v="0"/>
    <s v="North America"/>
    <s v="Germany"/>
    <s v="Mumbai"/>
    <s v="P56257"/>
    <s v="Electronics"/>
    <s v="Laptop"/>
    <s v="Product_6168"/>
    <n v="419.85"/>
    <n v="60"/>
    <s v="S948"/>
    <s v="Delta Traders"/>
    <s v="W39"/>
    <x v="3"/>
    <s v="Maersk"/>
    <s v="Berlin-Toronto"/>
    <n v="1133"/>
    <n v="247"/>
    <n v="13"/>
    <n v="931.22"/>
    <n v="63.16"/>
    <n v="994.38"/>
    <x v="1"/>
    <n v="0"/>
    <n v="80.260000000000005"/>
    <n v="55"/>
    <n v="37"/>
  </r>
  <r>
    <x v="831"/>
    <s v="C1733"/>
    <d v="2022-09-13T00:00:00"/>
    <d v="2024-03-27T00:00:00"/>
    <x v="2"/>
    <s v="Europe"/>
    <s v="Germany"/>
    <s v="London"/>
    <s v="P36807"/>
    <s v="Furniture"/>
    <s v="Shirt"/>
    <s v="Product_5893"/>
    <n v="301.7"/>
    <n v="68"/>
    <s v="S422"/>
    <s v="Alpha Corp"/>
    <s v="W9"/>
    <x v="2"/>
    <s v="DHL"/>
    <s v="Mumbai-São Paulo"/>
    <n v="1206"/>
    <n v="352"/>
    <n v="25"/>
    <n v="537.75"/>
    <n v="408.6"/>
    <n v="946.35"/>
    <x v="1"/>
    <n v="0"/>
    <n v="88.79"/>
    <n v="203"/>
    <n v="206"/>
  </r>
  <r>
    <x v="832"/>
    <s v="C2453"/>
    <d v="2021-03-01T00:00:00"/>
    <d v="2023-04-13T00:00:00"/>
    <x v="2"/>
    <s v="Asia"/>
    <s v="India"/>
    <s v="Berlin"/>
    <s v="P53867"/>
    <s v="Apparel"/>
    <s v="Snacks"/>
    <s v="Product_7038"/>
    <n v="51.22"/>
    <n v="24"/>
    <s v="S223"/>
    <s v="Delta Traders"/>
    <s v="W26"/>
    <x v="2"/>
    <s v="Maersk"/>
    <s v="New York-Berlin"/>
    <n v="307"/>
    <n v="165"/>
    <n v="19"/>
    <n v="1864.77"/>
    <n v="220.82"/>
    <n v="2085.59"/>
    <x v="1"/>
    <n v="0"/>
    <n v="77.36"/>
    <n v="88"/>
    <n v="122"/>
  </r>
  <r>
    <x v="833"/>
    <s v="C4113"/>
    <d v="2020-05-17T00:00:00"/>
    <d v="2023-07-03T00:00:00"/>
    <x v="2"/>
    <s v="Asia"/>
    <s v="Canada"/>
    <s v="São Paulo"/>
    <s v="P11748"/>
    <s v="Food"/>
    <s v="Snacks"/>
    <s v="Product_1187"/>
    <n v="315.79000000000002"/>
    <n v="49"/>
    <s v="S669"/>
    <s v="Gamma Inc"/>
    <s v="W22"/>
    <x v="2"/>
    <s v="BlueDart"/>
    <s v="Mumbai-London"/>
    <n v="1690"/>
    <n v="326"/>
    <n v="24"/>
    <n v="649.11"/>
    <n v="70.290000000000006"/>
    <n v="719.4"/>
    <x v="1"/>
    <n v="0"/>
    <n v="71.42"/>
    <n v="437"/>
    <n v="451"/>
  </r>
  <r>
    <x v="834"/>
    <s v="C8462"/>
    <d v="2020-02-16T00:00:00"/>
    <d v="2021-12-27T00:00:00"/>
    <x v="1"/>
    <s v="Asia"/>
    <s v="India"/>
    <s v="Beijing"/>
    <s v="P16109"/>
    <s v="Apparel"/>
    <s v="Laptop"/>
    <s v="Product_9897"/>
    <n v="478.49"/>
    <n v="67"/>
    <s v="S263"/>
    <s v="Beta Ltd"/>
    <s v="W46"/>
    <x v="2"/>
    <s v="DHL"/>
    <s v="Mumbai-Mumbai"/>
    <n v="4015"/>
    <n v="479"/>
    <n v="2"/>
    <n v="1755.17"/>
    <n v="276.38"/>
    <n v="2031.55"/>
    <x v="1"/>
    <n v="0"/>
    <n v="99.61"/>
    <n v="447"/>
    <n v="489"/>
  </r>
  <r>
    <x v="835"/>
    <s v="C7316"/>
    <d v="2024-11-07T00:00:00"/>
    <d v="2022-05-07T00:00:00"/>
    <x v="2"/>
    <s v="Europe"/>
    <s v="China"/>
    <s v="Cape Town"/>
    <s v="P30998"/>
    <s v="Electronics"/>
    <s v="Chair"/>
    <s v="Product_4621"/>
    <n v="369.88"/>
    <n v="19"/>
    <s v="S549"/>
    <s v="Epsilon LLC"/>
    <s v="W43"/>
    <x v="3"/>
    <s v="FedEx"/>
    <s v="Mumbai-Toronto"/>
    <n v="4671"/>
    <n v="383"/>
    <n v="2"/>
    <n v="1971.48"/>
    <n v="110.38"/>
    <n v="2081.86"/>
    <x v="1"/>
    <n v="0"/>
    <n v="79.989999999999995"/>
    <n v="424"/>
    <n v="438"/>
  </r>
  <r>
    <x v="836"/>
    <s v="C8227"/>
    <d v="2020-07-11T00:00:00"/>
    <d v="2022-02-01T00:00:00"/>
    <x v="2"/>
    <s v="Europe"/>
    <s v="South Africa"/>
    <s v="Mumbai"/>
    <s v="P86441"/>
    <s v="Food"/>
    <s v="Medicines"/>
    <s v="Product_1962"/>
    <n v="168.4"/>
    <n v="27"/>
    <s v="S575"/>
    <s v="Gamma Inc"/>
    <s v="W43"/>
    <x v="2"/>
    <s v="BlueDart"/>
    <s v="London-Toronto"/>
    <n v="1016"/>
    <n v="241"/>
    <n v="29"/>
    <n v="1039"/>
    <n v="134.07"/>
    <n v="1173.07"/>
    <x v="1"/>
    <n v="0"/>
    <n v="82.38"/>
    <n v="391"/>
    <n v="399"/>
  </r>
  <r>
    <x v="837"/>
    <s v="C9065"/>
    <d v="2020-09-20T00:00:00"/>
    <d v="2020-06-01T00:00:00"/>
    <x v="2"/>
    <s v="South America"/>
    <s v="India"/>
    <s v="São Paulo"/>
    <s v="P13787"/>
    <s v="Pharma"/>
    <s v="Chair"/>
    <s v="Product_3639"/>
    <n v="391.4"/>
    <n v="60"/>
    <s v="S741"/>
    <s v="Delta Traders"/>
    <s v="W38"/>
    <x v="3"/>
    <s v="FedEx"/>
    <s v="Toronto-London"/>
    <n v="1066"/>
    <n v="84"/>
    <n v="2"/>
    <n v="891.28"/>
    <n v="293.47000000000003"/>
    <n v="1184.75"/>
    <x v="0"/>
    <n v="2"/>
    <n v="98.25"/>
    <n v="198"/>
    <n v="169"/>
  </r>
  <r>
    <x v="838"/>
    <s v="C8120"/>
    <d v="2024-05-14T00:00:00"/>
    <d v="2023-12-13T00:00:00"/>
    <x v="1"/>
    <s v="Europe"/>
    <s v="Germany"/>
    <s v="New York"/>
    <s v="P75632"/>
    <s v="Furniture"/>
    <s v="Medicines"/>
    <s v="Product_8094"/>
    <n v="211.49"/>
    <n v="60"/>
    <s v="S595"/>
    <s v="Beta Ltd"/>
    <s v="W36"/>
    <x v="2"/>
    <s v="DHL"/>
    <s v="Berlin-Berlin"/>
    <n v="755"/>
    <n v="175"/>
    <n v="8"/>
    <n v="1560.51"/>
    <n v="154.76"/>
    <n v="1715.27"/>
    <x v="1"/>
    <n v="0"/>
    <n v="74.77"/>
    <n v="336"/>
    <n v="380"/>
  </r>
  <r>
    <x v="839"/>
    <s v="C1720"/>
    <d v="2024-10-21T00:00:00"/>
    <d v="2022-03-12T00:00:00"/>
    <x v="2"/>
    <s v="North America"/>
    <s v="Brazil"/>
    <s v="Toronto"/>
    <s v="P44858"/>
    <s v="Apparel"/>
    <s v="Shirt"/>
    <s v="Product_7003"/>
    <n v="109.44"/>
    <n v="85"/>
    <s v="S466"/>
    <s v="Beta Ltd"/>
    <s v="W19"/>
    <x v="3"/>
    <s v="DHL"/>
    <s v="New York-Beijing"/>
    <n v="2577"/>
    <n v="286"/>
    <n v="26"/>
    <n v="1192.78"/>
    <n v="371.62"/>
    <n v="1564.4"/>
    <x v="1"/>
    <n v="0"/>
    <n v="86.36"/>
    <n v="221"/>
    <n v="185"/>
  </r>
  <r>
    <x v="840"/>
    <s v="C4320"/>
    <d v="2024-07-09T00:00:00"/>
    <d v="2024-11-24T00:00:00"/>
    <x v="1"/>
    <s v="North America"/>
    <s v="UK"/>
    <s v="Toronto"/>
    <s v="P42649"/>
    <s v="Pharma"/>
    <s v="Snacks"/>
    <s v="Product_4999"/>
    <n v="301.17"/>
    <n v="1"/>
    <s v="S974"/>
    <s v="Epsilon LLC"/>
    <s v="W42"/>
    <x v="2"/>
    <s v="FedEx"/>
    <s v="New York-New York"/>
    <n v="2883"/>
    <n v="383"/>
    <n v="25"/>
    <n v="1406.72"/>
    <n v="73.61"/>
    <n v="1480.33"/>
    <x v="1"/>
    <n v="0"/>
    <n v="87.09"/>
    <n v="471"/>
    <n v="447"/>
  </r>
  <r>
    <x v="841"/>
    <s v="C7282"/>
    <d v="2022-10-26T00:00:00"/>
    <d v="2022-06-25T00:00:00"/>
    <x v="1"/>
    <s v="Africa"/>
    <s v="Brazil"/>
    <s v="London"/>
    <s v="P30893"/>
    <s v="Pharma"/>
    <s v="Snacks"/>
    <s v="Product_3011"/>
    <n v="413.95"/>
    <n v="82"/>
    <s v="S741"/>
    <s v="Delta Traders"/>
    <s v="W24"/>
    <x v="2"/>
    <s v="DHL"/>
    <s v="Beijing-Toronto"/>
    <n v="3074"/>
    <n v="172"/>
    <n v="10"/>
    <n v="1104.43"/>
    <n v="195.71"/>
    <n v="1300.1400000000001"/>
    <x v="1"/>
    <n v="0"/>
    <n v="77.89"/>
    <n v="192"/>
    <n v="193"/>
  </r>
  <r>
    <x v="842"/>
    <s v="C9209"/>
    <d v="2021-07-19T00:00:00"/>
    <d v="2024-10-24T00:00:00"/>
    <x v="2"/>
    <s v="Asia"/>
    <s v="China"/>
    <s v="Mumbai"/>
    <s v="P69327"/>
    <s v="Electronics"/>
    <s v="Shirt"/>
    <s v="Product_8115"/>
    <n v="480.79"/>
    <n v="83"/>
    <s v="S871"/>
    <s v="Alpha Corp"/>
    <s v="W41"/>
    <x v="3"/>
    <s v="UPS"/>
    <s v="New York-Berlin"/>
    <n v="4903"/>
    <n v="420"/>
    <n v="25"/>
    <n v="1545.78"/>
    <n v="338.35"/>
    <n v="1884.13"/>
    <x v="0"/>
    <n v="10"/>
    <n v="89.06"/>
    <n v="414"/>
    <n v="393"/>
  </r>
  <r>
    <x v="843"/>
    <s v="C9598"/>
    <d v="2021-12-30T00:00:00"/>
    <d v="2021-03-02T00:00:00"/>
    <x v="2"/>
    <s v="Europe"/>
    <s v="China"/>
    <s v="Berlin"/>
    <s v="P32815"/>
    <s v="Food"/>
    <s v="Snacks"/>
    <s v="Product_4280"/>
    <n v="152.81"/>
    <n v="11"/>
    <s v="S351"/>
    <s v="Delta Traders"/>
    <s v="W38"/>
    <x v="1"/>
    <s v="FedEx"/>
    <s v="Beijing-Berlin"/>
    <n v="1353"/>
    <n v="370"/>
    <n v="5"/>
    <n v="144.84"/>
    <n v="366.46"/>
    <n v="511.3"/>
    <x v="1"/>
    <n v="0"/>
    <n v="75.63"/>
    <n v="478"/>
    <n v="438"/>
  </r>
  <r>
    <x v="844"/>
    <s v="C8160"/>
    <d v="2024-05-13T00:00:00"/>
    <d v="2020-02-17T00:00:00"/>
    <x v="2"/>
    <s v="Asia"/>
    <s v="USA"/>
    <s v="Cape Town"/>
    <s v="P56956"/>
    <s v="Furniture"/>
    <s v="Snacks"/>
    <s v="Product_8136"/>
    <n v="207.61"/>
    <n v="10"/>
    <s v="S463"/>
    <s v="Alpha Corp"/>
    <s v="W47"/>
    <x v="1"/>
    <s v="BlueDart"/>
    <s v="Beijing-São Paulo"/>
    <n v="2883"/>
    <n v="172"/>
    <n v="20"/>
    <n v="1085.3499999999999"/>
    <n v="407.25"/>
    <n v="1492.6"/>
    <x v="1"/>
    <n v="0"/>
    <n v="85.92"/>
    <n v="395"/>
    <n v="385"/>
  </r>
  <r>
    <x v="845"/>
    <s v="C4776"/>
    <d v="2020-12-03T00:00:00"/>
    <d v="2023-03-10T00:00:00"/>
    <x v="2"/>
    <s v="South America"/>
    <s v="South Africa"/>
    <s v="Beijing"/>
    <s v="P48282"/>
    <s v="Electronics"/>
    <s v="Snacks"/>
    <s v="Product_1404"/>
    <n v="478.76"/>
    <n v="23"/>
    <s v="S472"/>
    <s v="Beta Ltd"/>
    <s v="W3"/>
    <x v="0"/>
    <s v="FedEx"/>
    <s v="São Paulo-Berlin"/>
    <n v="4704"/>
    <n v="107"/>
    <n v="6"/>
    <n v="1244.3900000000001"/>
    <n v="222.4"/>
    <n v="1466.79"/>
    <x v="1"/>
    <n v="0"/>
    <n v="81.739999999999995"/>
    <n v="261"/>
    <n v="216"/>
  </r>
  <r>
    <x v="846"/>
    <s v="C6550"/>
    <d v="2023-09-03T00:00:00"/>
    <d v="2023-09-01T00:00:00"/>
    <x v="2"/>
    <s v="Asia"/>
    <s v="Canada"/>
    <s v="Berlin"/>
    <s v="P78437"/>
    <s v="Apparel"/>
    <s v="Snacks"/>
    <s v="Product_8341"/>
    <n v="257.58999999999997"/>
    <n v="2"/>
    <s v="S276"/>
    <s v="Alpha Corp"/>
    <s v="W32"/>
    <x v="2"/>
    <s v="FedEx"/>
    <s v="Cape Town-London"/>
    <n v="4415"/>
    <n v="316"/>
    <n v="25"/>
    <n v="98.78"/>
    <n v="414.03"/>
    <n v="512.80999999999995"/>
    <x v="1"/>
    <n v="0"/>
    <n v="92.6"/>
    <n v="170"/>
    <n v="168"/>
  </r>
  <r>
    <x v="847"/>
    <s v="C5336"/>
    <d v="2024-11-26T00:00:00"/>
    <d v="2020-06-12T00:00:00"/>
    <x v="2"/>
    <s v="Europe"/>
    <s v="Germany"/>
    <s v="New York"/>
    <s v="P53638"/>
    <s v="Electronics"/>
    <s v="Laptop"/>
    <s v="Product_8777"/>
    <n v="375.77"/>
    <n v="83"/>
    <s v="S876"/>
    <s v="Delta Traders"/>
    <s v="W4"/>
    <x v="0"/>
    <s v="FedEx"/>
    <s v="Beijing-New York"/>
    <n v="3032"/>
    <n v="230"/>
    <n v="2"/>
    <n v="979.87"/>
    <n v="169.31"/>
    <n v="1149.18"/>
    <x v="1"/>
    <n v="0"/>
    <n v="91.24"/>
    <n v="458"/>
    <n v="487"/>
  </r>
  <r>
    <x v="848"/>
    <s v="C4769"/>
    <d v="2022-06-03T00:00:00"/>
    <d v="2020-09-08T00:00:00"/>
    <x v="2"/>
    <s v="Africa"/>
    <s v="India"/>
    <s v="New York"/>
    <s v="P37389"/>
    <s v="Apparel"/>
    <s v="Laptop"/>
    <s v="Product_4783"/>
    <n v="144.71"/>
    <n v="29"/>
    <s v="S158"/>
    <s v="Beta Ltd"/>
    <s v="W39"/>
    <x v="1"/>
    <s v="FedEx"/>
    <s v="Berlin-Berlin"/>
    <n v="4174"/>
    <n v="232"/>
    <n v="26"/>
    <n v="1203.1099999999999"/>
    <n v="285.43"/>
    <n v="1488.54"/>
    <x v="1"/>
    <n v="0"/>
    <n v="72.209999999999994"/>
    <n v="415"/>
    <n v="417"/>
  </r>
  <r>
    <x v="849"/>
    <s v="C4536"/>
    <d v="2021-11-05T00:00:00"/>
    <d v="2021-11-03T00:00:00"/>
    <x v="1"/>
    <s v="Europe"/>
    <s v="USA"/>
    <s v="Beijing"/>
    <s v="P76163"/>
    <s v="Pharma"/>
    <s v="Chair"/>
    <s v="Product_8672"/>
    <n v="299.73"/>
    <n v="48"/>
    <s v="S497"/>
    <s v="Alpha Corp"/>
    <s v="W22"/>
    <x v="1"/>
    <s v="UPS"/>
    <s v="Beijing-São Paulo"/>
    <n v="4031"/>
    <n v="371"/>
    <n v="15"/>
    <n v="604.16999999999996"/>
    <n v="407.53"/>
    <n v="1011.7"/>
    <x v="1"/>
    <n v="0"/>
    <n v="98.78"/>
    <n v="294"/>
    <n v="294"/>
  </r>
  <r>
    <x v="850"/>
    <s v="C2260"/>
    <d v="2020-10-06T00:00:00"/>
    <d v="2023-07-26T00:00:00"/>
    <x v="2"/>
    <s v="North America"/>
    <s v="UK"/>
    <s v="Berlin"/>
    <s v="P26746"/>
    <s v="Apparel"/>
    <s v="Chair"/>
    <s v="Product_8812"/>
    <n v="293.08"/>
    <n v="71"/>
    <s v="S230"/>
    <s v="Gamma Inc"/>
    <s v="W22"/>
    <x v="0"/>
    <s v="Maersk"/>
    <s v="Cape Town-Mumbai"/>
    <n v="3257"/>
    <n v="51"/>
    <n v="18"/>
    <n v="354.93"/>
    <n v="423.35"/>
    <n v="778.28"/>
    <x v="1"/>
    <n v="0"/>
    <n v="90.7"/>
    <n v="68"/>
    <n v="24"/>
  </r>
  <r>
    <x v="851"/>
    <s v="C6501"/>
    <d v="2023-10-08T00:00:00"/>
    <d v="2024-09-10T00:00:00"/>
    <x v="2"/>
    <s v="Europe"/>
    <s v="Canada"/>
    <s v="Mumbai"/>
    <s v="P77294"/>
    <s v="Food"/>
    <s v="Medicines"/>
    <s v="Product_1964"/>
    <n v="61.01"/>
    <n v="90"/>
    <s v="S295"/>
    <s v="Beta Ltd"/>
    <s v="W22"/>
    <x v="1"/>
    <s v="Maersk"/>
    <s v="London-London"/>
    <n v="2839"/>
    <n v="95"/>
    <n v="22"/>
    <n v="257.27"/>
    <n v="375.2"/>
    <n v="632.47"/>
    <x v="1"/>
    <n v="0"/>
    <n v="93.81"/>
    <n v="430"/>
    <n v="394"/>
  </r>
  <r>
    <x v="852"/>
    <s v="C2956"/>
    <d v="2023-12-18T00:00:00"/>
    <d v="2024-04-15T00:00:00"/>
    <x v="2"/>
    <s v="South America"/>
    <s v="USA"/>
    <s v="Toronto"/>
    <s v="P66088"/>
    <s v="Furniture"/>
    <s v="Laptop"/>
    <s v="Product_7187"/>
    <n v="311.93"/>
    <n v="84"/>
    <s v="S393"/>
    <s v="Epsilon LLC"/>
    <s v="W2"/>
    <x v="2"/>
    <s v="Maersk"/>
    <s v="Beijing-Mumbai"/>
    <n v="3611"/>
    <n v="148"/>
    <n v="11"/>
    <n v="1043.8399999999999"/>
    <n v="328.95"/>
    <n v="1372.79"/>
    <x v="1"/>
    <n v="0"/>
    <n v="76.88"/>
    <n v="444"/>
    <n v="456"/>
  </r>
  <r>
    <x v="853"/>
    <s v="C3406"/>
    <d v="2022-05-21T00:00:00"/>
    <d v="2023-02-01T00:00:00"/>
    <x v="2"/>
    <s v="Africa"/>
    <s v="South Africa"/>
    <s v="Berlin"/>
    <s v="P57544"/>
    <s v="Apparel"/>
    <s v="Chair"/>
    <s v="Product_6339"/>
    <n v="170.88"/>
    <n v="38"/>
    <s v="S286"/>
    <s v="Delta Traders"/>
    <s v="W19"/>
    <x v="0"/>
    <s v="UPS"/>
    <s v="London-Berlin"/>
    <n v="1146"/>
    <n v="165"/>
    <n v="22"/>
    <n v="1879.21"/>
    <n v="318.58999999999997"/>
    <n v="2197.8000000000002"/>
    <x v="0"/>
    <n v="6"/>
    <n v="83.47"/>
    <n v="146"/>
    <n v="113"/>
  </r>
  <r>
    <x v="854"/>
    <s v="C6084"/>
    <d v="2021-05-02T00:00:00"/>
    <d v="2020-10-04T00:00:00"/>
    <x v="2"/>
    <s v="South America"/>
    <s v="Canada"/>
    <s v="Toronto"/>
    <s v="P33115"/>
    <s v="Electronics"/>
    <s v="Laptop"/>
    <s v="Product_2103"/>
    <n v="282.47000000000003"/>
    <n v="45"/>
    <s v="S511"/>
    <s v="Alpha Corp"/>
    <s v="W7"/>
    <x v="2"/>
    <s v="Maersk"/>
    <s v="Toronto-Mumbai"/>
    <n v="1531"/>
    <n v="154"/>
    <n v="17"/>
    <n v="1529.97"/>
    <n v="233.56"/>
    <n v="1763.53"/>
    <x v="1"/>
    <n v="0"/>
    <n v="90.78"/>
    <n v="96"/>
    <n v="83"/>
  </r>
  <r>
    <x v="855"/>
    <s v="C4193"/>
    <d v="2020-12-04T00:00:00"/>
    <d v="2021-06-07T00:00:00"/>
    <x v="2"/>
    <s v="South America"/>
    <s v="Germany"/>
    <s v="London"/>
    <s v="P85005"/>
    <s v="Pharma"/>
    <s v="Chair"/>
    <s v="Product_2169"/>
    <n v="406.69"/>
    <n v="36"/>
    <s v="S148"/>
    <s v="Beta Ltd"/>
    <s v="W3"/>
    <x v="0"/>
    <s v="UPS"/>
    <s v="Berlin-Berlin"/>
    <n v="1181"/>
    <n v="401"/>
    <n v="11"/>
    <n v="1869.3"/>
    <n v="411.7"/>
    <n v="2281"/>
    <x v="1"/>
    <n v="0"/>
    <n v="87.3"/>
    <n v="107"/>
    <n v="124"/>
  </r>
  <r>
    <x v="856"/>
    <s v="C7124"/>
    <d v="2020-12-29T00:00:00"/>
    <d v="2024-12-27T00:00:00"/>
    <x v="2"/>
    <s v="South America"/>
    <s v="China"/>
    <s v="Beijing"/>
    <s v="P27407"/>
    <s v="Pharma"/>
    <s v="Medicines"/>
    <s v="Product_5691"/>
    <n v="290.57"/>
    <n v="25"/>
    <s v="S948"/>
    <s v="Epsilon LLC"/>
    <s v="W44"/>
    <x v="3"/>
    <s v="Maersk"/>
    <s v="Beijing-Berlin"/>
    <n v="69"/>
    <n v="246"/>
    <n v="28"/>
    <n v="1106.44"/>
    <n v="48.48"/>
    <n v="1154.92"/>
    <x v="1"/>
    <n v="0"/>
    <n v="86.13"/>
    <n v="452"/>
    <n v="432"/>
  </r>
  <r>
    <x v="857"/>
    <s v="C5367"/>
    <d v="2022-01-05T00:00:00"/>
    <d v="2022-10-07T00:00:00"/>
    <x v="1"/>
    <s v="Asia"/>
    <s v="China"/>
    <s v="Cape Town"/>
    <s v="P97479"/>
    <s v="Food"/>
    <s v="Laptop"/>
    <s v="Product_6379"/>
    <n v="474.24"/>
    <n v="36"/>
    <s v="S592"/>
    <s v="Alpha Corp"/>
    <s v="W2"/>
    <x v="1"/>
    <s v="DHL"/>
    <s v="Cape Town-Cape Town"/>
    <n v="2263"/>
    <n v="416"/>
    <n v="16"/>
    <n v="1672.96"/>
    <n v="393.79"/>
    <n v="2066.75"/>
    <x v="1"/>
    <n v="0"/>
    <n v="82.57"/>
    <n v="216"/>
    <n v="238"/>
  </r>
  <r>
    <x v="858"/>
    <s v="C8610"/>
    <d v="2021-11-04T00:00:00"/>
    <d v="2022-01-11T00:00:00"/>
    <x v="2"/>
    <s v="Europe"/>
    <s v="UK"/>
    <s v="Toronto"/>
    <s v="P86922"/>
    <s v="Pharma"/>
    <s v="Laptop"/>
    <s v="Product_9717"/>
    <n v="493.74"/>
    <n v="76"/>
    <s v="S749"/>
    <s v="Delta Traders"/>
    <s v="W4"/>
    <x v="0"/>
    <s v="Maersk"/>
    <s v="Beijing-Mumbai"/>
    <n v="529"/>
    <n v="107"/>
    <n v="1"/>
    <n v="1563.58"/>
    <n v="289.45"/>
    <n v="1853.03"/>
    <x v="1"/>
    <n v="0"/>
    <n v="89.59"/>
    <n v="131"/>
    <n v="139"/>
  </r>
  <r>
    <x v="859"/>
    <s v="C5909"/>
    <d v="2021-10-11T00:00:00"/>
    <d v="2022-08-05T00:00:00"/>
    <x v="2"/>
    <s v="Africa"/>
    <s v="Germany"/>
    <s v="Cape Town"/>
    <s v="P28132"/>
    <s v="Electronics"/>
    <s v="Medicines"/>
    <s v="Product_8058"/>
    <n v="210.39"/>
    <n v="42"/>
    <s v="S567"/>
    <s v="Epsilon LLC"/>
    <s v="W35"/>
    <x v="0"/>
    <s v="FedEx"/>
    <s v="London-Beijing"/>
    <n v="1718"/>
    <n v="334"/>
    <n v="21"/>
    <n v="696.05"/>
    <n v="123.19"/>
    <n v="819.24"/>
    <x v="1"/>
    <n v="0"/>
    <n v="96.06"/>
    <n v="119"/>
    <n v="84"/>
  </r>
  <r>
    <x v="860"/>
    <s v="C2269"/>
    <d v="2023-07-31T00:00:00"/>
    <d v="2023-03-10T00:00:00"/>
    <x v="2"/>
    <s v="North America"/>
    <s v="South Africa"/>
    <s v="Berlin"/>
    <s v="P42458"/>
    <s v="Pharma"/>
    <s v="Chair"/>
    <s v="Product_6549"/>
    <n v="274.24"/>
    <n v="53"/>
    <s v="S550"/>
    <s v="Delta Traders"/>
    <s v="W7"/>
    <x v="0"/>
    <s v="BlueDart"/>
    <s v="Beijing-New York"/>
    <n v="1953"/>
    <n v="243"/>
    <n v="28"/>
    <n v="178.35"/>
    <n v="305.45999999999998"/>
    <n v="483.80999999999989"/>
    <x v="1"/>
    <n v="0"/>
    <n v="72.28"/>
    <n v="167"/>
    <n v="195"/>
  </r>
  <r>
    <x v="861"/>
    <s v="C8612"/>
    <d v="2020-04-19T00:00:00"/>
    <d v="2024-07-01T00:00:00"/>
    <x v="2"/>
    <s v="South America"/>
    <s v="Germany"/>
    <s v="Cape Town"/>
    <s v="P39055"/>
    <s v="Electronics"/>
    <s v="Shirt"/>
    <s v="Product_7843"/>
    <n v="123.09"/>
    <n v="10"/>
    <s v="S848"/>
    <s v="Delta Traders"/>
    <s v="W47"/>
    <x v="0"/>
    <s v="UPS"/>
    <s v="London-Beijing"/>
    <n v="1476"/>
    <n v="165"/>
    <n v="24"/>
    <n v="187.19"/>
    <n v="458.45"/>
    <n v="645.64"/>
    <x v="1"/>
    <n v="0"/>
    <n v="85.68"/>
    <n v="235"/>
    <n v="276"/>
  </r>
  <r>
    <x v="862"/>
    <s v="C2739"/>
    <d v="2023-11-19T00:00:00"/>
    <d v="2024-01-12T00:00:00"/>
    <x v="2"/>
    <s v="Africa"/>
    <s v="China"/>
    <s v="Mumbai"/>
    <s v="P21266"/>
    <s v="Pharma"/>
    <s v="Chair"/>
    <s v="Product_1619"/>
    <n v="445.22"/>
    <n v="74"/>
    <s v="S292"/>
    <s v="Beta Ltd"/>
    <s v="W41"/>
    <x v="2"/>
    <s v="DHL"/>
    <s v="London-São Paulo"/>
    <n v="2964"/>
    <n v="396"/>
    <n v="9"/>
    <n v="590.41999999999996"/>
    <n v="452.76"/>
    <n v="1043.18"/>
    <x v="1"/>
    <n v="0"/>
    <n v="98.28"/>
    <n v="407"/>
    <n v="429"/>
  </r>
  <r>
    <x v="863"/>
    <s v="C7821"/>
    <d v="2021-03-18T00:00:00"/>
    <d v="2024-07-12T00:00:00"/>
    <x v="2"/>
    <s v="Asia"/>
    <s v="Germany"/>
    <s v="Cape Town"/>
    <s v="P76589"/>
    <s v="Pharma"/>
    <s v="Medicines"/>
    <s v="Product_6800"/>
    <n v="343.23"/>
    <n v="84"/>
    <s v="S452"/>
    <s v="Gamma Inc"/>
    <s v="W6"/>
    <x v="0"/>
    <s v="FedEx"/>
    <s v="London-Berlin"/>
    <n v="400"/>
    <n v="68"/>
    <n v="7"/>
    <n v="1669.2"/>
    <n v="57.29"/>
    <n v="1726.49"/>
    <x v="1"/>
    <n v="0"/>
    <n v="83.77"/>
    <n v="249"/>
    <n v="244"/>
  </r>
  <r>
    <x v="864"/>
    <s v="C4081"/>
    <d v="2022-04-19T00:00:00"/>
    <d v="2021-01-22T00:00:00"/>
    <x v="2"/>
    <s v="North America"/>
    <s v="Germany"/>
    <s v="London"/>
    <s v="P54647"/>
    <s v="Pharma"/>
    <s v="Medicines"/>
    <s v="Product_3009"/>
    <n v="176"/>
    <n v="43"/>
    <s v="S931"/>
    <s v="Beta Ltd"/>
    <s v="W18"/>
    <x v="3"/>
    <s v="BlueDart"/>
    <s v="Beijing-Beijing"/>
    <n v="997"/>
    <n v="415"/>
    <n v="22"/>
    <n v="63"/>
    <n v="480.54"/>
    <n v="543.54"/>
    <x v="1"/>
    <n v="0"/>
    <n v="81.83"/>
    <n v="231"/>
    <n v="199"/>
  </r>
  <r>
    <x v="865"/>
    <s v="C9470"/>
    <d v="2021-06-07T00:00:00"/>
    <d v="2022-01-05T00:00:00"/>
    <x v="2"/>
    <s v="North America"/>
    <s v="South Africa"/>
    <s v="Toronto"/>
    <s v="P18542"/>
    <s v="Electronics"/>
    <s v="Snacks"/>
    <s v="Product_8447"/>
    <n v="296.56"/>
    <n v="2"/>
    <s v="S748"/>
    <s v="Beta Ltd"/>
    <s v="W20"/>
    <x v="2"/>
    <s v="DHL"/>
    <s v="Mumbai-Berlin"/>
    <n v="1937"/>
    <n v="442"/>
    <n v="3"/>
    <n v="124.06"/>
    <n v="192.58"/>
    <n v="316.64"/>
    <x v="1"/>
    <n v="0"/>
    <n v="92.35"/>
    <n v="430"/>
    <n v="458"/>
  </r>
  <r>
    <x v="866"/>
    <s v="C9606"/>
    <d v="2023-08-04T00:00:00"/>
    <d v="2020-03-11T00:00:00"/>
    <x v="1"/>
    <s v="Africa"/>
    <s v="China"/>
    <s v="São Paulo"/>
    <s v="P31071"/>
    <s v="Furniture"/>
    <s v="Shirt"/>
    <s v="Product_3212"/>
    <n v="61.8"/>
    <n v="71"/>
    <s v="S204"/>
    <s v="Gamma Inc"/>
    <s v="W45"/>
    <x v="3"/>
    <s v="FedEx"/>
    <s v="London-Cape Town"/>
    <n v="4673"/>
    <n v="262"/>
    <n v="22"/>
    <n v="422.04"/>
    <n v="398.01"/>
    <n v="820.05"/>
    <x v="1"/>
    <n v="0"/>
    <n v="85.16"/>
    <n v="367"/>
    <n v="350"/>
  </r>
  <r>
    <x v="867"/>
    <s v="C9460"/>
    <d v="2023-11-22T00:00:00"/>
    <d v="2021-04-27T00:00:00"/>
    <x v="1"/>
    <s v="Europe"/>
    <s v="China"/>
    <s v="Toronto"/>
    <s v="P80793"/>
    <s v="Apparel"/>
    <s v="Chair"/>
    <s v="Product_9330"/>
    <n v="51.16"/>
    <n v="19"/>
    <s v="S794"/>
    <s v="Epsilon LLC"/>
    <s v="W39"/>
    <x v="2"/>
    <s v="Maersk"/>
    <s v="Berlin-São Paulo"/>
    <n v="1380"/>
    <n v="315"/>
    <n v="25"/>
    <n v="718.99"/>
    <n v="142.13999999999999"/>
    <n v="861.13"/>
    <x v="1"/>
    <n v="0"/>
    <n v="88.18"/>
    <n v="197"/>
    <n v="223"/>
  </r>
  <r>
    <x v="868"/>
    <s v="C9455"/>
    <d v="2024-06-08T00:00:00"/>
    <d v="2021-08-14T00:00:00"/>
    <x v="0"/>
    <s v="North America"/>
    <s v="Germany"/>
    <s v="London"/>
    <s v="P43354"/>
    <s v="Food"/>
    <s v="Chair"/>
    <s v="Product_8122"/>
    <n v="333.33"/>
    <n v="3"/>
    <s v="S396"/>
    <s v="Beta Ltd"/>
    <s v="W25"/>
    <x v="0"/>
    <s v="DHL"/>
    <s v="Beijing-Mumbai"/>
    <n v="4529"/>
    <n v="175"/>
    <n v="3"/>
    <n v="1828.64"/>
    <n v="372.05"/>
    <n v="2200.69"/>
    <x v="1"/>
    <n v="0"/>
    <n v="96.12"/>
    <n v="474"/>
    <n v="520"/>
  </r>
  <r>
    <x v="869"/>
    <s v="C7324"/>
    <d v="2022-11-10T00:00:00"/>
    <d v="2023-03-14T00:00:00"/>
    <x v="1"/>
    <s v="Europe"/>
    <s v="Germany"/>
    <s v="Mumbai"/>
    <s v="P21401"/>
    <s v="Furniture"/>
    <s v="Medicines"/>
    <s v="Product_7290"/>
    <n v="188.72"/>
    <n v="72"/>
    <s v="S394"/>
    <s v="Epsilon LLC"/>
    <s v="W47"/>
    <x v="1"/>
    <s v="DHL"/>
    <s v="Berlin-Beijing"/>
    <n v="4506"/>
    <n v="110"/>
    <n v="14"/>
    <n v="866.7"/>
    <n v="442.82"/>
    <n v="1309.52"/>
    <x v="1"/>
    <n v="0"/>
    <n v="94.64"/>
    <n v="385"/>
    <n v="349"/>
  </r>
  <r>
    <x v="870"/>
    <s v="C4622"/>
    <d v="2022-06-17T00:00:00"/>
    <d v="2021-08-12T00:00:00"/>
    <x v="2"/>
    <s v="Asia"/>
    <s v="Brazil"/>
    <s v="New York"/>
    <s v="P94877"/>
    <s v="Apparel"/>
    <s v="Chair"/>
    <s v="Product_6704"/>
    <n v="202.77"/>
    <n v="6"/>
    <s v="S559"/>
    <s v="Alpha Corp"/>
    <s v="W11"/>
    <x v="2"/>
    <s v="DHL"/>
    <s v="São Paulo-Beijing"/>
    <n v="1865"/>
    <n v="184"/>
    <n v="10"/>
    <n v="1438.31"/>
    <n v="167.3"/>
    <n v="1605.61"/>
    <x v="1"/>
    <n v="0"/>
    <n v="80.88"/>
    <n v="373"/>
    <n v="364"/>
  </r>
  <r>
    <x v="871"/>
    <s v="C4822"/>
    <d v="2020-06-24T00:00:00"/>
    <d v="2022-03-20T00:00:00"/>
    <x v="2"/>
    <s v="Asia"/>
    <s v="UK"/>
    <s v="Toronto"/>
    <s v="P41336"/>
    <s v="Pharma"/>
    <s v="Snacks"/>
    <s v="Product_1935"/>
    <n v="43.76"/>
    <n v="81"/>
    <s v="S203"/>
    <s v="Alpha Corp"/>
    <s v="W19"/>
    <x v="0"/>
    <s v="FedEx"/>
    <s v="Mumbai-Berlin"/>
    <n v="282"/>
    <n v="235"/>
    <n v="26"/>
    <n v="435.84"/>
    <n v="492.85"/>
    <n v="928.69"/>
    <x v="1"/>
    <n v="0"/>
    <n v="89.41"/>
    <n v="53"/>
    <n v="41"/>
  </r>
  <r>
    <x v="872"/>
    <s v="C4447"/>
    <d v="2024-01-27T00:00:00"/>
    <d v="2022-01-20T00:00:00"/>
    <x v="1"/>
    <s v="Asia"/>
    <s v="UK"/>
    <s v="Beijing"/>
    <s v="P19621"/>
    <s v="Electronics"/>
    <s v="Medicines"/>
    <s v="Product_1128"/>
    <n v="419.28"/>
    <n v="92"/>
    <s v="S563"/>
    <s v="Alpha Corp"/>
    <s v="W12"/>
    <x v="2"/>
    <s v="BlueDart"/>
    <s v="Cape Town-Toronto"/>
    <n v="4620"/>
    <n v="389"/>
    <n v="9"/>
    <n v="324.97000000000003"/>
    <n v="24.55"/>
    <n v="349.52"/>
    <x v="1"/>
    <n v="0"/>
    <n v="75.89"/>
    <n v="489"/>
    <n v="451"/>
  </r>
  <r>
    <x v="873"/>
    <s v="C5547"/>
    <d v="2022-02-28T00:00:00"/>
    <d v="2023-09-05T00:00:00"/>
    <x v="1"/>
    <s v="North America"/>
    <s v="Germany"/>
    <s v="Berlin"/>
    <s v="P17078"/>
    <s v="Pharma"/>
    <s v="Laptop"/>
    <s v="Product_4399"/>
    <n v="344.53"/>
    <n v="8"/>
    <s v="S686"/>
    <s v="Gamma Inc"/>
    <s v="W37"/>
    <x v="3"/>
    <s v="Maersk"/>
    <s v="Mumbai-Toronto"/>
    <n v="4352"/>
    <n v="484"/>
    <n v="3"/>
    <n v="403.43"/>
    <n v="107.55"/>
    <n v="510.98"/>
    <x v="1"/>
    <n v="0"/>
    <n v="94.09"/>
    <n v="183"/>
    <n v="134"/>
  </r>
  <r>
    <x v="874"/>
    <s v="C9751"/>
    <d v="2021-09-08T00:00:00"/>
    <d v="2020-01-19T00:00:00"/>
    <x v="1"/>
    <s v="Africa"/>
    <s v="Germany"/>
    <s v="Cape Town"/>
    <s v="P44862"/>
    <s v="Food"/>
    <s v="Laptop"/>
    <s v="Product_3424"/>
    <n v="90.05"/>
    <n v="94"/>
    <s v="S721"/>
    <s v="Gamma Inc"/>
    <s v="W20"/>
    <x v="2"/>
    <s v="Maersk"/>
    <s v="Beijing-New York"/>
    <n v="3168"/>
    <n v="303"/>
    <n v="11"/>
    <n v="1254.2"/>
    <n v="384.87"/>
    <n v="1639.07"/>
    <x v="0"/>
    <n v="14"/>
    <n v="72.47"/>
    <n v="63"/>
    <n v="31"/>
  </r>
  <r>
    <x v="875"/>
    <s v="C3993"/>
    <d v="2023-02-13T00:00:00"/>
    <d v="2024-10-02T00:00:00"/>
    <x v="2"/>
    <s v="South America"/>
    <s v="Brazil"/>
    <s v="New York"/>
    <s v="P31119"/>
    <s v="Food"/>
    <s v="Snacks"/>
    <s v="Product_2254"/>
    <n v="289.19"/>
    <n v="85"/>
    <s v="S182"/>
    <s v="Beta Ltd"/>
    <s v="W30"/>
    <x v="1"/>
    <s v="BlueDart"/>
    <s v="Toronto-Mumbai"/>
    <n v="3406"/>
    <n v="107"/>
    <n v="23"/>
    <n v="1958.23"/>
    <n v="241.1"/>
    <n v="2199.33"/>
    <x v="1"/>
    <n v="0"/>
    <n v="98.34"/>
    <n v="407"/>
    <n v="363"/>
  </r>
  <r>
    <x v="876"/>
    <s v="C3553"/>
    <d v="2024-02-05T00:00:00"/>
    <d v="2024-01-04T00:00:00"/>
    <x v="1"/>
    <s v="Europe"/>
    <s v="UK"/>
    <s v="São Paulo"/>
    <s v="P13628"/>
    <s v="Furniture"/>
    <s v="Snacks"/>
    <s v="Product_5715"/>
    <n v="387.24"/>
    <n v="51"/>
    <s v="S516"/>
    <s v="Alpha Corp"/>
    <s v="W5"/>
    <x v="2"/>
    <s v="Maersk"/>
    <s v="Beijing-Cape Town"/>
    <n v="848"/>
    <n v="395"/>
    <n v="24"/>
    <n v="467.02"/>
    <n v="38.92"/>
    <n v="505.94"/>
    <x v="1"/>
    <n v="0"/>
    <n v="73.12"/>
    <n v="202"/>
    <n v="244"/>
  </r>
  <r>
    <x v="877"/>
    <s v="C7870"/>
    <d v="2021-01-18T00:00:00"/>
    <d v="2021-04-27T00:00:00"/>
    <x v="2"/>
    <s v="North America"/>
    <s v="USA"/>
    <s v="São Paulo"/>
    <s v="P88836"/>
    <s v="Furniture"/>
    <s v="Shirt"/>
    <s v="Product_6813"/>
    <n v="446.04"/>
    <n v="36"/>
    <s v="S281"/>
    <s v="Gamma Inc"/>
    <s v="W20"/>
    <x v="3"/>
    <s v="UPS"/>
    <s v="Berlin-Mumbai"/>
    <n v="4298"/>
    <n v="85"/>
    <n v="2"/>
    <n v="136.57"/>
    <n v="398.54"/>
    <n v="535.11"/>
    <x v="1"/>
    <n v="0"/>
    <n v="89.72"/>
    <n v="366"/>
    <n v="393"/>
  </r>
  <r>
    <x v="878"/>
    <s v="C1187"/>
    <d v="2020-02-28T00:00:00"/>
    <d v="2023-02-16T00:00:00"/>
    <x v="2"/>
    <s v="South America"/>
    <s v="Canada"/>
    <s v="Toronto"/>
    <s v="P42348"/>
    <s v="Electronics"/>
    <s v="Snacks"/>
    <s v="Product_3863"/>
    <n v="182.97"/>
    <n v="82"/>
    <s v="S327"/>
    <s v="Gamma Inc"/>
    <s v="W33"/>
    <x v="0"/>
    <s v="BlueDart"/>
    <s v="Beijing-Cape Town"/>
    <n v="1719"/>
    <n v="273"/>
    <n v="4"/>
    <n v="1428.4"/>
    <n v="362.46"/>
    <n v="1790.86"/>
    <x v="1"/>
    <n v="0"/>
    <n v="90.59"/>
    <n v="74"/>
    <n v="52"/>
  </r>
  <r>
    <x v="879"/>
    <s v="C2524"/>
    <d v="2021-11-05T00:00:00"/>
    <d v="2020-10-01T00:00:00"/>
    <x v="2"/>
    <s v="Europe"/>
    <s v="Germany"/>
    <s v="London"/>
    <s v="P19940"/>
    <s v="Furniture"/>
    <s v="Chair"/>
    <s v="Product_9889"/>
    <n v="108.94"/>
    <n v="72"/>
    <s v="S526"/>
    <s v="Gamma Inc"/>
    <s v="W6"/>
    <x v="3"/>
    <s v="BlueDart"/>
    <s v="Beijing-New York"/>
    <n v="1923"/>
    <n v="488"/>
    <n v="21"/>
    <n v="1190.4000000000001"/>
    <n v="372.56"/>
    <n v="1562.96"/>
    <x v="1"/>
    <n v="0"/>
    <n v="94.18"/>
    <n v="278"/>
    <n v="242"/>
  </r>
  <r>
    <x v="880"/>
    <s v="C5154"/>
    <d v="2024-07-12T00:00:00"/>
    <d v="2023-03-03T00:00:00"/>
    <x v="1"/>
    <s v="Asia"/>
    <s v="China"/>
    <s v="Toronto"/>
    <s v="P86425"/>
    <s v="Food"/>
    <s v="Laptop"/>
    <s v="Product_2786"/>
    <n v="374.22"/>
    <n v="76"/>
    <s v="S109"/>
    <s v="Beta Ltd"/>
    <s v="W27"/>
    <x v="2"/>
    <s v="FedEx"/>
    <s v="Toronto-New York"/>
    <n v="3223"/>
    <n v="95"/>
    <n v="4"/>
    <n v="1232.02"/>
    <n v="174.77"/>
    <n v="1406.79"/>
    <x v="0"/>
    <n v="14"/>
    <n v="83.83"/>
    <n v="476"/>
    <n v="495"/>
  </r>
  <r>
    <x v="881"/>
    <s v="C1713"/>
    <d v="2021-05-16T00:00:00"/>
    <d v="2022-10-08T00:00:00"/>
    <x v="1"/>
    <s v="Africa"/>
    <s v="Germany"/>
    <s v="Toronto"/>
    <s v="P39217"/>
    <s v="Apparel"/>
    <s v="Medicines"/>
    <s v="Product_1610"/>
    <n v="496.3"/>
    <n v="23"/>
    <s v="S954"/>
    <s v="Beta Ltd"/>
    <s v="W17"/>
    <x v="1"/>
    <s v="UPS"/>
    <s v="Beijing-London"/>
    <n v="2190"/>
    <n v="72"/>
    <n v="4"/>
    <n v="267.63"/>
    <n v="268.79000000000002"/>
    <n v="536.42000000000007"/>
    <x v="1"/>
    <n v="0"/>
    <n v="94.59"/>
    <n v="413"/>
    <n v="446"/>
  </r>
  <r>
    <x v="882"/>
    <s v="C2588"/>
    <d v="2020-07-07T00:00:00"/>
    <d v="2024-08-26T00:00:00"/>
    <x v="1"/>
    <s v="South America"/>
    <s v="Brazil"/>
    <s v="Berlin"/>
    <s v="P91405"/>
    <s v="Apparel"/>
    <s v="Snacks"/>
    <s v="Product_8493"/>
    <n v="36.24"/>
    <n v="64"/>
    <s v="S801"/>
    <s v="Epsilon LLC"/>
    <s v="W40"/>
    <x v="2"/>
    <s v="UPS"/>
    <s v="New York-Berlin"/>
    <n v="2213"/>
    <n v="411"/>
    <n v="26"/>
    <n v="109.92"/>
    <n v="41.8"/>
    <n v="151.72"/>
    <x v="1"/>
    <n v="0"/>
    <n v="83.89"/>
    <n v="481"/>
    <n v="528"/>
  </r>
  <r>
    <x v="883"/>
    <s v="C5502"/>
    <d v="2021-08-16T00:00:00"/>
    <d v="2022-03-22T00:00:00"/>
    <x v="2"/>
    <s v="North America"/>
    <s v="Brazil"/>
    <s v="Beijing"/>
    <s v="P34222"/>
    <s v="Electronics"/>
    <s v="Laptop"/>
    <s v="Product_3431"/>
    <n v="129.79"/>
    <n v="23"/>
    <s v="S425"/>
    <s v="Epsilon LLC"/>
    <s v="W35"/>
    <x v="3"/>
    <s v="DHL"/>
    <s v="Cape Town-Berlin"/>
    <n v="3825"/>
    <n v="183"/>
    <n v="1"/>
    <n v="166.23"/>
    <n v="263.66000000000003"/>
    <n v="429.89"/>
    <x v="1"/>
    <n v="0"/>
    <n v="86.49"/>
    <n v="433"/>
    <n v="420"/>
  </r>
  <r>
    <x v="884"/>
    <s v="C1296"/>
    <d v="2023-10-21T00:00:00"/>
    <d v="2023-08-08T00:00:00"/>
    <x v="0"/>
    <s v="Asia"/>
    <s v="USA"/>
    <s v="London"/>
    <s v="P82041"/>
    <s v="Pharma"/>
    <s v="Snacks"/>
    <s v="Product_2229"/>
    <n v="273.74"/>
    <n v="66"/>
    <s v="S686"/>
    <s v="Delta Traders"/>
    <s v="W7"/>
    <x v="0"/>
    <s v="BlueDart"/>
    <s v="São Paulo-Cape Town"/>
    <n v="1188"/>
    <n v="346"/>
    <n v="6"/>
    <n v="396.08"/>
    <n v="436.08"/>
    <n v="832.16"/>
    <x v="1"/>
    <n v="0"/>
    <n v="98.2"/>
    <n v="245"/>
    <n v="285"/>
  </r>
  <r>
    <x v="885"/>
    <s v="C2816"/>
    <d v="2023-09-16T00:00:00"/>
    <d v="2020-05-02T00:00:00"/>
    <x v="1"/>
    <s v="South America"/>
    <s v="China"/>
    <s v="Beijing"/>
    <s v="P89532"/>
    <s v="Furniture"/>
    <s v="Chair"/>
    <s v="Product_6075"/>
    <n v="55.76"/>
    <n v="16"/>
    <s v="S553"/>
    <s v="Gamma Inc"/>
    <s v="W14"/>
    <x v="0"/>
    <s v="BlueDart"/>
    <s v="London-London"/>
    <n v="1461"/>
    <n v="62"/>
    <n v="15"/>
    <n v="1315.19"/>
    <n v="182.28"/>
    <n v="1497.47"/>
    <x v="1"/>
    <n v="0"/>
    <n v="95.99"/>
    <n v="298"/>
    <n v="323"/>
  </r>
  <r>
    <x v="886"/>
    <s v="C1643"/>
    <d v="2022-04-09T00:00:00"/>
    <d v="2024-12-13T00:00:00"/>
    <x v="1"/>
    <s v="North America"/>
    <s v="Canada"/>
    <s v="Beijing"/>
    <s v="P67506"/>
    <s v="Food"/>
    <s v="Laptop"/>
    <s v="Product_6706"/>
    <n v="167.3"/>
    <n v="52"/>
    <s v="S712"/>
    <s v="Alpha Corp"/>
    <s v="W39"/>
    <x v="3"/>
    <s v="DHL"/>
    <s v="London-London"/>
    <n v="1800"/>
    <n v="143"/>
    <n v="29"/>
    <n v="95.4"/>
    <n v="196.07"/>
    <n v="291.47000000000003"/>
    <x v="1"/>
    <n v="0"/>
    <n v="96.63"/>
    <n v="94"/>
    <n v="79"/>
  </r>
  <r>
    <x v="887"/>
    <s v="C1013"/>
    <d v="2024-11-28T00:00:00"/>
    <d v="2024-05-14T00:00:00"/>
    <x v="2"/>
    <s v="South America"/>
    <s v="China"/>
    <s v="London"/>
    <s v="P91131"/>
    <s v="Electronics"/>
    <s v="Laptop"/>
    <s v="Product_9753"/>
    <n v="30.4"/>
    <n v="46"/>
    <s v="S402"/>
    <s v="Gamma Inc"/>
    <s v="W33"/>
    <x v="2"/>
    <s v="Maersk"/>
    <s v="Toronto-Cape Town"/>
    <n v="2981"/>
    <n v="291"/>
    <n v="1"/>
    <n v="1899.42"/>
    <n v="342.32"/>
    <n v="2241.7399999999998"/>
    <x v="1"/>
    <n v="0"/>
    <n v="86.6"/>
    <n v="190"/>
    <n v="190"/>
  </r>
  <r>
    <x v="888"/>
    <s v="C4645"/>
    <d v="2022-12-12T00:00:00"/>
    <d v="2021-02-07T00:00:00"/>
    <x v="2"/>
    <s v="Europe"/>
    <s v="USA"/>
    <s v="Cape Town"/>
    <s v="P35099"/>
    <s v="Apparel"/>
    <s v="Laptop"/>
    <s v="Product_5802"/>
    <n v="284.3"/>
    <n v="9"/>
    <s v="S159"/>
    <s v="Alpha Corp"/>
    <s v="W45"/>
    <x v="0"/>
    <s v="UPS"/>
    <s v="New York-New York"/>
    <n v="1850"/>
    <n v="69"/>
    <n v="23"/>
    <n v="1299.18"/>
    <n v="169.7"/>
    <n v="1468.88"/>
    <x v="1"/>
    <n v="0"/>
    <n v="89.36"/>
    <n v="212"/>
    <n v="253"/>
  </r>
  <r>
    <x v="889"/>
    <s v="C7757"/>
    <d v="2023-08-02T00:00:00"/>
    <d v="2023-07-12T00:00:00"/>
    <x v="2"/>
    <s v="North America"/>
    <s v="South Africa"/>
    <s v="London"/>
    <s v="P27217"/>
    <s v="Apparel"/>
    <s v="Snacks"/>
    <s v="Product_8502"/>
    <n v="151.66999999999999"/>
    <n v="82"/>
    <s v="S796"/>
    <s v="Beta Ltd"/>
    <s v="W38"/>
    <x v="2"/>
    <s v="UPS"/>
    <s v="Toronto-Mumbai"/>
    <n v="2828"/>
    <n v="492"/>
    <n v="8"/>
    <n v="695.89"/>
    <n v="210.76"/>
    <n v="906.65"/>
    <x v="1"/>
    <n v="0"/>
    <n v="85.59"/>
    <n v="306"/>
    <n v="316"/>
  </r>
  <r>
    <x v="890"/>
    <s v="C3311"/>
    <d v="2024-03-28T00:00:00"/>
    <d v="2021-10-25T00:00:00"/>
    <x v="2"/>
    <s v="Asia"/>
    <s v="Brazil"/>
    <s v="London"/>
    <s v="P49713"/>
    <s v="Pharma"/>
    <s v="Medicines"/>
    <s v="Product_3553"/>
    <n v="404.41"/>
    <n v="91"/>
    <s v="S336"/>
    <s v="Epsilon LLC"/>
    <s v="W32"/>
    <x v="0"/>
    <s v="FedEx"/>
    <s v="Berlin-Toronto"/>
    <n v="3621"/>
    <n v="364"/>
    <n v="10"/>
    <n v="662.77"/>
    <n v="402.51"/>
    <n v="1065.28"/>
    <x v="1"/>
    <n v="0"/>
    <n v="98.67"/>
    <n v="351"/>
    <n v="392"/>
  </r>
  <r>
    <x v="891"/>
    <s v="C6036"/>
    <d v="2024-04-06T00:00:00"/>
    <d v="2024-04-07T00:00:00"/>
    <x v="1"/>
    <s v="Europe"/>
    <s v="USA"/>
    <s v="Beijing"/>
    <s v="P96987"/>
    <s v="Pharma"/>
    <s v="Laptop"/>
    <s v="Product_3288"/>
    <n v="253.08"/>
    <n v="36"/>
    <s v="S559"/>
    <s v="Epsilon LLC"/>
    <s v="W22"/>
    <x v="0"/>
    <s v="DHL"/>
    <s v="São Paulo-Berlin"/>
    <n v="2855"/>
    <n v="393"/>
    <n v="22"/>
    <n v="200.42"/>
    <n v="265.24"/>
    <n v="465.66"/>
    <x v="1"/>
    <n v="0"/>
    <n v="86.96"/>
    <n v="432"/>
    <n v="467"/>
  </r>
  <r>
    <x v="892"/>
    <s v="C5864"/>
    <d v="2023-01-14T00:00:00"/>
    <d v="2023-02-12T00:00:00"/>
    <x v="2"/>
    <s v="North America"/>
    <s v="India"/>
    <s v="Mumbai"/>
    <s v="P43936"/>
    <s v="Food"/>
    <s v="Medicines"/>
    <s v="Product_9094"/>
    <n v="413.48"/>
    <n v="24"/>
    <s v="S120"/>
    <s v="Beta Ltd"/>
    <s v="W29"/>
    <x v="1"/>
    <s v="FedEx"/>
    <s v="Berlin-New York"/>
    <n v="756"/>
    <n v="276"/>
    <n v="8"/>
    <n v="1965.51"/>
    <n v="285.73"/>
    <n v="2251.2399999999998"/>
    <x v="1"/>
    <n v="0"/>
    <n v="86.18"/>
    <n v="79"/>
    <n v="35"/>
  </r>
  <r>
    <x v="893"/>
    <s v="C9064"/>
    <d v="2022-10-02T00:00:00"/>
    <d v="2021-01-06T00:00:00"/>
    <x v="2"/>
    <s v="North America"/>
    <s v="South Africa"/>
    <s v="São Paulo"/>
    <s v="P84536"/>
    <s v="Electronics"/>
    <s v="Medicines"/>
    <s v="Product_4347"/>
    <n v="327.02"/>
    <n v="39"/>
    <s v="S872"/>
    <s v="Gamma Inc"/>
    <s v="W28"/>
    <x v="0"/>
    <s v="BlueDart"/>
    <s v="Beijing-London"/>
    <n v="4974"/>
    <n v="208"/>
    <n v="9"/>
    <n v="1280.0999999999999"/>
    <n v="18.329999999999998"/>
    <n v="1298.43"/>
    <x v="1"/>
    <n v="0"/>
    <n v="86.32"/>
    <n v="346"/>
    <n v="324"/>
  </r>
  <r>
    <x v="894"/>
    <s v="C9582"/>
    <d v="2020-01-09T00:00:00"/>
    <d v="2023-08-31T00:00:00"/>
    <x v="2"/>
    <s v="South America"/>
    <s v="China"/>
    <s v="Beijing"/>
    <s v="P32020"/>
    <s v="Apparel"/>
    <s v="Shirt"/>
    <s v="Product_7772"/>
    <n v="256.17"/>
    <n v="22"/>
    <s v="S144"/>
    <s v="Alpha Corp"/>
    <s v="W41"/>
    <x v="0"/>
    <s v="Maersk"/>
    <s v="Beijing-Cape Town"/>
    <n v="3012"/>
    <n v="322"/>
    <n v="25"/>
    <n v="73.37"/>
    <n v="490.49"/>
    <n v="563.86"/>
    <x v="1"/>
    <n v="0"/>
    <n v="72.28"/>
    <n v="300"/>
    <n v="299"/>
  </r>
  <r>
    <x v="895"/>
    <s v="C1272"/>
    <d v="2024-07-31T00:00:00"/>
    <d v="2022-03-24T00:00:00"/>
    <x v="1"/>
    <s v="North America"/>
    <s v="Germany"/>
    <s v="Toronto"/>
    <s v="P71532"/>
    <s v="Pharma"/>
    <s v="Chair"/>
    <s v="Product_1545"/>
    <n v="338.58"/>
    <n v="55"/>
    <s v="S925"/>
    <s v="Gamma Inc"/>
    <s v="W45"/>
    <x v="2"/>
    <s v="BlueDart"/>
    <s v="São Paulo-Mumbai"/>
    <n v="111"/>
    <n v="295"/>
    <n v="21"/>
    <n v="1918.15"/>
    <n v="94.89"/>
    <n v="2013.04"/>
    <x v="1"/>
    <n v="0"/>
    <n v="77.430000000000007"/>
    <n v="338"/>
    <n v="298"/>
  </r>
  <r>
    <x v="896"/>
    <s v="C8832"/>
    <d v="2021-11-03T00:00:00"/>
    <d v="2020-07-27T00:00:00"/>
    <x v="2"/>
    <s v="Africa"/>
    <s v="Canada"/>
    <s v="São Paulo"/>
    <s v="P59132"/>
    <s v="Pharma"/>
    <s v="Medicines"/>
    <s v="Product_8440"/>
    <n v="432.23"/>
    <n v="19"/>
    <s v="S325"/>
    <s v="Gamma Inc"/>
    <s v="W33"/>
    <x v="2"/>
    <s v="FedEx"/>
    <s v="Beijing-Mumbai"/>
    <n v="3749"/>
    <n v="430"/>
    <n v="22"/>
    <n v="1935.66"/>
    <n v="440.16"/>
    <n v="2375.8200000000002"/>
    <x v="1"/>
    <n v="0"/>
    <n v="83.13"/>
    <n v="201"/>
    <n v="194"/>
  </r>
  <r>
    <x v="897"/>
    <s v="C1506"/>
    <d v="2024-01-16T00:00:00"/>
    <d v="2022-07-03T00:00:00"/>
    <x v="2"/>
    <s v="Asia"/>
    <s v="China"/>
    <s v="Berlin"/>
    <s v="P85841"/>
    <s v="Food"/>
    <s v="Chair"/>
    <s v="Product_1105"/>
    <n v="119.9"/>
    <n v="55"/>
    <s v="S948"/>
    <s v="Beta Ltd"/>
    <s v="W39"/>
    <x v="1"/>
    <s v="DHL"/>
    <s v="Mumbai-New York"/>
    <n v="1386"/>
    <n v="263"/>
    <n v="1"/>
    <n v="846.75"/>
    <n v="480.18"/>
    <n v="1326.93"/>
    <x v="1"/>
    <n v="0"/>
    <n v="77.400000000000006"/>
    <n v="210"/>
    <n v="233"/>
  </r>
  <r>
    <x v="898"/>
    <s v="C3968"/>
    <d v="2020-08-07T00:00:00"/>
    <d v="2024-02-23T00:00:00"/>
    <x v="2"/>
    <s v="North America"/>
    <s v="Germany"/>
    <s v="New York"/>
    <s v="P72669"/>
    <s v="Electronics"/>
    <s v="Shirt"/>
    <s v="Product_5791"/>
    <n v="25.82"/>
    <n v="17"/>
    <s v="S514"/>
    <s v="Beta Ltd"/>
    <s v="W27"/>
    <x v="2"/>
    <s v="FedEx"/>
    <s v="New York-Cape Town"/>
    <n v="3811"/>
    <n v="259"/>
    <n v="25"/>
    <n v="1263.24"/>
    <n v="325.43"/>
    <n v="1588.67"/>
    <x v="1"/>
    <n v="0"/>
    <n v="99.03"/>
    <n v="432"/>
    <n v="437"/>
  </r>
  <r>
    <x v="899"/>
    <s v="C1226"/>
    <d v="2021-11-24T00:00:00"/>
    <d v="2022-11-28T00:00:00"/>
    <x v="1"/>
    <s v="North America"/>
    <s v="China"/>
    <s v="Berlin"/>
    <s v="P86361"/>
    <s v="Furniture"/>
    <s v="Snacks"/>
    <s v="Product_9609"/>
    <n v="16.8"/>
    <n v="56"/>
    <s v="S719"/>
    <s v="Epsilon LLC"/>
    <s v="W11"/>
    <x v="3"/>
    <s v="UPS"/>
    <s v="London-Toronto"/>
    <n v="715"/>
    <n v="260"/>
    <n v="5"/>
    <n v="58.34"/>
    <n v="90.53"/>
    <n v="148.87"/>
    <x v="1"/>
    <n v="0"/>
    <n v="77.44"/>
    <n v="165"/>
    <n v="160"/>
  </r>
  <r>
    <x v="900"/>
    <s v="C2221"/>
    <d v="2020-04-02T00:00:00"/>
    <d v="2024-04-14T00:00:00"/>
    <x v="2"/>
    <s v="North America"/>
    <s v="Canada"/>
    <s v="New York"/>
    <s v="P83097"/>
    <s v="Furniture"/>
    <s v="Laptop"/>
    <s v="Product_3450"/>
    <n v="218.43"/>
    <n v="3"/>
    <s v="S220"/>
    <s v="Gamma Inc"/>
    <s v="W6"/>
    <x v="2"/>
    <s v="Maersk"/>
    <s v="Beijing-New York"/>
    <n v="2096"/>
    <n v="245"/>
    <n v="27"/>
    <n v="1979.64"/>
    <n v="325.19"/>
    <n v="2304.83"/>
    <x v="1"/>
    <n v="0"/>
    <n v="86.09"/>
    <n v="227"/>
    <n v="233"/>
  </r>
  <r>
    <x v="901"/>
    <s v="C8020"/>
    <d v="2020-02-05T00:00:00"/>
    <d v="2022-10-06T00:00:00"/>
    <x v="2"/>
    <s v="Europe"/>
    <s v="South Africa"/>
    <s v="London"/>
    <s v="P54218"/>
    <s v="Apparel"/>
    <s v="Chair"/>
    <s v="Product_6137"/>
    <n v="322.01"/>
    <n v="68"/>
    <s v="S634"/>
    <s v="Gamma Inc"/>
    <s v="W42"/>
    <x v="0"/>
    <s v="UPS"/>
    <s v="London-Mumbai"/>
    <n v="4470"/>
    <n v="296"/>
    <n v="10"/>
    <n v="1328.44"/>
    <n v="481.56"/>
    <n v="1810"/>
    <x v="1"/>
    <n v="0"/>
    <n v="70.56"/>
    <n v="407"/>
    <n v="423"/>
  </r>
  <r>
    <x v="902"/>
    <s v="C8386"/>
    <d v="2020-10-18T00:00:00"/>
    <d v="2021-09-27T00:00:00"/>
    <x v="1"/>
    <s v="Africa"/>
    <s v="India"/>
    <s v="New York"/>
    <s v="P57793"/>
    <s v="Pharma"/>
    <s v="Snacks"/>
    <s v="Product_4437"/>
    <n v="241.91"/>
    <n v="4"/>
    <s v="S991"/>
    <s v="Epsilon LLC"/>
    <s v="W44"/>
    <x v="1"/>
    <s v="BlueDart"/>
    <s v="Cape Town-Toronto"/>
    <n v="4449"/>
    <n v="260"/>
    <n v="20"/>
    <n v="1017.33"/>
    <n v="269.29000000000002"/>
    <n v="1286.6199999999999"/>
    <x v="1"/>
    <n v="0"/>
    <n v="76.12"/>
    <n v="349"/>
    <n v="328"/>
  </r>
  <r>
    <x v="903"/>
    <s v="C7381"/>
    <d v="2020-01-26T00:00:00"/>
    <d v="2020-01-29T00:00:00"/>
    <x v="2"/>
    <s v="North America"/>
    <s v="USA"/>
    <s v="Beijing"/>
    <s v="P74810"/>
    <s v="Electronics"/>
    <s v="Snacks"/>
    <s v="Product_5804"/>
    <n v="206.31"/>
    <n v="14"/>
    <s v="S581"/>
    <s v="Delta Traders"/>
    <s v="W21"/>
    <x v="2"/>
    <s v="BlueDart"/>
    <s v="London-Beijing"/>
    <n v="4507"/>
    <n v="156"/>
    <n v="3"/>
    <n v="1805.2"/>
    <n v="444.96"/>
    <n v="2250.16"/>
    <x v="1"/>
    <n v="0"/>
    <n v="93.04"/>
    <n v="93"/>
    <n v="67"/>
  </r>
  <r>
    <x v="904"/>
    <s v="C6426"/>
    <d v="2020-08-03T00:00:00"/>
    <d v="2024-08-31T00:00:00"/>
    <x v="1"/>
    <s v="South America"/>
    <s v="China"/>
    <s v="São Paulo"/>
    <s v="P96194"/>
    <s v="Apparel"/>
    <s v="Snacks"/>
    <s v="Product_9199"/>
    <n v="337.89"/>
    <n v="44"/>
    <s v="S288"/>
    <s v="Delta Traders"/>
    <s v="W44"/>
    <x v="0"/>
    <s v="UPS"/>
    <s v="Mumbai-Beijing"/>
    <n v="3143"/>
    <n v="104"/>
    <n v="16"/>
    <n v="1807.54"/>
    <n v="140.4"/>
    <n v="1947.94"/>
    <x v="0"/>
    <n v="4"/>
    <n v="92.55"/>
    <n v="230"/>
    <n v="210"/>
  </r>
  <r>
    <x v="905"/>
    <s v="C4201"/>
    <d v="2023-03-03T00:00:00"/>
    <d v="2023-10-02T00:00:00"/>
    <x v="1"/>
    <s v="North America"/>
    <s v="Germany"/>
    <s v="Toronto"/>
    <s v="P46115"/>
    <s v="Apparel"/>
    <s v="Laptop"/>
    <s v="Product_1134"/>
    <n v="142.07"/>
    <n v="58"/>
    <s v="S337"/>
    <s v="Beta Ltd"/>
    <s v="W5"/>
    <x v="2"/>
    <s v="UPS"/>
    <s v="Berlin-Beijing"/>
    <n v="4504"/>
    <n v="434"/>
    <n v="3"/>
    <n v="375.65"/>
    <n v="339.13"/>
    <n v="714.78"/>
    <x v="1"/>
    <n v="0"/>
    <n v="72.290000000000006"/>
    <n v="403"/>
    <n v="400"/>
  </r>
  <r>
    <x v="906"/>
    <s v="C8049"/>
    <d v="2021-01-19T00:00:00"/>
    <d v="2024-03-02T00:00:00"/>
    <x v="2"/>
    <s v="North America"/>
    <s v="USA"/>
    <s v="Mumbai"/>
    <s v="P39771"/>
    <s v="Apparel"/>
    <s v="Medicines"/>
    <s v="Product_8202"/>
    <n v="333.42"/>
    <n v="37"/>
    <s v="S955"/>
    <s v="Epsilon LLC"/>
    <s v="W27"/>
    <x v="0"/>
    <s v="FedEx"/>
    <s v="London-Cape Town"/>
    <n v="3139"/>
    <n v="259"/>
    <n v="23"/>
    <n v="742.45"/>
    <n v="433.51"/>
    <n v="1175.96"/>
    <x v="1"/>
    <n v="0"/>
    <n v="94.29"/>
    <n v="425"/>
    <n v="474"/>
  </r>
  <r>
    <x v="907"/>
    <s v="C6905"/>
    <d v="2024-12-16T00:00:00"/>
    <d v="2022-08-10T00:00:00"/>
    <x v="2"/>
    <s v="Asia"/>
    <s v="India"/>
    <s v="New York"/>
    <s v="P39603"/>
    <s v="Apparel"/>
    <s v="Chair"/>
    <s v="Product_5138"/>
    <n v="343.32"/>
    <n v="79"/>
    <s v="S718"/>
    <s v="Gamma Inc"/>
    <s v="W44"/>
    <x v="3"/>
    <s v="DHL"/>
    <s v="Mumbai-Berlin"/>
    <n v="268"/>
    <n v="499"/>
    <n v="14"/>
    <n v="1946.76"/>
    <n v="98.01"/>
    <n v="2044.77"/>
    <x v="1"/>
    <n v="0"/>
    <n v="95.78"/>
    <n v="172"/>
    <n v="133"/>
  </r>
  <r>
    <x v="908"/>
    <s v="C2185"/>
    <d v="2024-04-03T00:00:00"/>
    <d v="2021-05-08T00:00:00"/>
    <x v="2"/>
    <s v="North America"/>
    <s v="Brazil"/>
    <s v="Toronto"/>
    <s v="P33490"/>
    <s v="Electronics"/>
    <s v="Shirt"/>
    <s v="Product_9156"/>
    <n v="145.97999999999999"/>
    <n v="19"/>
    <s v="S383"/>
    <s v="Epsilon LLC"/>
    <s v="W45"/>
    <x v="3"/>
    <s v="Maersk"/>
    <s v="São Paulo-London"/>
    <n v="1125"/>
    <n v="116"/>
    <n v="14"/>
    <n v="970.65"/>
    <n v="291.51"/>
    <n v="1262.1600000000001"/>
    <x v="1"/>
    <n v="0"/>
    <n v="99.25"/>
    <n v="486"/>
    <n v="511"/>
  </r>
  <r>
    <x v="909"/>
    <s v="C3927"/>
    <d v="2022-12-06T00:00:00"/>
    <d v="2024-06-13T00:00:00"/>
    <x v="2"/>
    <s v="Europe"/>
    <s v="South Africa"/>
    <s v="London"/>
    <s v="P22926"/>
    <s v="Apparel"/>
    <s v="Laptop"/>
    <s v="Product_4706"/>
    <n v="376.04"/>
    <n v="81"/>
    <s v="S847"/>
    <s v="Alpha Corp"/>
    <s v="W17"/>
    <x v="1"/>
    <s v="UPS"/>
    <s v="Berlin-New York"/>
    <n v="1394"/>
    <n v="175"/>
    <n v="11"/>
    <n v="1291.1600000000001"/>
    <n v="198.07"/>
    <n v="1489.23"/>
    <x v="1"/>
    <n v="0"/>
    <n v="91.48"/>
    <n v="248"/>
    <n v="268"/>
  </r>
  <r>
    <x v="910"/>
    <s v="C5213"/>
    <d v="2020-05-17T00:00:00"/>
    <d v="2023-11-25T00:00:00"/>
    <x v="2"/>
    <s v="North America"/>
    <s v="Germany"/>
    <s v="Mumbai"/>
    <s v="P82670"/>
    <s v="Apparel"/>
    <s v="Chair"/>
    <s v="Product_7411"/>
    <n v="488.49"/>
    <n v="94"/>
    <s v="S385"/>
    <s v="Gamma Inc"/>
    <s v="W44"/>
    <x v="3"/>
    <s v="Maersk"/>
    <s v="Cape Town-Toronto"/>
    <n v="4599"/>
    <n v="299"/>
    <n v="5"/>
    <n v="982.85"/>
    <n v="388.46"/>
    <n v="1371.31"/>
    <x v="1"/>
    <n v="0"/>
    <n v="83.01"/>
    <n v="224"/>
    <n v="263"/>
  </r>
  <r>
    <x v="911"/>
    <s v="C2321"/>
    <d v="2022-07-20T00:00:00"/>
    <d v="2023-08-15T00:00:00"/>
    <x v="2"/>
    <s v="Asia"/>
    <s v="USA"/>
    <s v="Berlin"/>
    <s v="P38088"/>
    <s v="Electronics"/>
    <s v="Laptop"/>
    <s v="Product_2863"/>
    <n v="318.87"/>
    <n v="25"/>
    <s v="S399"/>
    <s v="Epsilon LLC"/>
    <s v="W40"/>
    <x v="1"/>
    <s v="UPS"/>
    <s v="Mumbai-London"/>
    <n v="4876"/>
    <n v="484"/>
    <n v="13"/>
    <n v="1373.13"/>
    <n v="98.48"/>
    <n v="1471.61"/>
    <x v="1"/>
    <n v="0"/>
    <n v="90.15"/>
    <n v="110"/>
    <n v="84"/>
  </r>
  <r>
    <x v="912"/>
    <s v="C4180"/>
    <d v="2022-08-26T00:00:00"/>
    <d v="2023-07-17T00:00:00"/>
    <x v="0"/>
    <s v="Europe"/>
    <s v="China"/>
    <s v="São Paulo"/>
    <s v="P44200"/>
    <s v="Pharma"/>
    <s v="Snacks"/>
    <s v="Product_3001"/>
    <n v="300.8"/>
    <n v="59"/>
    <s v="S857"/>
    <s v="Delta Traders"/>
    <s v="W41"/>
    <x v="3"/>
    <s v="Maersk"/>
    <s v="Cape Town-Mumbai"/>
    <n v="1397"/>
    <n v="324"/>
    <n v="20"/>
    <n v="1202.0899999999999"/>
    <n v="258.22000000000003"/>
    <n v="1460.31"/>
    <x v="1"/>
    <n v="0"/>
    <n v="81.739999999999995"/>
    <n v="369"/>
    <n v="386"/>
  </r>
  <r>
    <x v="913"/>
    <s v="C2965"/>
    <d v="2021-03-06T00:00:00"/>
    <d v="2020-05-16T00:00:00"/>
    <x v="1"/>
    <s v="North America"/>
    <s v="China"/>
    <s v="Cape Town"/>
    <s v="P31882"/>
    <s v="Furniture"/>
    <s v="Chair"/>
    <s v="Product_3032"/>
    <n v="232.32"/>
    <n v="47"/>
    <s v="S599"/>
    <s v="Gamma Inc"/>
    <s v="W30"/>
    <x v="1"/>
    <s v="UPS"/>
    <s v="Berlin-London"/>
    <n v="2536"/>
    <n v="297"/>
    <n v="12"/>
    <n v="770.75"/>
    <n v="400.96"/>
    <n v="1171.71"/>
    <x v="1"/>
    <n v="0"/>
    <n v="73.16"/>
    <n v="168"/>
    <n v="200"/>
  </r>
  <r>
    <x v="914"/>
    <s v="C2460"/>
    <d v="2023-01-02T00:00:00"/>
    <d v="2022-08-10T00:00:00"/>
    <x v="2"/>
    <s v="Europe"/>
    <s v="Brazil"/>
    <s v="New York"/>
    <s v="P75763"/>
    <s v="Electronics"/>
    <s v="Shirt"/>
    <s v="Product_3643"/>
    <n v="233.06"/>
    <n v="15"/>
    <s v="S911"/>
    <s v="Alpha Corp"/>
    <s v="W12"/>
    <x v="1"/>
    <s v="BlueDart"/>
    <s v="London-Beijing"/>
    <n v="612"/>
    <n v="120"/>
    <n v="28"/>
    <n v="592.12"/>
    <n v="252.54"/>
    <n v="844.66"/>
    <x v="1"/>
    <n v="0"/>
    <n v="91.39"/>
    <n v="57"/>
    <n v="10"/>
  </r>
  <r>
    <x v="915"/>
    <s v="C7289"/>
    <d v="2023-04-18T00:00:00"/>
    <d v="2022-02-02T00:00:00"/>
    <x v="2"/>
    <s v="Europe"/>
    <s v="India"/>
    <s v="São Paulo"/>
    <s v="P11167"/>
    <s v="Pharma"/>
    <s v="Chair"/>
    <s v="Product_1364"/>
    <n v="286"/>
    <n v="49"/>
    <s v="S229"/>
    <s v="Beta Ltd"/>
    <s v="W10"/>
    <x v="2"/>
    <s v="Maersk"/>
    <s v="New York-Beijing"/>
    <n v="332"/>
    <n v="339"/>
    <n v="23"/>
    <n v="1643.38"/>
    <n v="309.74"/>
    <n v="1953.12"/>
    <x v="1"/>
    <n v="0"/>
    <n v="97.44"/>
    <n v="332"/>
    <n v="310"/>
  </r>
  <r>
    <x v="916"/>
    <s v="C3732"/>
    <d v="2023-01-03T00:00:00"/>
    <d v="2024-02-24T00:00:00"/>
    <x v="2"/>
    <s v="South America"/>
    <s v="India"/>
    <s v="Beijing"/>
    <s v="P59659"/>
    <s v="Electronics"/>
    <s v="Medicines"/>
    <s v="Product_8657"/>
    <n v="422.12"/>
    <n v="33"/>
    <s v="S876"/>
    <s v="Alpha Corp"/>
    <s v="W10"/>
    <x v="0"/>
    <s v="FedEx"/>
    <s v="Beijing-London"/>
    <n v="3306"/>
    <n v="122"/>
    <n v="4"/>
    <n v="323.37"/>
    <n v="331.23"/>
    <n v="654.6"/>
    <x v="1"/>
    <n v="0"/>
    <n v="91.09"/>
    <n v="429"/>
    <n v="430"/>
  </r>
  <r>
    <x v="917"/>
    <s v="C8210"/>
    <d v="2023-10-06T00:00:00"/>
    <d v="2021-11-02T00:00:00"/>
    <x v="2"/>
    <s v="South America"/>
    <s v="USA"/>
    <s v="Beijing"/>
    <s v="P59648"/>
    <s v="Furniture"/>
    <s v="Laptop"/>
    <s v="Product_3565"/>
    <n v="401.92"/>
    <n v="39"/>
    <s v="S635"/>
    <s v="Delta Traders"/>
    <s v="W27"/>
    <x v="0"/>
    <s v="FedEx"/>
    <s v="São Paulo-New York"/>
    <n v="4354"/>
    <n v="169"/>
    <n v="11"/>
    <n v="1022.12"/>
    <n v="302.07"/>
    <n v="1324.19"/>
    <x v="1"/>
    <n v="0"/>
    <n v="91.59"/>
    <n v="406"/>
    <n v="417"/>
  </r>
  <r>
    <x v="918"/>
    <s v="C6352"/>
    <d v="2024-06-08T00:00:00"/>
    <d v="2023-07-07T00:00:00"/>
    <x v="2"/>
    <s v="Europe"/>
    <s v="Canada"/>
    <s v="New York"/>
    <s v="P20650"/>
    <s v="Food"/>
    <s v="Chair"/>
    <s v="Product_9387"/>
    <n v="196.55"/>
    <n v="76"/>
    <s v="S830"/>
    <s v="Beta Ltd"/>
    <s v="W14"/>
    <x v="1"/>
    <s v="UPS"/>
    <s v="Cape Town-New York"/>
    <n v="752"/>
    <n v="446"/>
    <n v="7"/>
    <n v="870.6"/>
    <n v="469.28"/>
    <n v="1339.88"/>
    <x v="1"/>
    <n v="0"/>
    <n v="89.57"/>
    <n v="483"/>
    <n v="446"/>
  </r>
  <r>
    <x v="919"/>
    <s v="C2198"/>
    <d v="2022-08-16T00:00:00"/>
    <d v="2022-10-12T00:00:00"/>
    <x v="2"/>
    <s v="Europe"/>
    <s v="USA"/>
    <s v="London"/>
    <s v="P31011"/>
    <s v="Electronics"/>
    <s v="Chair"/>
    <s v="Product_3117"/>
    <n v="50.02"/>
    <n v="53"/>
    <s v="S307"/>
    <s v="Gamma Inc"/>
    <s v="W28"/>
    <x v="1"/>
    <s v="Maersk"/>
    <s v="Beijing-Toronto"/>
    <n v="4967"/>
    <n v="242"/>
    <n v="19"/>
    <n v="1965.69"/>
    <n v="407.05"/>
    <n v="2372.7399999999998"/>
    <x v="1"/>
    <n v="0"/>
    <n v="72.900000000000006"/>
    <n v="341"/>
    <n v="388"/>
  </r>
  <r>
    <x v="920"/>
    <s v="C7967"/>
    <d v="2022-09-09T00:00:00"/>
    <d v="2024-02-15T00:00:00"/>
    <x v="2"/>
    <s v="South America"/>
    <s v="India"/>
    <s v="Toronto"/>
    <s v="P82704"/>
    <s v="Apparel"/>
    <s v="Chair"/>
    <s v="Product_3068"/>
    <n v="315.48"/>
    <n v="83"/>
    <s v="S545"/>
    <s v="Delta Traders"/>
    <s v="W1"/>
    <x v="1"/>
    <s v="DHL"/>
    <s v="Toronto-Berlin"/>
    <n v="3507"/>
    <n v="405"/>
    <n v="7"/>
    <n v="1733.66"/>
    <n v="452.26"/>
    <n v="2185.92"/>
    <x v="0"/>
    <n v="9"/>
    <n v="71.02"/>
    <n v="220"/>
    <n v="187"/>
  </r>
  <r>
    <x v="921"/>
    <s v="C4158"/>
    <d v="2020-07-24T00:00:00"/>
    <d v="2022-02-17T00:00:00"/>
    <x v="2"/>
    <s v="South America"/>
    <s v="Brazil"/>
    <s v="Cape Town"/>
    <s v="P97033"/>
    <s v="Apparel"/>
    <s v="Medicines"/>
    <s v="Product_6862"/>
    <n v="421.83"/>
    <n v="97"/>
    <s v="S852"/>
    <s v="Beta Ltd"/>
    <s v="W30"/>
    <x v="1"/>
    <s v="BlueDart"/>
    <s v="Mumbai-Mumbai"/>
    <n v="1076"/>
    <n v="90"/>
    <n v="2"/>
    <n v="1965.56"/>
    <n v="30.77"/>
    <n v="1996.33"/>
    <x v="1"/>
    <n v="0"/>
    <n v="71.61"/>
    <n v="65"/>
    <n v="49"/>
  </r>
  <r>
    <x v="922"/>
    <s v="C7334"/>
    <d v="2023-03-30T00:00:00"/>
    <d v="2020-02-17T00:00:00"/>
    <x v="0"/>
    <s v="Asia"/>
    <s v="Canada"/>
    <s v="Berlin"/>
    <s v="P63921"/>
    <s v="Electronics"/>
    <s v="Shirt"/>
    <s v="Product_7535"/>
    <n v="54.99"/>
    <n v="38"/>
    <s v="S452"/>
    <s v="Alpha Corp"/>
    <s v="W27"/>
    <x v="3"/>
    <s v="UPS"/>
    <s v="London-São Paulo"/>
    <n v="4451"/>
    <n v="420"/>
    <n v="29"/>
    <n v="1769.2"/>
    <n v="474.26"/>
    <n v="2243.46"/>
    <x v="0"/>
    <n v="1"/>
    <n v="72.53"/>
    <n v="318"/>
    <n v="347"/>
  </r>
  <r>
    <x v="923"/>
    <s v="C1091"/>
    <d v="2020-11-10T00:00:00"/>
    <d v="2022-11-02T00:00:00"/>
    <x v="1"/>
    <s v="Africa"/>
    <s v="UK"/>
    <s v="New York"/>
    <s v="P62386"/>
    <s v="Pharma"/>
    <s v="Medicines"/>
    <s v="Product_1456"/>
    <n v="196.1"/>
    <n v="62"/>
    <s v="S130"/>
    <s v="Alpha Corp"/>
    <s v="W11"/>
    <x v="1"/>
    <s v="UPS"/>
    <s v="Cape Town-London"/>
    <n v="2620"/>
    <n v="457"/>
    <n v="13"/>
    <n v="1152.77"/>
    <n v="176.89"/>
    <n v="1329.66"/>
    <x v="1"/>
    <n v="0"/>
    <n v="87.77"/>
    <n v="99"/>
    <n v="63"/>
  </r>
  <r>
    <x v="924"/>
    <s v="C3820"/>
    <d v="2021-06-16T00:00:00"/>
    <d v="2023-01-03T00:00:00"/>
    <x v="1"/>
    <s v="Asia"/>
    <s v="South Africa"/>
    <s v="New York"/>
    <s v="P64327"/>
    <s v="Pharma"/>
    <s v="Chair"/>
    <s v="Product_2558"/>
    <n v="365.79"/>
    <n v="88"/>
    <s v="S204"/>
    <s v="Delta Traders"/>
    <s v="W20"/>
    <x v="3"/>
    <s v="DHL"/>
    <s v="Mumbai-Cape Town"/>
    <n v="3726"/>
    <n v="380"/>
    <n v="22"/>
    <n v="587.34"/>
    <n v="211.38"/>
    <n v="798.72"/>
    <x v="1"/>
    <n v="0"/>
    <n v="96.4"/>
    <n v="71"/>
    <n v="96"/>
  </r>
  <r>
    <x v="925"/>
    <s v="C6474"/>
    <d v="2021-07-18T00:00:00"/>
    <d v="2024-11-24T00:00:00"/>
    <x v="1"/>
    <s v="North America"/>
    <s v="China"/>
    <s v="Berlin"/>
    <s v="P13473"/>
    <s v="Electronics"/>
    <s v="Laptop"/>
    <s v="Product_9664"/>
    <n v="396.66"/>
    <n v="29"/>
    <s v="S445"/>
    <s v="Alpha Corp"/>
    <s v="W13"/>
    <x v="1"/>
    <s v="DHL"/>
    <s v="New York-São Paulo"/>
    <n v="1943"/>
    <n v="84"/>
    <n v="20"/>
    <n v="317.86"/>
    <n v="281.14"/>
    <n v="599"/>
    <x v="1"/>
    <n v="0"/>
    <n v="96.26"/>
    <n v="204"/>
    <n v="223"/>
  </r>
  <r>
    <x v="926"/>
    <s v="C5526"/>
    <d v="2020-08-30T00:00:00"/>
    <d v="2023-02-23T00:00:00"/>
    <x v="2"/>
    <s v="Europe"/>
    <s v="South Africa"/>
    <s v="Berlin"/>
    <s v="P40721"/>
    <s v="Pharma"/>
    <s v="Laptop"/>
    <s v="Product_9697"/>
    <n v="60.12"/>
    <n v="95"/>
    <s v="S665"/>
    <s v="Gamma Inc"/>
    <s v="W47"/>
    <x v="2"/>
    <s v="UPS"/>
    <s v="Berlin-Beijing"/>
    <n v="206"/>
    <n v="303"/>
    <n v="7"/>
    <n v="682.32"/>
    <n v="28.48"/>
    <n v="710.80000000000007"/>
    <x v="1"/>
    <n v="0"/>
    <n v="96.42"/>
    <n v="260"/>
    <n v="257"/>
  </r>
  <r>
    <x v="927"/>
    <s v="C9430"/>
    <d v="2020-03-06T00:00:00"/>
    <d v="2024-07-29T00:00:00"/>
    <x v="1"/>
    <s v="North America"/>
    <s v="UK"/>
    <s v="New York"/>
    <s v="P23677"/>
    <s v="Electronics"/>
    <s v="Medicines"/>
    <s v="Product_3570"/>
    <n v="484.73"/>
    <n v="16"/>
    <s v="S371"/>
    <s v="Epsilon LLC"/>
    <s v="W44"/>
    <x v="3"/>
    <s v="Maersk"/>
    <s v="Toronto-Cape Town"/>
    <n v="3380"/>
    <n v="463"/>
    <n v="15"/>
    <n v="253.22"/>
    <n v="421.57"/>
    <n v="674.79"/>
    <x v="1"/>
    <n v="0"/>
    <n v="71.16"/>
    <n v="152"/>
    <n v="189"/>
  </r>
  <r>
    <x v="928"/>
    <s v="C2617"/>
    <d v="2023-11-12T00:00:00"/>
    <d v="2020-05-21T00:00:00"/>
    <x v="0"/>
    <s v="Africa"/>
    <s v="Germany"/>
    <s v="Cape Town"/>
    <s v="P29196"/>
    <s v="Furniture"/>
    <s v="Chair"/>
    <s v="Product_9737"/>
    <n v="265.82"/>
    <n v="69"/>
    <s v="S542"/>
    <s v="Gamma Inc"/>
    <s v="W7"/>
    <x v="1"/>
    <s v="UPS"/>
    <s v="New York-Cape Town"/>
    <n v="3316"/>
    <n v="375"/>
    <n v="19"/>
    <n v="1833.75"/>
    <n v="321.97000000000003"/>
    <n v="2155.7199999999998"/>
    <x v="1"/>
    <n v="0"/>
    <n v="87.47"/>
    <n v="431"/>
    <n v="413"/>
  </r>
  <r>
    <x v="929"/>
    <s v="C2448"/>
    <d v="2021-03-21T00:00:00"/>
    <d v="2024-11-05T00:00:00"/>
    <x v="2"/>
    <s v="Europe"/>
    <s v="India"/>
    <s v="New York"/>
    <s v="P52737"/>
    <s v="Electronics"/>
    <s v="Shirt"/>
    <s v="Product_2508"/>
    <n v="219.79"/>
    <n v="88"/>
    <s v="S621"/>
    <s v="Gamma Inc"/>
    <s v="W14"/>
    <x v="1"/>
    <s v="BlueDart"/>
    <s v="Toronto-Cape Town"/>
    <n v="2266"/>
    <n v="424"/>
    <n v="23"/>
    <n v="252.79"/>
    <n v="141.58000000000001"/>
    <n v="394.37"/>
    <x v="1"/>
    <n v="0"/>
    <n v="77.709999999999994"/>
    <n v="119"/>
    <n v="69"/>
  </r>
  <r>
    <x v="930"/>
    <s v="C5436"/>
    <d v="2021-03-03T00:00:00"/>
    <d v="2022-09-02T00:00:00"/>
    <x v="2"/>
    <s v="Europe"/>
    <s v="Brazil"/>
    <s v="Beijing"/>
    <s v="P70064"/>
    <s v="Pharma"/>
    <s v="Snacks"/>
    <s v="Product_8306"/>
    <n v="311.38"/>
    <n v="22"/>
    <s v="S141"/>
    <s v="Delta Traders"/>
    <s v="W48"/>
    <x v="1"/>
    <s v="UPS"/>
    <s v="Beijing-Toronto"/>
    <n v="107"/>
    <n v="167"/>
    <n v="19"/>
    <n v="540.04999999999995"/>
    <n v="177.57"/>
    <n v="717.61999999999989"/>
    <x v="1"/>
    <n v="0"/>
    <n v="89.69"/>
    <n v="405"/>
    <n v="409"/>
  </r>
  <r>
    <x v="931"/>
    <s v="C4892"/>
    <d v="2022-12-27T00:00:00"/>
    <d v="2023-12-19T00:00:00"/>
    <x v="1"/>
    <s v="Europe"/>
    <s v="UK"/>
    <s v="Mumbai"/>
    <s v="P30280"/>
    <s v="Electronics"/>
    <s v="Medicines"/>
    <s v="Product_7901"/>
    <n v="300.3"/>
    <n v="10"/>
    <s v="S595"/>
    <s v="Gamma Inc"/>
    <s v="W7"/>
    <x v="3"/>
    <s v="UPS"/>
    <s v="Toronto-London"/>
    <n v="4358"/>
    <n v="396"/>
    <n v="20"/>
    <n v="344.02"/>
    <n v="102.85"/>
    <n v="446.87"/>
    <x v="0"/>
    <n v="1"/>
    <n v="87.33"/>
    <n v="76"/>
    <n v="90"/>
  </r>
  <r>
    <x v="932"/>
    <s v="C4829"/>
    <d v="2020-12-14T00:00:00"/>
    <d v="2022-09-12T00:00:00"/>
    <x v="2"/>
    <s v="South America"/>
    <s v="China"/>
    <s v="São Paulo"/>
    <s v="P41619"/>
    <s v="Pharma"/>
    <s v="Medicines"/>
    <s v="Product_2702"/>
    <n v="54.81"/>
    <n v="21"/>
    <s v="S544"/>
    <s v="Delta Traders"/>
    <s v="W38"/>
    <x v="2"/>
    <s v="UPS"/>
    <s v="São Paulo-São Paulo"/>
    <n v="3913"/>
    <n v="350"/>
    <n v="9"/>
    <n v="218.57"/>
    <n v="155.66999999999999"/>
    <n v="374.24"/>
    <x v="1"/>
    <n v="0"/>
    <n v="99.8"/>
    <n v="467"/>
    <n v="477"/>
  </r>
  <r>
    <x v="933"/>
    <s v="C7329"/>
    <d v="2024-11-13T00:00:00"/>
    <d v="2020-02-18T00:00:00"/>
    <x v="2"/>
    <s v="Africa"/>
    <s v="UK"/>
    <s v="London"/>
    <s v="P41946"/>
    <s v="Furniture"/>
    <s v="Laptop"/>
    <s v="Product_3756"/>
    <n v="195.8"/>
    <n v="57"/>
    <s v="S520"/>
    <s v="Epsilon LLC"/>
    <s v="W13"/>
    <x v="0"/>
    <s v="Maersk"/>
    <s v="Mumbai-Toronto"/>
    <n v="315"/>
    <n v="293"/>
    <n v="18"/>
    <n v="1651.03"/>
    <n v="437.19"/>
    <n v="2088.2199999999998"/>
    <x v="1"/>
    <n v="0"/>
    <n v="81.599999999999994"/>
    <n v="90"/>
    <n v="92"/>
  </r>
  <r>
    <x v="934"/>
    <s v="C4902"/>
    <d v="2022-03-04T00:00:00"/>
    <d v="2020-10-30T00:00:00"/>
    <x v="2"/>
    <s v="South America"/>
    <s v="China"/>
    <s v="London"/>
    <s v="P80344"/>
    <s v="Food"/>
    <s v="Shirt"/>
    <s v="Product_3190"/>
    <n v="377.04"/>
    <n v="30"/>
    <s v="S311"/>
    <s v="Delta Traders"/>
    <s v="W20"/>
    <x v="1"/>
    <s v="UPS"/>
    <s v="Beijing-London"/>
    <n v="2596"/>
    <n v="377"/>
    <n v="2"/>
    <n v="381.06"/>
    <n v="406.53"/>
    <n v="787.58999999999992"/>
    <x v="1"/>
    <n v="0"/>
    <n v="95.56"/>
    <n v="404"/>
    <n v="389"/>
  </r>
  <r>
    <x v="935"/>
    <s v="C7630"/>
    <d v="2024-07-02T00:00:00"/>
    <d v="2020-08-31T00:00:00"/>
    <x v="2"/>
    <s v="North America"/>
    <s v="USA"/>
    <s v="Mumbai"/>
    <s v="P84688"/>
    <s v="Pharma"/>
    <s v="Snacks"/>
    <s v="Product_8018"/>
    <n v="150.91999999999999"/>
    <n v="55"/>
    <s v="S967"/>
    <s v="Epsilon LLC"/>
    <s v="W28"/>
    <x v="1"/>
    <s v="DHL"/>
    <s v="Toronto-Toronto"/>
    <n v="4607"/>
    <n v="302"/>
    <n v="11"/>
    <n v="1843.07"/>
    <n v="413.21"/>
    <n v="2256.2800000000002"/>
    <x v="1"/>
    <n v="0"/>
    <n v="90.73"/>
    <n v="150"/>
    <n v="148"/>
  </r>
  <r>
    <x v="936"/>
    <s v="C2616"/>
    <d v="2021-01-20T00:00:00"/>
    <d v="2021-06-26T00:00:00"/>
    <x v="1"/>
    <s v="North America"/>
    <s v="South Africa"/>
    <s v="London"/>
    <s v="P51456"/>
    <s v="Furniture"/>
    <s v="Laptop"/>
    <s v="Product_5702"/>
    <n v="82.84"/>
    <n v="64"/>
    <s v="S982"/>
    <s v="Epsilon LLC"/>
    <s v="W44"/>
    <x v="1"/>
    <s v="Maersk"/>
    <s v="São Paulo-London"/>
    <n v="486"/>
    <n v="366"/>
    <n v="11"/>
    <n v="307.41000000000003"/>
    <n v="220.38"/>
    <n v="527.79"/>
    <x v="1"/>
    <n v="0"/>
    <n v="83.45"/>
    <n v="57"/>
    <n v="82"/>
  </r>
  <r>
    <x v="937"/>
    <s v="C9768"/>
    <d v="2022-11-15T00:00:00"/>
    <d v="2022-11-29T00:00:00"/>
    <x v="1"/>
    <s v="Europe"/>
    <s v="USA"/>
    <s v="New York"/>
    <s v="P23818"/>
    <s v="Apparel"/>
    <s v="Medicines"/>
    <s v="Product_2882"/>
    <n v="494.92"/>
    <n v="76"/>
    <s v="S237"/>
    <s v="Gamma Inc"/>
    <s v="W19"/>
    <x v="2"/>
    <s v="Maersk"/>
    <s v="Cape Town-São Paulo"/>
    <n v="3190"/>
    <n v="340"/>
    <n v="5"/>
    <n v="1138.3599999999999"/>
    <n v="195.46"/>
    <n v="1333.82"/>
    <x v="1"/>
    <n v="0"/>
    <n v="71.08"/>
    <n v="289"/>
    <n v="267"/>
  </r>
  <r>
    <x v="938"/>
    <s v="C5208"/>
    <d v="2021-05-01T00:00:00"/>
    <d v="2020-07-18T00:00:00"/>
    <x v="2"/>
    <s v="North America"/>
    <s v="China"/>
    <s v="São Paulo"/>
    <s v="P75874"/>
    <s v="Food"/>
    <s v="Shirt"/>
    <s v="Product_5052"/>
    <n v="97.65"/>
    <n v="64"/>
    <s v="S571"/>
    <s v="Alpha Corp"/>
    <s v="W25"/>
    <x v="1"/>
    <s v="UPS"/>
    <s v="Cape Town-New York"/>
    <n v="4315"/>
    <n v="62"/>
    <n v="23"/>
    <n v="553.94000000000005"/>
    <n v="296.39999999999998"/>
    <n v="850.34"/>
    <x v="1"/>
    <n v="0"/>
    <n v="71.760000000000005"/>
    <n v="413"/>
    <n v="434"/>
  </r>
  <r>
    <x v="939"/>
    <s v="C9659"/>
    <d v="2023-11-05T00:00:00"/>
    <d v="2024-09-13T00:00:00"/>
    <x v="1"/>
    <s v="Asia"/>
    <s v="Germany"/>
    <s v="New York"/>
    <s v="P24211"/>
    <s v="Pharma"/>
    <s v="Medicines"/>
    <s v="Product_4589"/>
    <n v="383.46"/>
    <n v="8"/>
    <s v="S273"/>
    <s v="Alpha Corp"/>
    <s v="W20"/>
    <x v="2"/>
    <s v="FedEx"/>
    <s v="Mumbai-London"/>
    <n v="4941"/>
    <n v="210"/>
    <n v="22"/>
    <n v="73.430000000000007"/>
    <n v="12.91"/>
    <n v="86.34"/>
    <x v="0"/>
    <n v="4"/>
    <n v="72.430000000000007"/>
    <n v="214"/>
    <n v="262"/>
  </r>
  <r>
    <x v="940"/>
    <s v="C4471"/>
    <d v="2021-08-19T00:00:00"/>
    <d v="2024-03-26T00:00:00"/>
    <x v="1"/>
    <s v="South America"/>
    <s v="Canada"/>
    <s v="Toronto"/>
    <s v="P88605"/>
    <s v="Pharma"/>
    <s v="Shirt"/>
    <s v="Product_3892"/>
    <n v="262.95"/>
    <n v="16"/>
    <s v="S165"/>
    <s v="Beta Ltd"/>
    <s v="W11"/>
    <x v="3"/>
    <s v="UPS"/>
    <s v="Mumbai-New York"/>
    <n v="2013"/>
    <n v="385"/>
    <n v="8"/>
    <n v="1435.07"/>
    <n v="227.76"/>
    <n v="1662.83"/>
    <x v="1"/>
    <n v="0"/>
    <n v="73.150000000000006"/>
    <n v="155"/>
    <n v="138"/>
  </r>
  <r>
    <x v="941"/>
    <s v="C4726"/>
    <d v="2022-08-21T00:00:00"/>
    <d v="2024-05-24T00:00:00"/>
    <x v="2"/>
    <s v="Europe"/>
    <s v="Canada"/>
    <s v="London"/>
    <s v="P47703"/>
    <s v="Food"/>
    <s v="Shirt"/>
    <s v="Product_3183"/>
    <n v="250.58"/>
    <n v="47"/>
    <s v="S133"/>
    <s v="Alpha Corp"/>
    <s v="W31"/>
    <x v="1"/>
    <s v="UPS"/>
    <s v="Mumbai-London"/>
    <n v="900"/>
    <n v="362"/>
    <n v="22"/>
    <n v="156.79"/>
    <n v="497.64"/>
    <n v="654.42999999999995"/>
    <x v="1"/>
    <n v="0"/>
    <n v="77.400000000000006"/>
    <n v="462"/>
    <n v="413"/>
  </r>
  <r>
    <x v="942"/>
    <s v="C5669"/>
    <d v="2020-11-17T00:00:00"/>
    <d v="2022-02-06T00:00:00"/>
    <x v="2"/>
    <s v="Asia"/>
    <s v="South Africa"/>
    <s v="Toronto"/>
    <s v="P99405"/>
    <s v="Electronics"/>
    <s v="Shirt"/>
    <s v="Product_9120"/>
    <n v="208.41"/>
    <n v="27"/>
    <s v="S340"/>
    <s v="Beta Ltd"/>
    <s v="W20"/>
    <x v="3"/>
    <s v="FedEx"/>
    <s v="Mumbai-Toronto"/>
    <n v="4209"/>
    <n v="150"/>
    <n v="13"/>
    <n v="51.27"/>
    <n v="386.15"/>
    <n v="437.42"/>
    <x v="1"/>
    <n v="0"/>
    <n v="72.61"/>
    <n v="103"/>
    <n v="80"/>
  </r>
  <r>
    <x v="943"/>
    <s v="C3813"/>
    <d v="2020-06-07T00:00:00"/>
    <d v="2024-07-04T00:00:00"/>
    <x v="2"/>
    <s v="Asia"/>
    <s v="China"/>
    <s v="São Paulo"/>
    <s v="P45040"/>
    <s v="Apparel"/>
    <s v="Snacks"/>
    <s v="Product_8983"/>
    <n v="443.9"/>
    <n v="15"/>
    <s v="S294"/>
    <s v="Beta Ltd"/>
    <s v="W46"/>
    <x v="2"/>
    <s v="BlueDart"/>
    <s v="London-Beijing"/>
    <n v="2453"/>
    <n v="307"/>
    <n v="14"/>
    <n v="115.92"/>
    <n v="229.01"/>
    <n v="344.93"/>
    <x v="1"/>
    <n v="0"/>
    <n v="96.52"/>
    <n v="350"/>
    <n v="395"/>
  </r>
  <r>
    <x v="944"/>
    <s v="C3415"/>
    <d v="2024-12-15T00:00:00"/>
    <d v="2024-11-30T00:00:00"/>
    <x v="2"/>
    <s v="Europe"/>
    <s v="Brazil"/>
    <s v="Beijing"/>
    <s v="P43973"/>
    <s v="Pharma"/>
    <s v="Shirt"/>
    <s v="Product_3217"/>
    <n v="331.87"/>
    <n v="99"/>
    <s v="S133"/>
    <s v="Epsilon LLC"/>
    <s v="W13"/>
    <x v="1"/>
    <s v="UPS"/>
    <s v="São Paulo-London"/>
    <n v="4721"/>
    <n v="420"/>
    <n v="16"/>
    <n v="1586.92"/>
    <n v="187.47"/>
    <n v="1774.39"/>
    <x v="1"/>
    <n v="0"/>
    <n v="80.849999999999994"/>
    <n v="295"/>
    <n v="331"/>
  </r>
  <r>
    <x v="945"/>
    <s v="C6860"/>
    <d v="2024-03-24T00:00:00"/>
    <d v="2024-02-14T00:00:00"/>
    <x v="2"/>
    <s v="South America"/>
    <s v="South Africa"/>
    <s v="London"/>
    <s v="P57240"/>
    <s v="Pharma"/>
    <s v="Shirt"/>
    <s v="Product_4956"/>
    <n v="497.46"/>
    <n v="55"/>
    <s v="S695"/>
    <s v="Alpha Corp"/>
    <s v="W21"/>
    <x v="1"/>
    <s v="DHL"/>
    <s v="Cape Town-New York"/>
    <n v="2139"/>
    <n v="401"/>
    <n v="8"/>
    <n v="1017.78"/>
    <n v="372.65"/>
    <n v="1390.43"/>
    <x v="1"/>
    <n v="0"/>
    <n v="72.03"/>
    <n v="435"/>
    <n v="471"/>
  </r>
  <r>
    <x v="946"/>
    <s v="C7917"/>
    <d v="2023-12-06T00:00:00"/>
    <d v="2022-07-10T00:00:00"/>
    <x v="1"/>
    <s v="South America"/>
    <s v="India"/>
    <s v="Cape Town"/>
    <s v="P45221"/>
    <s v="Furniture"/>
    <s v="Shirt"/>
    <s v="Product_1846"/>
    <n v="43.93"/>
    <n v="95"/>
    <s v="S593"/>
    <s v="Epsilon LLC"/>
    <s v="W2"/>
    <x v="3"/>
    <s v="DHL"/>
    <s v="London-New York"/>
    <n v="3912"/>
    <n v="360"/>
    <n v="21"/>
    <n v="758.72"/>
    <n v="55.05"/>
    <n v="813.77"/>
    <x v="1"/>
    <n v="0"/>
    <n v="95.2"/>
    <n v="457"/>
    <n v="424"/>
  </r>
  <r>
    <x v="947"/>
    <s v="C7602"/>
    <d v="2020-07-22T00:00:00"/>
    <d v="2023-11-28T00:00:00"/>
    <x v="2"/>
    <s v="Africa"/>
    <s v="UK"/>
    <s v="New York"/>
    <s v="P32387"/>
    <s v="Food"/>
    <s v="Laptop"/>
    <s v="Product_1491"/>
    <n v="168.55"/>
    <n v="67"/>
    <s v="S500"/>
    <s v="Epsilon LLC"/>
    <s v="W2"/>
    <x v="2"/>
    <s v="DHL"/>
    <s v="London-São Paulo"/>
    <n v="2884"/>
    <n v="253"/>
    <n v="6"/>
    <n v="465.77"/>
    <n v="326.10000000000002"/>
    <n v="791.87"/>
    <x v="1"/>
    <n v="0"/>
    <n v="92.3"/>
    <n v="233"/>
    <n v="222"/>
  </r>
  <r>
    <x v="948"/>
    <s v="C9865"/>
    <d v="2022-10-03T00:00:00"/>
    <d v="2023-02-04T00:00:00"/>
    <x v="2"/>
    <s v="Asia"/>
    <s v="UK"/>
    <s v="Toronto"/>
    <s v="P70796"/>
    <s v="Apparel"/>
    <s v="Laptop"/>
    <s v="Product_4254"/>
    <n v="416.11"/>
    <n v="32"/>
    <s v="S904"/>
    <s v="Gamma Inc"/>
    <s v="W9"/>
    <x v="2"/>
    <s v="BlueDart"/>
    <s v="Toronto-Cape Town"/>
    <n v="3565"/>
    <n v="115"/>
    <n v="29"/>
    <n v="688.84"/>
    <n v="450.86"/>
    <n v="1139.7"/>
    <x v="1"/>
    <n v="0"/>
    <n v="93"/>
    <n v="58"/>
    <n v="93"/>
  </r>
  <r>
    <x v="949"/>
    <s v="C5849"/>
    <d v="2022-04-02T00:00:00"/>
    <d v="2022-12-16T00:00:00"/>
    <x v="1"/>
    <s v="Asia"/>
    <s v="Germany"/>
    <s v="London"/>
    <s v="P67532"/>
    <s v="Furniture"/>
    <s v="Snacks"/>
    <s v="Product_7015"/>
    <n v="247.82"/>
    <n v="51"/>
    <s v="S839"/>
    <s v="Gamma Inc"/>
    <s v="W47"/>
    <x v="3"/>
    <s v="DHL"/>
    <s v="Berlin-Toronto"/>
    <n v="2814"/>
    <n v="132"/>
    <n v="21"/>
    <n v="411.77"/>
    <n v="237.88"/>
    <n v="649.65"/>
    <x v="1"/>
    <n v="0"/>
    <n v="97.46"/>
    <n v="391"/>
    <n v="360"/>
  </r>
  <r>
    <x v="950"/>
    <s v="C4808"/>
    <d v="2024-05-09T00:00:00"/>
    <d v="2020-10-11T00:00:00"/>
    <x v="0"/>
    <s v="Africa"/>
    <s v="India"/>
    <s v="Mumbai"/>
    <s v="P80217"/>
    <s v="Pharma"/>
    <s v="Medicines"/>
    <s v="Product_3186"/>
    <n v="411.55"/>
    <n v="29"/>
    <s v="S941"/>
    <s v="Epsilon LLC"/>
    <s v="W48"/>
    <x v="3"/>
    <s v="Maersk"/>
    <s v="London-Beijing"/>
    <n v="3264"/>
    <n v="378"/>
    <n v="3"/>
    <n v="1306.67"/>
    <n v="370.17"/>
    <n v="1676.84"/>
    <x v="1"/>
    <n v="0"/>
    <n v="92.4"/>
    <n v="235"/>
    <n v="223"/>
  </r>
  <r>
    <x v="951"/>
    <s v="C2022"/>
    <d v="2021-09-08T00:00:00"/>
    <d v="2023-11-28T00:00:00"/>
    <x v="2"/>
    <s v="North America"/>
    <s v="Germany"/>
    <s v="Berlin"/>
    <s v="P84045"/>
    <s v="Furniture"/>
    <s v="Snacks"/>
    <s v="Product_8521"/>
    <n v="192.76"/>
    <n v="34"/>
    <s v="S982"/>
    <s v="Alpha Corp"/>
    <s v="W13"/>
    <x v="2"/>
    <s v="FedEx"/>
    <s v="Toronto-Toronto"/>
    <n v="1298"/>
    <n v="155"/>
    <n v="19"/>
    <n v="571.04999999999995"/>
    <n v="323.77"/>
    <n v="894.81999999999994"/>
    <x v="1"/>
    <n v="0"/>
    <n v="77.86"/>
    <n v="217"/>
    <n v="253"/>
  </r>
  <r>
    <x v="952"/>
    <s v="C8568"/>
    <d v="2022-09-27T00:00:00"/>
    <d v="2020-09-17T00:00:00"/>
    <x v="1"/>
    <s v="South America"/>
    <s v="China"/>
    <s v="Toronto"/>
    <s v="P79227"/>
    <s v="Electronics"/>
    <s v="Chair"/>
    <s v="Product_5619"/>
    <n v="364.74"/>
    <n v="93"/>
    <s v="S438"/>
    <s v="Beta Ltd"/>
    <s v="W39"/>
    <x v="3"/>
    <s v="FedEx"/>
    <s v="Toronto-São Paulo"/>
    <n v="232"/>
    <n v="61"/>
    <n v="21"/>
    <n v="396.62"/>
    <n v="16.88"/>
    <n v="413.5"/>
    <x v="0"/>
    <n v="13"/>
    <n v="71.67"/>
    <n v="255"/>
    <n v="237"/>
  </r>
  <r>
    <x v="953"/>
    <s v="C8101"/>
    <d v="2022-02-11T00:00:00"/>
    <d v="2023-04-07T00:00:00"/>
    <x v="0"/>
    <s v="Europe"/>
    <s v="South Africa"/>
    <s v="Mumbai"/>
    <s v="P23325"/>
    <s v="Food"/>
    <s v="Snacks"/>
    <s v="Product_7345"/>
    <n v="102.28"/>
    <n v="70"/>
    <s v="S417"/>
    <s v="Epsilon LLC"/>
    <s v="W4"/>
    <x v="2"/>
    <s v="DHL"/>
    <s v="Toronto-Cape Town"/>
    <n v="2331"/>
    <n v="455"/>
    <n v="29"/>
    <n v="115.24"/>
    <n v="348.77"/>
    <n v="464.01"/>
    <x v="1"/>
    <n v="0"/>
    <n v="77.5"/>
    <n v="76"/>
    <n v="49"/>
  </r>
  <r>
    <x v="954"/>
    <s v="C8649"/>
    <d v="2024-11-07T00:00:00"/>
    <d v="2024-04-19T00:00:00"/>
    <x v="0"/>
    <s v="Europe"/>
    <s v="USA"/>
    <s v="New York"/>
    <s v="P77197"/>
    <s v="Furniture"/>
    <s v="Snacks"/>
    <s v="Product_8047"/>
    <n v="122.9"/>
    <n v="49"/>
    <s v="S427"/>
    <s v="Gamma Inc"/>
    <s v="W31"/>
    <x v="1"/>
    <s v="Maersk"/>
    <s v="London-Berlin"/>
    <n v="4826"/>
    <n v="445"/>
    <n v="2"/>
    <n v="1506.22"/>
    <n v="415.71"/>
    <n v="1921.93"/>
    <x v="1"/>
    <n v="0"/>
    <n v="93.71"/>
    <n v="385"/>
    <n v="359"/>
  </r>
  <r>
    <x v="955"/>
    <s v="C2747"/>
    <d v="2020-11-06T00:00:00"/>
    <d v="2023-06-02T00:00:00"/>
    <x v="2"/>
    <s v="Asia"/>
    <s v="USA"/>
    <s v="Berlin"/>
    <s v="P56228"/>
    <s v="Pharma"/>
    <s v="Laptop"/>
    <s v="Product_4014"/>
    <n v="280.18"/>
    <n v="73"/>
    <s v="S478"/>
    <s v="Gamma Inc"/>
    <s v="W43"/>
    <x v="1"/>
    <s v="Maersk"/>
    <s v="London-London"/>
    <n v="1084"/>
    <n v="341"/>
    <n v="3"/>
    <n v="361.63"/>
    <n v="96.46"/>
    <n v="458.09"/>
    <x v="1"/>
    <n v="0"/>
    <n v="73.05"/>
    <n v="85"/>
    <n v="99"/>
  </r>
  <r>
    <x v="956"/>
    <s v="C9783"/>
    <d v="2021-01-10T00:00:00"/>
    <d v="2022-01-06T00:00:00"/>
    <x v="2"/>
    <s v="South America"/>
    <s v="UK"/>
    <s v="Toronto"/>
    <s v="P75446"/>
    <s v="Electronics"/>
    <s v="Shirt"/>
    <s v="Product_6915"/>
    <n v="298.05"/>
    <n v="86"/>
    <s v="S751"/>
    <s v="Beta Ltd"/>
    <s v="W25"/>
    <x v="2"/>
    <s v="BlueDart"/>
    <s v="Mumbai-New York"/>
    <n v="1027"/>
    <n v="335"/>
    <n v="14"/>
    <n v="1569.81"/>
    <n v="176.54"/>
    <n v="1746.35"/>
    <x v="1"/>
    <n v="0"/>
    <n v="85.02"/>
    <n v="69"/>
    <n v="80"/>
  </r>
  <r>
    <x v="957"/>
    <s v="C7492"/>
    <d v="2023-10-02T00:00:00"/>
    <d v="2021-10-01T00:00:00"/>
    <x v="2"/>
    <s v="South America"/>
    <s v="South Africa"/>
    <s v="Toronto"/>
    <s v="P69545"/>
    <s v="Electronics"/>
    <s v="Medicines"/>
    <s v="Product_5468"/>
    <n v="269.68"/>
    <n v="11"/>
    <s v="S767"/>
    <s v="Beta Ltd"/>
    <s v="W1"/>
    <x v="1"/>
    <s v="Maersk"/>
    <s v="Berlin-New York"/>
    <n v="1498"/>
    <n v="499"/>
    <n v="14"/>
    <n v="618.92999999999995"/>
    <n v="453.35"/>
    <n v="1072.28"/>
    <x v="1"/>
    <n v="0"/>
    <n v="83.21"/>
    <n v="212"/>
    <n v="186"/>
  </r>
  <r>
    <x v="958"/>
    <s v="C6397"/>
    <d v="2020-11-19T00:00:00"/>
    <d v="2022-08-10T00:00:00"/>
    <x v="1"/>
    <s v="North America"/>
    <s v="Canada"/>
    <s v="São Paulo"/>
    <s v="P10985"/>
    <s v="Food"/>
    <s v="Shirt"/>
    <s v="Product_6765"/>
    <n v="224.88"/>
    <n v="59"/>
    <s v="S316"/>
    <s v="Delta Traders"/>
    <s v="W44"/>
    <x v="1"/>
    <s v="Maersk"/>
    <s v="Berlin-Toronto"/>
    <n v="2977"/>
    <n v="68"/>
    <n v="2"/>
    <n v="608.41"/>
    <n v="253.24"/>
    <n v="861.65"/>
    <x v="1"/>
    <n v="0"/>
    <n v="79.45"/>
    <n v="266"/>
    <n v="290"/>
  </r>
  <r>
    <x v="959"/>
    <s v="C9052"/>
    <d v="2022-11-01T00:00:00"/>
    <d v="2021-03-09T00:00:00"/>
    <x v="2"/>
    <s v="Europe"/>
    <s v="China"/>
    <s v="London"/>
    <s v="P78535"/>
    <s v="Pharma"/>
    <s v="Shirt"/>
    <s v="Product_9008"/>
    <n v="408.95"/>
    <n v="11"/>
    <s v="S840"/>
    <s v="Beta Ltd"/>
    <s v="W45"/>
    <x v="2"/>
    <s v="FedEx"/>
    <s v="Beijing-London"/>
    <n v="429"/>
    <n v="445"/>
    <n v="1"/>
    <n v="1888.19"/>
    <n v="383.28"/>
    <n v="2271.4699999999998"/>
    <x v="1"/>
    <n v="0"/>
    <n v="74.989999999999995"/>
    <n v="122"/>
    <n v="113"/>
  </r>
  <r>
    <x v="960"/>
    <s v="C9446"/>
    <d v="2023-03-01T00:00:00"/>
    <d v="2021-10-12T00:00:00"/>
    <x v="1"/>
    <s v="South America"/>
    <s v="Canada"/>
    <s v="New York"/>
    <s v="P56446"/>
    <s v="Food"/>
    <s v="Shirt"/>
    <s v="Product_5448"/>
    <n v="374.12"/>
    <n v="60"/>
    <s v="S621"/>
    <s v="Alpha Corp"/>
    <s v="W27"/>
    <x v="0"/>
    <s v="FedEx"/>
    <s v="Berlin-Berlin"/>
    <n v="4303"/>
    <n v="116"/>
    <n v="3"/>
    <n v="500.63"/>
    <n v="342.67"/>
    <n v="843.3"/>
    <x v="1"/>
    <n v="0"/>
    <n v="99.2"/>
    <n v="271"/>
    <n v="316"/>
  </r>
  <r>
    <x v="961"/>
    <s v="C3745"/>
    <d v="2023-06-28T00:00:00"/>
    <d v="2024-03-14T00:00:00"/>
    <x v="2"/>
    <s v="Europe"/>
    <s v="China"/>
    <s v="São Paulo"/>
    <s v="P56873"/>
    <s v="Furniture"/>
    <s v="Snacks"/>
    <s v="Product_9146"/>
    <n v="486.45"/>
    <n v="45"/>
    <s v="S158"/>
    <s v="Delta Traders"/>
    <s v="W32"/>
    <x v="2"/>
    <s v="UPS"/>
    <s v="Cape Town-Beijing"/>
    <n v="3028"/>
    <n v="66"/>
    <n v="8"/>
    <n v="619.6"/>
    <n v="378.57"/>
    <n v="998.17000000000007"/>
    <x v="1"/>
    <n v="0"/>
    <n v="93.07"/>
    <n v="274"/>
    <n v="313"/>
  </r>
  <r>
    <x v="962"/>
    <s v="C1722"/>
    <d v="2023-04-13T00:00:00"/>
    <d v="2022-01-14T00:00:00"/>
    <x v="2"/>
    <s v="North America"/>
    <s v="India"/>
    <s v="London"/>
    <s v="P50206"/>
    <s v="Pharma"/>
    <s v="Medicines"/>
    <s v="Product_2743"/>
    <n v="315.58"/>
    <n v="16"/>
    <s v="S220"/>
    <s v="Gamma Inc"/>
    <s v="W18"/>
    <x v="2"/>
    <s v="BlueDart"/>
    <s v="Mumbai-Mumbai"/>
    <n v="3568"/>
    <n v="391"/>
    <n v="29"/>
    <n v="1081.3399999999999"/>
    <n v="288.02999999999997"/>
    <n v="1369.37"/>
    <x v="1"/>
    <n v="0"/>
    <n v="98.73"/>
    <n v="362"/>
    <n v="369"/>
  </r>
  <r>
    <x v="963"/>
    <s v="C7538"/>
    <d v="2024-05-07T00:00:00"/>
    <d v="2022-03-01T00:00:00"/>
    <x v="1"/>
    <s v="South America"/>
    <s v="Brazil"/>
    <s v="Toronto"/>
    <s v="P49039"/>
    <s v="Electronics"/>
    <s v="Shirt"/>
    <s v="Product_3938"/>
    <n v="424.23"/>
    <n v="17"/>
    <s v="S166"/>
    <s v="Gamma Inc"/>
    <s v="W5"/>
    <x v="3"/>
    <s v="Maersk"/>
    <s v="Cape Town-Beijing"/>
    <n v="3716"/>
    <n v="435"/>
    <n v="8"/>
    <n v="1809.97"/>
    <n v="388.51"/>
    <n v="2198.48"/>
    <x v="1"/>
    <n v="0"/>
    <n v="88.2"/>
    <n v="244"/>
    <n v="252"/>
  </r>
  <r>
    <x v="964"/>
    <s v="C7991"/>
    <d v="2020-08-14T00:00:00"/>
    <d v="2021-07-21T00:00:00"/>
    <x v="2"/>
    <s v="South America"/>
    <s v="Germany"/>
    <s v="São Paulo"/>
    <s v="P12592"/>
    <s v="Electronics"/>
    <s v="Snacks"/>
    <s v="Product_5762"/>
    <n v="453.46"/>
    <n v="95"/>
    <s v="S840"/>
    <s v="Alpha Corp"/>
    <s v="W27"/>
    <x v="1"/>
    <s v="BlueDart"/>
    <s v="Mumbai-Toronto"/>
    <n v="1391"/>
    <n v="319"/>
    <n v="22"/>
    <n v="991.92"/>
    <n v="489.05"/>
    <n v="1480.97"/>
    <x v="1"/>
    <n v="0"/>
    <n v="76.77"/>
    <n v="237"/>
    <n v="260"/>
  </r>
  <r>
    <x v="965"/>
    <s v="C4358"/>
    <d v="2020-08-20T00:00:00"/>
    <d v="2023-10-16T00:00:00"/>
    <x v="2"/>
    <s v="Africa"/>
    <s v="South Africa"/>
    <s v="London"/>
    <s v="P81928"/>
    <s v="Pharma"/>
    <s v="Shirt"/>
    <s v="Product_8771"/>
    <n v="323.27"/>
    <n v="40"/>
    <s v="S381"/>
    <s v="Alpha Corp"/>
    <s v="W2"/>
    <x v="3"/>
    <s v="BlueDart"/>
    <s v="Mumbai-London"/>
    <n v="39"/>
    <n v="96"/>
    <n v="6"/>
    <n v="1411.31"/>
    <n v="196.01"/>
    <n v="1607.32"/>
    <x v="1"/>
    <n v="0"/>
    <n v="94.09"/>
    <n v="359"/>
    <n v="367"/>
  </r>
  <r>
    <x v="966"/>
    <s v="C2821"/>
    <d v="2022-12-16T00:00:00"/>
    <d v="2022-04-30T00:00:00"/>
    <x v="2"/>
    <s v="North America"/>
    <s v="UK"/>
    <s v="São Paulo"/>
    <s v="P19788"/>
    <s v="Food"/>
    <s v="Snacks"/>
    <s v="Product_1182"/>
    <n v="458.37"/>
    <n v="92"/>
    <s v="S214"/>
    <s v="Gamma Inc"/>
    <s v="W47"/>
    <x v="3"/>
    <s v="DHL"/>
    <s v="New York-São Paulo"/>
    <n v="4666"/>
    <n v="139"/>
    <n v="18"/>
    <n v="614.35"/>
    <n v="150.32"/>
    <n v="764.67000000000007"/>
    <x v="1"/>
    <n v="0"/>
    <n v="93.31"/>
    <n v="434"/>
    <n v="476"/>
  </r>
  <r>
    <x v="967"/>
    <s v="C9466"/>
    <d v="2020-07-13T00:00:00"/>
    <d v="2023-11-09T00:00:00"/>
    <x v="1"/>
    <s v="South America"/>
    <s v="Brazil"/>
    <s v="Beijing"/>
    <s v="P73973"/>
    <s v="Apparel"/>
    <s v="Snacks"/>
    <s v="Product_3827"/>
    <n v="26.12"/>
    <n v="18"/>
    <s v="S716"/>
    <s v="Delta Traders"/>
    <s v="W41"/>
    <x v="1"/>
    <s v="Maersk"/>
    <s v="São Paulo-London"/>
    <n v="3538"/>
    <n v="286"/>
    <n v="26"/>
    <n v="1578.39"/>
    <n v="224.91"/>
    <n v="1803.3"/>
    <x v="1"/>
    <n v="0"/>
    <n v="77.09"/>
    <n v="143"/>
    <n v="184"/>
  </r>
  <r>
    <x v="968"/>
    <s v="C6447"/>
    <d v="2020-12-01T00:00:00"/>
    <d v="2024-05-20T00:00:00"/>
    <x v="1"/>
    <s v="Africa"/>
    <s v="South Africa"/>
    <s v="Mumbai"/>
    <s v="P62062"/>
    <s v="Electronics"/>
    <s v="Snacks"/>
    <s v="Product_6696"/>
    <n v="440.62"/>
    <n v="80"/>
    <s v="S462"/>
    <s v="Epsilon LLC"/>
    <s v="W36"/>
    <x v="0"/>
    <s v="Maersk"/>
    <s v="Berlin-Cape Town"/>
    <n v="2424"/>
    <n v="447"/>
    <n v="13"/>
    <n v="557.80999999999995"/>
    <n v="270.37"/>
    <n v="828.18"/>
    <x v="1"/>
    <n v="0"/>
    <n v="95.36"/>
    <n v="336"/>
    <n v="355"/>
  </r>
  <r>
    <x v="969"/>
    <s v="C1815"/>
    <d v="2024-08-27T00:00:00"/>
    <d v="2020-11-18T00:00:00"/>
    <x v="2"/>
    <s v="South America"/>
    <s v="South Africa"/>
    <s v="New York"/>
    <s v="P20637"/>
    <s v="Pharma"/>
    <s v="Shirt"/>
    <s v="Product_1870"/>
    <n v="327.51"/>
    <n v="28"/>
    <s v="S221"/>
    <s v="Beta Ltd"/>
    <s v="W8"/>
    <x v="2"/>
    <s v="Maersk"/>
    <s v="Cape Town-London"/>
    <n v="1838"/>
    <n v="168"/>
    <n v="23"/>
    <n v="1441.82"/>
    <n v="497.29"/>
    <n v="1939.11"/>
    <x v="1"/>
    <n v="0"/>
    <n v="73.22"/>
    <n v="157"/>
    <n v="121"/>
  </r>
  <r>
    <x v="970"/>
    <s v="C7942"/>
    <d v="2020-03-31T00:00:00"/>
    <d v="2022-04-24T00:00:00"/>
    <x v="2"/>
    <s v="North America"/>
    <s v="Brazil"/>
    <s v="London"/>
    <s v="P73033"/>
    <s v="Electronics"/>
    <s v="Snacks"/>
    <s v="Product_5074"/>
    <n v="229.11"/>
    <n v="71"/>
    <s v="S167"/>
    <s v="Delta Traders"/>
    <s v="W35"/>
    <x v="1"/>
    <s v="Maersk"/>
    <s v="Mumbai-Mumbai"/>
    <n v="1724"/>
    <n v="127"/>
    <n v="12"/>
    <n v="475.86"/>
    <n v="394.94"/>
    <n v="870.8"/>
    <x v="1"/>
    <n v="0"/>
    <n v="92.79"/>
    <n v="470"/>
    <n v="470"/>
  </r>
  <r>
    <x v="971"/>
    <s v="C9025"/>
    <d v="2023-11-02T00:00:00"/>
    <d v="2025-01-09T00:00:00"/>
    <x v="2"/>
    <s v="North America"/>
    <s v="Canada"/>
    <s v="Toronto"/>
    <s v="P26824"/>
    <s v="Apparel"/>
    <s v="Chair"/>
    <s v="Product_9456"/>
    <n v="11.67"/>
    <n v="28"/>
    <s v="S712"/>
    <s v="Delta Traders"/>
    <s v="W48"/>
    <x v="1"/>
    <s v="FedEx"/>
    <s v="New York-Mumbai"/>
    <n v="2044"/>
    <n v="263"/>
    <n v="5"/>
    <n v="1458.73"/>
    <n v="80.63"/>
    <n v="1539.36"/>
    <x v="1"/>
    <n v="0"/>
    <n v="98.89"/>
    <n v="299"/>
    <n v="338"/>
  </r>
  <r>
    <x v="972"/>
    <s v="C2787"/>
    <d v="2024-02-17T00:00:00"/>
    <d v="2020-02-13T00:00:00"/>
    <x v="2"/>
    <s v="Europe"/>
    <s v="China"/>
    <s v="New York"/>
    <s v="P53268"/>
    <s v="Pharma"/>
    <s v="Shirt"/>
    <s v="Product_3648"/>
    <n v="230.77"/>
    <n v="45"/>
    <s v="S470"/>
    <s v="Epsilon LLC"/>
    <s v="W9"/>
    <x v="0"/>
    <s v="Maersk"/>
    <s v="Cape Town-Mumbai"/>
    <n v="347"/>
    <n v="340"/>
    <n v="20"/>
    <n v="1143.96"/>
    <n v="214.44"/>
    <n v="1358.4"/>
    <x v="1"/>
    <n v="0"/>
    <n v="82.32"/>
    <n v="351"/>
    <n v="352"/>
  </r>
  <r>
    <x v="973"/>
    <s v="C8062"/>
    <d v="2022-05-06T00:00:00"/>
    <d v="2023-04-10T00:00:00"/>
    <x v="1"/>
    <s v="Africa"/>
    <s v="China"/>
    <s v="Toronto"/>
    <s v="P38189"/>
    <s v="Electronics"/>
    <s v="Medicines"/>
    <s v="Product_1569"/>
    <n v="312.83999999999997"/>
    <n v="40"/>
    <s v="S609"/>
    <s v="Beta Ltd"/>
    <s v="W18"/>
    <x v="0"/>
    <s v="DHL"/>
    <s v="Berlin-New York"/>
    <n v="3307"/>
    <n v="55"/>
    <n v="10"/>
    <n v="666"/>
    <n v="331.79"/>
    <n v="997.79"/>
    <x v="0"/>
    <n v="7"/>
    <n v="74.849999999999994"/>
    <n v="457"/>
    <n v="482"/>
  </r>
  <r>
    <x v="974"/>
    <s v="C2799"/>
    <d v="2023-07-03T00:00:00"/>
    <d v="2022-07-11T00:00:00"/>
    <x v="2"/>
    <s v="South America"/>
    <s v="Brazil"/>
    <s v="Beijing"/>
    <s v="P90078"/>
    <s v="Electronics"/>
    <s v="Laptop"/>
    <s v="Product_8817"/>
    <n v="471.47"/>
    <n v="86"/>
    <s v="S156"/>
    <s v="Epsilon LLC"/>
    <s v="W33"/>
    <x v="2"/>
    <s v="UPS"/>
    <s v="Mumbai-New York"/>
    <n v="320"/>
    <n v="270"/>
    <n v="6"/>
    <n v="673.62"/>
    <n v="14.76"/>
    <n v="688.38"/>
    <x v="1"/>
    <n v="0"/>
    <n v="91.75"/>
    <n v="387"/>
    <n v="340"/>
  </r>
  <r>
    <x v="975"/>
    <s v="C7135"/>
    <d v="2023-11-14T00:00:00"/>
    <d v="2020-05-30T00:00:00"/>
    <x v="1"/>
    <s v="Africa"/>
    <s v="Canada"/>
    <s v="New York"/>
    <s v="P61325"/>
    <s v="Electronics"/>
    <s v="Laptop"/>
    <s v="Product_7841"/>
    <n v="284.10000000000002"/>
    <n v="24"/>
    <s v="S272"/>
    <s v="Alpha Corp"/>
    <s v="W9"/>
    <x v="3"/>
    <s v="DHL"/>
    <s v="Cape Town-London"/>
    <n v="4478"/>
    <n v="103"/>
    <n v="20"/>
    <n v="1798.88"/>
    <n v="56.79"/>
    <n v="1855.67"/>
    <x v="1"/>
    <n v="0"/>
    <n v="73.41"/>
    <n v="421"/>
    <n v="386"/>
  </r>
  <r>
    <x v="976"/>
    <s v="C8094"/>
    <d v="2020-09-17T00:00:00"/>
    <d v="2021-05-31T00:00:00"/>
    <x v="2"/>
    <s v="Europe"/>
    <s v="Germany"/>
    <s v="London"/>
    <s v="P53660"/>
    <s v="Electronics"/>
    <s v="Chair"/>
    <s v="Product_4714"/>
    <n v="6.71"/>
    <n v="97"/>
    <s v="S884"/>
    <s v="Delta Traders"/>
    <s v="W37"/>
    <x v="2"/>
    <s v="DHL"/>
    <s v="Toronto-Beijing"/>
    <n v="1903"/>
    <n v="415"/>
    <n v="15"/>
    <n v="350.1"/>
    <n v="53.31"/>
    <n v="403.41"/>
    <x v="1"/>
    <n v="0"/>
    <n v="83.77"/>
    <n v="223"/>
    <n v="182"/>
  </r>
  <r>
    <x v="977"/>
    <s v="C5076"/>
    <d v="2024-06-27T00:00:00"/>
    <d v="2023-10-10T00:00:00"/>
    <x v="2"/>
    <s v="Africa"/>
    <s v="Brazil"/>
    <s v="London"/>
    <s v="P13593"/>
    <s v="Furniture"/>
    <s v="Laptop"/>
    <s v="Product_5932"/>
    <n v="186.95"/>
    <n v="70"/>
    <s v="S856"/>
    <s v="Delta Traders"/>
    <s v="W21"/>
    <x v="2"/>
    <s v="BlueDart"/>
    <s v="São Paulo-São Paulo"/>
    <n v="3244"/>
    <n v="308"/>
    <n v="18"/>
    <n v="1536.57"/>
    <n v="369.75"/>
    <n v="1906.32"/>
    <x v="1"/>
    <n v="0"/>
    <n v="70.959999999999994"/>
    <n v="119"/>
    <n v="74"/>
  </r>
  <r>
    <x v="978"/>
    <s v="C2702"/>
    <d v="2023-10-07T00:00:00"/>
    <d v="2022-08-12T00:00:00"/>
    <x v="1"/>
    <s v="Africa"/>
    <s v="Brazil"/>
    <s v="São Paulo"/>
    <s v="P72431"/>
    <s v="Pharma"/>
    <s v="Chair"/>
    <s v="Product_9668"/>
    <n v="283.79000000000002"/>
    <n v="26"/>
    <s v="S706"/>
    <s v="Delta Traders"/>
    <s v="W9"/>
    <x v="0"/>
    <s v="BlueDart"/>
    <s v="Mumbai-New York"/>
    <n v="38"/>
    <n v="312"/>
    <n v="16"/>
    <n v="691.22"/>
    <n v="126.48"/>
    <n v="817.7"/>
    <x v="1"/>
    <n v="0"/>
    <n v="92.3"/>
    <n v="278"/>
    <n v="313"/>
  </r>
  <r>
    <x v="979"/>
    <s v="C5645"/>
    <d v="2020-03-09T00:00:00"/>
    <d v="2023-09-15T00:00:00"/>
    <x v="2"/>
    <s v="Asia"/>
    <s v="India"/>
    <s v="Berlin"/>
    <s v="P85740"/>
    <s v="Pharma"/>
    <s v="Laptop"/>
    <s v="Product_5735"/>
    <n v="43.46"/>
    <n v="34"/>
    <s v="S473"/>
    <s v="Beta Ltd"/>
    <s v="W38"/>
    <x v="0"/>
    <s v="DHL"/>
    <s v="Berlin-London"/>
    <n v="2810"/>
    <n v="129"/>
    <n v="12"/>
    <n v="1123.33"/>
    <n v="466.03"/>
    <n v="1589.36"/>
    <x v="1"/>
    <n v="0"/>
    <n v="92.98"/>
    <n v="137"/>
    <n v="142"/>
  </r>
  <r>
    <x v="980"/>
    <s v="C6374"/>
    <d v="2022-03-27T00:00:00"/>
    <d v="2020-02-26T00:00:00"/>
    <x v="2"/>
    <s v="Europe"/>
    <s v="UK"/>
    <s v="Berlin"/>
    <s v="P47196"/>
    <s v="Food"/>
    <s v="Medicines"/>
    <s v="Product_2910"/>
    <n v="460.2"/>
    <n v="91"/>
    <s v="S562"/>
    <s v="Alpha Corp"/>
    <s v="W6"/>
    <x v="1"/>
    <s v="FedEx"/>
    <s v="São Paulo-Beijing"/>
    <n v="1698"/>
    <n v="263"/>
    <n v="18"/>
    <n v="974.3"/>
    <n v="264.85000000000002"/>
    <n v="1239.1500000000001"/>
    <x v="1"/>
    <n v="0"/>
    <n v="81.31"/>
    <n v="429"/>
    <n v="472"/>
  </r>
  <r>
    <x v="981"/>
    <s v="C3217"/>
    <d v="2021-12-25T00:00:00"/>
    <d v="2023-08-20T00:00:00"/>
    <x v="2"/>
    <s v="Africa"/>
    <s v="India"/>
    <s v="Berlin"/>
    <s v="P43172"/>
    <s v="Furniture"/>
    <s v="Laptop"/>
    <s v="Product_8721"/>
    <n v="462.28"/>
    <n v="4"/>
    <s v="S691"/>
    <s v="Beta Ltd"/>
    <s v="W48"/>
    <x v="0"/>
    <s v="Maersk"/>
    <s v="New York-Cape Town"/>
    <n v="729"/>
    <n v="428"/>
    <n v="11"/>
    <n v="1965.03"/>
    <n v="45.74"/>
    <n v="2010.77"/>
    <x v="1"/>
    <n v="0"/>
    <n v="84.66"/>
    <n v="319"/>
    <n v="314"/>
  </r>
  <r>
    <x v="982"/>
    <s v="C8091"/>
    <d v="2023-11-09T00:00:00"/>
    <d v="2020-09-24T00:00:00"/>
    <x v="0"/>
    <s v="Africa"/>
    <s v="USA"/>
    <s v="Mumbai"/>
    <s v="P65166"/>
    <s v="Electronics"/>
    <s v="Chair"/>
    <s v="Product_8007"/>
    <n v="491.16"/>
    <n v="67"/>
    <s v="S150"/>
    <s v="Delta Traders"/>
    <s v="W3"/>
    <x v="2"/>
    <s v="FedEx"/>
    <s v="Toronto-Mumbai"/>
    <n v="1105"/>
    <n v="106"/>
    <n v="4"/>
    <n v="903.24"/>
    <n v="412.66"/>
    <n v="1315.9"/>
    <x v="1"/>
    <n v="0"/>
    <n v="85.12"/>
    <n v="96"/>
    <n v="141"/>
  </r>
  <r>
    <x v="983"/>
    <s v="C5206"/>
    <d v="2023-11-24T00:00:00"/>
    <d v="2023-04-11T00:00:00"/>
    <x v="2"/>
    <s v="Asia"/>
    <s v="India"/>
    <s v="London"/>
    <s v="P16554"/>
    <s v="Apparel"/>
    <s v="Shirt"/>
    <s v="Product_8208"/>
    <n v="319.63"/>
    <n v="13"/>
    <s v="S202"/>
    <s v="Delta Traders"/>
    <s v="W21"/>
    <x v="1"/>
    <s v="DHL"/>
    <s v="London-Berlin"/>
    <n v="4994"/>
    <n v="128"/>
    <n v="13"/>
    <n v="289.17"/>
    <n v="276.14"/>
    <n v="565.30999999999995"/>
    <x v="1"/>
    <n v="0"/>
    <n v="92.89"/>
    <n v="168"/>
    <n v="126"/>
  </r>
  <r>
    <x v="984"/>
    <s v="C9972"/>
    <d v="2021-07-17T00:00:00"/>
    <d v="2024-12-15T00:00:00"/>
    <x v="2"/>
    <s v="Africa"/>
    <s v="USA"/>
    <s v="Toronto"/>
    <s v="P26921"/>
    <s v="Furniture"/>
    <s v="Shirt"/>
    <s v="Product_4295"/>
    <n v="427.29"/>
    <n v="2"/>
    <s v="S925"/>
    <s v="Epsilon LLC"/>
    <s v="W34"/>
    <x v="0"/>
    <s v="Maersk"/>
    <s v="São Paulo-Berlin"/>
    <n v="2470"/>
    <n v="345"/>
    <n v="1"/>
    <n v="794.16"/>
    <n v="320.08999999999997"/>
    <n v="1114.25"/>
    <x v="1"/>
    <n v="0"/>
    <n v="72.27"/>
    <n v="275"/>
    <n v="317"/>
  </r>
  <r>
    <x v="985"/>
    <s v="C9459"/>
    <d v="2024-11-24T00:00:00"/>
    <d v="2020-12-05T00:00:00"/>
    <x v="2"/>
    <s v="Europe"/>
    <s v="China"/>
    <s v="São Paulo"/>
    <s v="P44936"/>
    <s v="Furniture"/>
    <s v="Chair"/>
    <s v="Product_1677"/>
    <n v="52.18"/>
    <n v="54"/>
    <s v="S920"/>
    <s v="Gamma Inc"/>
    <s v="W5"/>
    <x v="1"/>
    <s v="DHL"/>
    <s v="New York-Toronto"/>
    <n v="3674"/>
    <n v="299"/>
    <n v="22"/>
    <n v="912.5"/>
    <n v="428.29"/>
    <n v="1340.79"/>
    <x v="1"/>
    <n v="0"/>
    <n v="84.55"/>
    <n v="218"/>
    <n v="249"/>
  </r>
  <r>
    <x v="986"/>
    <s v="C6842"/>
    <d v="2023-10-03T00:00:00"/>
    <d v="2020-06-15T00:00:00"/>
    <x v="2"/>
    <s v="Africa"/>
    <s v="India"/>
    <s v="New York"/>
    <s v="P83806"/>
    <s v="Pharma"/>
    <s v="Medicines"/>
    <s v="Product_9315"/>
    <n v="12.89"/>
    <n v="8"/>
    <s v="S240"/>
    <s v="Epsilon LLC"/>
    <s v="W48"/>
    <x v="1"/>
    <s v="BlueDart"/>
    <s v="Mumbai-Beijing"/>
    <n v="4420"/>
    <n v="337"/>
    <n v="7"/>
    <n v="1442.34"/>
    <n v="68.849999999999994"/>
    <n v="1511.19"/>
    <x v="0"/>
    <n v="9"/>
    <n v="78.930000000000007"/>
    <n v="487"/>
    <n v="495"/>
  </r>
  <r>
    <x v="987"/>
    <s v="C7528"/>
    <d v="2020-11-07T00:00:00"/>
    <d v="2023-11-26T00:00:00"/>
    <x v="2"/>
    <s v="Africa"/>
    <s v="UK"/>
    <s v="Beijing"/>
    <s v="P35762"/>
    <s v="Food"/>
    <s v="Shirt"/>
    <s v="Product_7844"/>
    <n v="267.32"/>
    <n v="13"/>
    <s v="S897"/>
    <s v="Gamma Inc"/>
    <s v="W5"/>
    <x v="3"/>
    <s v="UPS"/>
    <s v="Cape Town-Beijing"/>
    <n v="2993"/>
    <n v="314"/>
    <n v="1"/>
    <n v="471.39"/>
    <n v="225.36"/>
    <n v="696.75"/>
    <x v="1"/>
    <n v="0"/>
    <n v="90.79"/>
    <n v="422"/>
    <n v="403"/>
  </r>
  <r>
    <x v="988"/>
    <s v="C6104"/>
    <d v="2023-04-09T00:00:00"/>
    <d v="2020-07-20T00:00:00"/>
    <x v="2"/>
    <s v="Africa"/>
    <s v="India"/>
    <s v="Toronto"/>
    <s v="P50176"/>
    <s v="Pharma"/>
    <s v="Snacks"/>
    <s v="Product_1225"/>
    <n v="484.11"/>
    <n v="70"/>
    <s v="S248"/>
    <s v="Beta Ltd"/>
    <s v="W1"/>
    <x v="2"/>
    <s v="DHL"/>
    <s v="Berlin-Toronto"/>
    <n v="3675"/>
    <n v="157"/>
    <n v="5"/>
    <n v="1939.97"/>
    <n v="325.76"/>
    <n v="2265.73"/>
    <x v="1"/>
    <n v="0"/>
    <n v="81.680000000000007"/>
    <n v="275"/>
    <n v="293"/>
  </r>
  <r>
    <x v="989"/>
    <s v="C6968"/>
    <d v="2020-11-28T00:00:00"/>
    <d v="2023-09-20T00:00:00"/>
    <x v="1"/>
    <s v="Europe"/>
    <s v="Brazil"/>
    <s v="São Paulo"/>
    <s v="P38267"/>
    <s v="Food"/>
    <s v="Chair"/>
    <s v="Product_6948"/>
    <n v="112.98"/>
    <n v="40"/>
    <s v="S683"/>
    <s v="Gamma Inc"/>
    <s v="W7"/>
    <x v="3"/>
    <s v="FedEx"/>
    <s v="Berlin-Toronto"/>
    <n v="2510"/>
    <n v="230"/>
    <n v="26"/>
    <n v="1159.1300000000001"/>
    <n v="424.29"/>
    <n v="1583.42"/>
    <x v="1"/>
    <n v="0"/>
    <n v="87.78"/>
    <n v="142"/>
    <n v="154"/>
  </r>
  <r>
    <x v="990"/>
    <s v="C6189"/>
    <d v="2020-06-29T00:00:00"/>
    <d v="2023-12-26T00:00:00"/>
    <x v="2"/>
    <s v="Asia"/>
    <s v="Canada"/>
    <s v="New York"/>
    <s v="P26321"/>
    <s v="Electronics"/>
    <s v="Shirt"/>
    <s v="Product_6826"/>
    <n v="99.07"/>
    <n v="46"/>
    <s v="S684"/>
    <s v="Gamma Inc"/>
    <s v="W1"/>
    <x v="0"/>
    <s v="Maersk"/>
    <s v="Beijing-Beijing"/>
    <n v="652"/>
    <n v="444"/>
    <n v="9"/>
    <n v="1166.02"/>
    <n v="277.63"/>
    <n v="1443.65"/>
    <x v="1"/>
    <n v="0"/>
    <n v="79.72"/>
    <n v="55"/>
    <n v="31"/>
  </r>
  <r>
    <x v="991"/>
    <s v="C1236"/>
    <d v="2024-05-11T00:00:00"/>
    <d v="2023-09-09T00:00:00"/>
    <x v="0"/>
    <s v="Europe"/>
    <s v="Canada"/>
    <s v="Toronto"/>
    <s v="P63562"/>
    <s v="Electronics"/>
    <s v="Medicines"/>
    <s v="Product_7853"/>
    <n v="406.56"/>
    <n v="13"/>
    <s v="S821"/>
    <s v="Epsilon LLC"/>
    <s v="W25"/>
    <x v="2"/>
    <s v="DHL"/>
    <s v="Mumbai-Beijing"/>
    <n v="1227"/>
    <n v="295"/>
    <n v="22"/>
    <n v="839.71"/>
    <n v="217.04"/>
    <n v="1056.75"/>
    <x v="1"/>
    <n v="0"/>
    <n v="90.04"/>
    <n v="224"/>
    <n v="230"/>
  </r>
  <r>
    <x v="992"/>
    <s v="C1910"/>
    <d v="2022-07-21T00:00:00"/>
    <d v="2024-11-10T00:00:00"/>
    <x v="2"/>
    <s v="Africa"/>
    <s v="South Africa"/>
    <s v="São Paulo"/>
    <s v="P73577"/>
    <s v="Furniture"/>
    <s v="Laptop"/>
    <s v="Product_3688"/>
    <n v="310.92"/>
    <n v="63"/>
    <s v="S691"/>
    <s v="Beta Ltd"/>
    <s v="W43"/>
    <x v="1"/>
    <s v="DHL"/>
    <s v="Cape Town-Toronto"/>
    <n v="530"/>
    <n v="170"/>
    <n v="26"/>
    <n v="78.260000000000005"/>
    <n v="281.64"/>
    <n v="359.9"/>
    <x v="1"/>
    <n v="0"/>
    <n v="87.02"/>
    <n v="110"/>
    <n v="108"/>
  </r>
  <r>
    <x v="993"/>
    <s v="C4755"/>
    <d v="2022-12-02T00:00:00"/>
    <d v="2024-04-06T00:00:00"/>
    <x v="2"/>
    <s v="Africa"/>
    <s v="South Africa"/>
    <s v="Cape Town"/>
    <s v="P52667"/>
    <s v="Food"/>
    <s v="Snacks"/>
    <s v="Product_6143"/>
    <n v="387.21"/>
    <n v="5"/>
    <s v="S175"/>
    <s v="Gamma Inc"/>
    <s v="W31"/>
    <x v="1"/>
    <s v="Maersk"/>
    <s v="Berlin-Beijing"/>
    <n v="2536"/>
    <n v="343"/>
    <n v="27"/>
    <n v="158.55000000000001"/>
    <n v="237.69"/>
    <n v="396.24"/>
    <x v="1"/>
    <n v="0"/>
    <n v="94.98"/>
    <n v="406"/>
    <n v="369"/>
  </r>
  <r>
    <x v="994"/>
    <s v="C6672"/>
    <d v="2020-11-13T00:00:00"/>
    <d v="2024-12-26T00:00:00"/>
    <x v="0"/>
    <s v="Africa"/>
    <s v="Canada"/>
    <s v="Cape Town"/>
    <s v="P70359"/>
    <s v="Electronics"/>
    <s v="Shirt"/>
    <s v="Product_4776"/>
    <n v="358.21"/>
    <n v="13"/>
    <s v="S979"/>
    <s v="Gamma Inc"/>
    <s v="W41"/>
    <x v="3"/>
    <s v="Maersk"/>
    <s v="Mumbai-São Paulo"/>
    <n v="2889"/>
    <n v="55"/>
    <n v="2"/>
    <n v="259.3"/>
    <n v="48.31"/>
    <n v="307.61"/>
    <x v="1"/>
    <n v="0"/>
    <n v="78.52"/>
    <n v="183"/>
    <n v="173"/>
  </r>
  <r>
    <x v="995"/>
    <s v="C7666"/>
    <d v="2023-05-07T00:00:00"/>
    <d v="2024-09-05T00:00:00"/>
    <x v="2"/>
    <s v="Europe"/>
    <s v="USA"/>
    <s v="New York"/>
    <s v="P36300"/>
    <s v="Food"/>
    <s v="Snacks"/>
    <s v="Product_3418"/>
    <n v="276.98"/>
    <n v="29"/>
    <s v="S865"/>
    <s v="Delta Traders"/>
    <s v="W7"/>
    <x v="3"/>
    <s v="BlueDart"/>
    <s v="New York-Berlin"/>
    <n v="1776"/>
    <n v="169"/>
    <n v="28"/>
    <n v="1419.96"/>
    <n v="158.05000000000001"/>
    <n v="1578.01"/>
    <x v="1"/>
    <n v="0"/>
    <n v="97.52"/>
    <n v="437"/>
    <n v="387"/>
  </r>
  <r>
    <x v="996"/>
    <s v="C9301"/>
    <d v="2024-02-06T00:00:00"/>
    <d v="2023-01-20T00:00:00"/>
    <x v="1"/>
    <s v="Africa"/>
    <s v="China"/>
    <s v="Mumbai"/>
    <s v="P94556"/>
    <s v="Pharma"/>
    <s v="Shirt"/>
    <s v="Product_9108"/>
    <n v="264.86"/>
    <n v="41"/>
    <s v="S649"/>
    <s v="Alpha Corp"/>
    <s v="W23"/>
    <x v="0"/>
    <s v="DHL"/>
    <s v="Mumbai-Cape Town"/>
    <n v="1791"/>
    <n v="293"/>
    <n v="26"/>
    <n v="1007.51"/>
    <n v="312.86"/>
    <n v="1320.37"/>
    <x v="1"/>
    <n v="0"/>
    <n v="70.510000000000005"/>
    <n v="467"/>
    <n v="426"/>
  </r>
  <r>
    <x v="997"/>
    <s v="C8254"/>
    <d v="2021-01-02T00:00:00"/>
    <d v="2023-04-17T00:00:00"/>
    <x v="1"/>
    <s v="Europe"/>
    <s v="USA"/>
    <s v="Toronto"/>
    <s v="P92849"/>
    <s v="Food"/>
    <s v="Chair"/>
    <s v="Product_6622"/>
    <n v="225.91"/>
    <n v="26"/>
    <s v="S672"/>
    <s v="Beta Ltd"/>
    <s v="W29"/>
    <x v="3"/>
    <s v="FedEx"/>
    <s v="Mumbai-Mumbai"/>
    <n v="2198"/>
    <n v="361"/>
    <n v="5"/>
    <n v="1168.73"/>
    <n v="21.93"/>
    <n v="1190.6600000000001"/>
    <x v="1"/>
    <n v="0"/>
    <n v="71.510000000000005"/>
    <n v="483"/>
    <n v="460"/>
  </r>
  <r>
    <x v="998"/>
    <s v="C1354"/>
    <d v="2024-09-26T00:00:00"/>
    <d v="2024-05-23T00:00:00"/>
    <x v="2"/>
    <s v="North America"/>
    <s v="USA"/>
    <s v="Beijing"/>
    <s v="P37975"/>
    <s v="Furniture"/>
    <s v="Laptop"/>
    <s v="Product_1231"/>
    <n v="476.71"/>
    <n v="12"/>
    <s v="S928"/>
    <s v="Delta Traders"/>
    <s v="W47"/>
    <x v="2"/>
    <s v="BlueDart"/>
    <s v="São Paulo-New York"/>
    <n v="2566"/>
    <n v="108"/>
    <n v="1"/>
    <n v="754.56"/>
    <n v="485.8"/>
    <n v="1240.3599999999999"/>
    <x v="1"/>
    <n v="0"/>
    <n v="96.7"/>
    <n v="176"/>
    <n v="220"/>
  </r>
  <r>
    <x v="999"/>
    <s v="C3295"/>
    <d v="2023-11-22T00:00:00"/>
    <d v="2021-10-19T00:00:00"/>
    <x v="2"/>
    <s v="North America"/>
    <s v="Canada"/>
    <s v="New York"/>
    <s v="P44832"/>
    <s v="Food"/>
    <s v="Chair"/>
    <s v="Product_4306"/>
    <n v="462.35"/>
    <n v="4"/>
    <s v="S485"/>
    <s v="Alpha Corp"/>
    <s v="W13"/>
    <x v="3"/>
    <s v="DHL"/>
    <s v="London-Toronto"/>
    <n v="4955"/>
    <n v="246"/>
    <n v="23"/>
    <n v="1167.01"/>
    <n v="117.86"/>
    <n v="1284.8699999999999"/>
    <x v="1"/>
    <n v="0"/>
    <n v="71.28"/>
    <n v="122"/>
    <n v="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46A311-85D8-41AE-B622-598317B0353E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F18:G23" firstHeaderRow="1" firstDataRow="1" firstDataCol="1"/>
  <pivotFields count="31">
    <pivotField dataField="1"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_ID" fld="0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895313-87FA-4A42-8744-09A4BD8E0D4C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F11:G15" firstHeaderRow="1" firstDataRow="1" firstDataCol="1"/>
  <pivotFields count="31">
    <pivotField dataField="1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numFmtId="164" showAll="0"/>
    <pivotField numFmtId="16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_ID" fld="0" subtotal="count" baseField="0" baseItem="0"/>
  </dataFields>
  <chartFormats count="5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7CD321-D74B-4D10-BA9B-1CBA47D077D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C9:D14" firstHeaderRow="1" firstDataRow="1" firstDataCol="1"/>
  <pivotFields count="31">
    <pivotField dataField="1"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_ID" fld="0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FAD533-BA33-451E-9151-DF9D69376E2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C4:D8" firstHeaderRow="1" firstDataRow="1" firstDataCol="1"/>
  <pivotFields count="31">
    <pivotField dataField="1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numFmtId="164" showAll="0"/>
    <pivotField numFmtId="16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_ID" fld="0" subtotal="count" baseField="0" baseItem="0"/>
  </dataFields>
  <chartFormats count="5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01"/>
  <sheetViews>
    <sheetView topLeftCell="I1" workbookViewId="0">
      <selection activeCell="AH3" sqref="A1:XFD1048576"/>
    </sheetView>
  </sheetViews>
  <sheetFormatPr defaultRowHeight="15" x14ac:dyDescent="0.25"/>
  <cols>
    <col min="1" max="1" width="9.42578125" bestFit="1" customWidth="1"/>
    <col min="2" max="2" width="12.42578125" bestFit="1" customWidth="1"/>
    <col min="3" max="4" width="18.28515625" bestFit="1" customWidth="1"/>
    <col min="5" max="5" width="11.140625" bestFit="1" customWidth="1"/>
    <col min="6" max="6" width="14" bestFit="1" customWidth="1"/>
    <col min="7" max="7" width="11.7109375" bestFit="1" customWidth="1"/>
    <col min="8" max="9" width="10.7109375" bestFit="1" customWidth="1"/>
    <col min="10" max="10" width="10.5703125" bestFit="1" customWidth="1"/>
    <col min="11" max="11" width="13.28515625" bestFit="1" customWidth="1"/>
    <col min="12" max="12" width="14.28515625" bestFit="1" customWidth="1"/>
    <col min="13" max="13" width="10.28515625" bestFit="1" customWidth="1"/>
    <col min="14" max="14" width="8.7109375" bestFit="1" customWidth="1"/>
    <col min="15" max="15" width="11.28515625" bestFit="1" customWidth="1"/>
    <col min="16" max="16" width="14.85546875" bestFit="1" customWidth="1"/>
    <col min="17" max="17" width="14.28515625" bestFit="1" customWidth="1"/>
    <col min="18" max="18" width="15.85546875" bestFit="1" customWidth="1"/>
    <col min="19" max="19" width="8.7109375" bestFit="1" customWidth="1"/>
    <col min="20" max="20" width="21.5703125" bestFit="1" customWidth="1"/>
    <col min="21" max="21" width="15" bestFit="1" customWidth="1"/>
    <col min="22" max="22" width="14" bestFit="1" customWidth="1"/>
    <col min="23" max="23" width="15.85546875" bestFit="1" customWidth="1"/>
    <col min="24" max="24" width="17.7109375" bestFit="1" customWidth="1"/>
    <col min="25" max="25" width="19.140625" bestFit="1" customWidth="1"/>
    <col min="26" max="26" width="10.28515625" bestFit="1" customWidth="1"/>
    <col min="27" max="27" width="15" bestFit="1" customWidth="1"/>
    <col min="28" max="28" width="11.140625" bestFit="1" customWidth="1"/>
    <col min="29" max="29" width="8.7109375" bestFit="1" customWidth="1"/>
    <col min="30" max="30" width="17" bestFit="1" customWidth="1"/>
    <col min="31" max="31" width="15.140625" bestFit="1" customWidth="1"/>
  </cols>
  <sheetData>
    <row r="1" spans="1:3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4" x14ac:dyDescent="0.25">
      <c r="A2" t="s">
        <v>31</v>
      </c>
      <c r="B2" t="s">
        <v>32</v>
      </c>
      <c r="C2" s="1">
        <v>44823</v>
      </c>
      <c r="D2" s="1">
        <v>44160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>
        <v>373.69</v>
      </c>
      <c r="N2">
        <v>55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46</v>
      </c>
      <c r="U2">
        <v>4259</v>
      </c>
      <c r="V2">
        <v>214</v>
      </c>
      <c r="W2">
        <v>9</v>
      </c>
      <c r="X2">
        <v>1474.56</v>
      </c>
      <c r="Y2">
        <v>406.15</v>
      </c>
      <c r="Z2">
        <v>1880.71</v>
      </c>
      <c r="AA2" t="s">
        <v>47</v>
      </c>
      <c r="AB2">
        <v>8</v>
      </c>
      <c r="AC2">
        <v>93.39</v>
      </c>
      <c r="AD2">
        <v>341</v>
      </c>
      <c r="AE2">
        <v>291</v>
      </c>
    </row>
    <row r="3" spans="1:34" x14ac:dyDescent="0.25">
      <c r="A3" t="s">
        <v>48</v>
      </c>
      <c r="B3" t="s">
        <v>49</v>
      </c>
      <c r="C3" s="1">
        <v>44555</v>
      </c>
      <c r="D3" s="1">
        <v>44119</v>
      </c>
      <c r="E3" t="s">
        <v>50</v>
      </c>
      <c r="F3" t="s">
        <v>51</v>
      </c>
      <c r="G3" t="s">
        <v>52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>
        <v>264.69</v>
      </c>
      <c r="N3">
        <v>3</v>
      </c>
      <c r="O3" t="s">
        <v>58</v>
      </c>
      <c r="P3" t="s">
        <v>59</v>
      </c>
      <c r="Q3" t="s">
        <v>60</v>
      </c>
      <c r="R3" t="s">
        <v>61</v>
      </c>
      <c r="S3" t="s">
        <v>45</v>
      </c>
      <c r="T3" t="s">
        <v>62</v>
      </c>
      <c r="U3">
        <v>1173</v>
      </c>
      <c r="V3">
        <v>386</v>
      </c>
      <c r="W3">
        <v>24</v>
      </c>
      <c r="X3">
        <v>1874.56</v>
      </c>
      <c r="Y3">
        <v>421.77</v>
      </c>
      <c r="Z3">
        <v>2296.33</v>
      </c>
      <c r="AA3" t="s">
        <v>63</v>
      </c>
      <c r="AB3">
        <v>0</v>
      </c>
      <c r="AC3">
        <v>95.29</v>
      </c>
      <c r="AD3">
        <v>482</v>
      </c>
      <c r="AE3">
        <v>477</v>
      </c>
      <c r="AH3">
        <f>COUNTIF(AA2:AA1001,"On-time")/COUNTA(AA2:AA1001)</f>
        <v>0.9</v>
      </c>
    </row>
    <row r="4" spans="1:34" x14ac:dyDescent="0.25">
      <c r="A4" t="s">
        <v>64</v>
      </c>
      <c r="B4" t="s">
        <v>65</v>
      </c>
      <c r="C4" s="1">
        <v>44045</v>
      </c>
      <c r="D4" s="1">
        <v>45123</v>
      </c>
      <c r="E4" t="s">
        <v>66</v>
      </c>
      <c r="F4" t="s">
        <v>51</v>
      </c>
      <c r="G4" t="s">
        <v>67</v>
      </c>
      <c r="H4" t="s">
        <v>68</v>
      </c>
      <c r="I4" t="s">
        <v>69</v>
      </c>
      <c r="J4" t="s">
        <v>38</v>
      </c>
      <c r="K4" t="s">
        <v>70</v>
      </c>
      <c r="L4" t="s">
        <v>71</v>
      </c>
      <c r="M4">
        <v>497.44</v>
      </c>
      <c r="N4">
        <v>80</v>
      </c>
      <c r="O4" t="s">
        <v>72</v>
      </c>
      <c r="P4" t="s">
        <v>42</v>
      </c>
      <c r="Q4" t="s">
        <v>73</v>
      </c>
      <c r="R4" t="s">
        <v>44</v>
      </c>
      <c r="S4" t="s">
        <v>74</v>
      </c>
      <c r="T4" t="s">
        <v>75</v>
      </c>
      <c r="U4">
        <v>588</v>
      </c>
      <c r="V4">
        <v>398</v>
      </c>
      <c r="W4">
        <v>27</v>
      </c>
      <c r="X4">
        <v>439.67</v>
      </c>
      <c r="Y4">
        <v>289.19</v>
      </c>
      <c r="Z4">
        <v>728.86</v>
      </c>
      <c r="AA4" t="s">
        <v>63</v>
      </c>
      <c r="AB4">
        <v>0</v>
      </c>
      <c r="AC4">
        <v>76.63</v>
      </c>
      <c r="AD4">
        <v>461</v>
      </c>
      <c r="AE4">
        <v>476</v>
      </c>
    </row>
    <row r="5" spans="1:34" x14ac:dyDescent="0.25">
      <c r="A5" t="s">
        <v>76</v>
      </c>
      <c r="B5" t="s">
        <v>77</v>
      </c>
      <c r="C5" s="1">
        <v>44845</v>
      </c>
      <c r="D5" s="1">
        <v>44888</v>
      </c>
      <c r="E5" t="s">
        <v>50</v>
      </c>
      <c r="F5" t="s">
        <v>78</v>
      </c>
      <c r="G5" t="s">
        <v>79</v>
      </c>
      <c r="H5" t="s">
        <v>80</v>
      </c>
      <c r="I5" t="s">
        <v>81</v>
      </c>
      <c r="J5" t="s">
        <v>82</v>
      </c>
      <c r="K5" t="s">
        <v>83</v>
      </c>
      <c r="L5" t="s">
        <v>84</v>
      </c>
      <c r="M5">
        <v>266.87</v>
      </c>
      <c r="N5">
        <v>44</v>
      </c>
      <c r="O5" t="s">
        <v>85</v>
      </c>
      <c r="P5" t="s">
        <v>86</v>
      </c>
      <c r="Q5" t="s">
        <v>87</v>
      </c>
      <c r="R5" t="s">
        <v>88</v>
      </c>
      <c r="S5" t="s">
        <v>89</v>
      </c>
      <c r="T5" t="s">
        <v>90</v>
      </c>
      <c r="U5">
        <v>4700</v>
      </c>
      <c r="V5">
        <v>381</v>
      </c>
      <c r="W5">
        <v>29</v>
      </c>
      <c r="X5">
        <v>1378.1</v>
      </c>
      <c r="Y5">
        <v>321.73</v>
      </c>
      <c r="Z5">
        <v>1699.83</v>
      </c>
      <c r="AA5" t="s">
        <v>63</v>
      </c>
      <c r="AB5">
        <v>0</v>
      </c>
      <c r="AC5">
        <v>85.24</v>
      </c>
      <c r="AD5">
        <v>150</v>
      </c>
      <c r="AE5">
        <v>198</v>
      </c>
    </row>
    <row r="6" spans="1:34" x14ac:dyDescent="0.25">
      <c r="A6" t="s">
        <v>91</v>
      </c>
      <c r="B6" t="s">
        <v>92</v>
      </c>
      <c r="C6" s="1">
        <v>44403</v>
      </c>
      <c r="D6" s="1">
        <v>45340</v>
      </c>
      <c r="E6" t="s">
        <v>66</v>
      </c>
      <c r="F6" t="s">
        <v>93</v>
      </c>
      <c r="G6" t="s">
        <v>94</v>
      </c>
      <c r="H6" t="s">
        <v>53</v>
      </c>
      <c r="I6" t="s">
        <v>95</v>
      </c>
      <c r="J6" t="s">
        <v>96</v>
      </c>
      <c r="K6" t="s">
        <v>97</v>
      </c>
      <c r="L6" t="s">
        <v>98</v>
      </c>
      <c r="M6">
        <v>360.94</v>
      </c>
      <c r="N6">
        <v>18</v>
      </c>
      <c r="O6" t="s">
        <v>99</v>
      </c>
      <c r="P6" t="s">
        <v>59</v>
      </c>
      <c r="Q6" t="s">
        <v>100</v>
      </c>
      <c r="R6" t="s">
        <v>88</v>
      </c>
      <c r="S6" t="s">
        <v>101</v>
      </c>
      <c r="T6" t="s">
        <v>102</v>
      </c>
      <c r="U6">
        <v>1795</v>
      </c>
      <c r="V6">
        <v>415</v>
      </c>
      <c r="W6">
        <v>27</v>
      </c>
      <c r="X6">
        <v>861.29</v>
      </c>
      <c r="Y6">
        <v>351.29</v>
      </c>
      <c r="Z6">
        <v>1212.58</v>
      </c>
      <c r="AA6" t="s">
        <v>63</v>
      </c>
      <c r="AB6">
        <v>0</v>
      </c>
      <c r="AC6">
        <v>86.44</v>
      </c>
      <c r="AD6">
        <v>89</v>
      </c>
      <c r="AE6">
        <v>93</v>
      </c>
    </row>
    <row r="7" spans="1:34" x14ac:dyDescent="0.25">
      <c r="A7" t="s">
        <v>103</v>
      </c>
      <c r="B7" t="s">
        <v>104</v>
      </c>
      <c r="C7" s="1">
        <v>45254</v>
      </c>
      <c r="D7" s="1">
        <v>44602</v>
      </c>
      <c r="E7" t="s">
        <v>50</v>
      </c>
      <c r="F7" t="s">
        <v>51</v>
      </c>
      <c r="G7" t="s">
        <v>105</v>
      </c>
      <c r="H7" t="s">
        <v>36</v>
      </c>
      <c r="I7" t="s">
        <v>106</v>
      </c>
      <c r="J7" t="s">
        <v>107</v>
      </c>
      <c r="K7" t="s">
        <v>97</v>
      </c>
      <c r="L7" t="s">
        <v>108</v>
      </c>
      <c r="M7">
        <v>172.93</v>
      </c>
      <c r="N7">
        <v>35</v>
      </c>
      <c r="O7" t="s">
        <v>109</v>
      </c>
      <c r="P7" t="s">
        <v>110</v>
      </c>
      <c r="Q7" t="s">
        <v>111</v>
      </c>
      <c r="R7" t="s">
        <v>61</v>
      </c>
      <c r="S7" t="s">
        <v>74</v>
      </c>
      <c r="T7" t="s">
        <v>112</v>
      </c>
      <c r="U7">
        <v>1159</v>
      </c>
      <c r="V7">
        <v>228</v>
      </c>
      <c r="W7">
        <v>13</v>
      </c>
      <c r="X7">
        <v>690.34</v>
      </c>
      <c r="Y7">
        <v>410.07</v>
      </c>
      <c r="Z7">
        <v>1100.4100000000001</v>
      </c>
      <c r="AA7" t="s">
        <v>63</v>
      </c>
      <c r="AB7">
        <v>0</v>
      </c>
      <c r="AC7">
        <v>88.12</v>
      </c>
      <c r="AD7">
        <v>348</v>
      </c>
      <c r="AE7">
        <v>325</v>
      </c>
    </row>
    <row r="8" spans="1:34" x14ac:dyDescent="0.25">
      <c r="A8" t="s">
        <v>113</v>
      </c>
      <c r="B8" t="s">
        <v>114</v>
      </c>
      <c r="C8" s="1">
        <v>45515</v>
      </c>
      <c r="D8" s="1">
        <v>45601</v>
      </c>
      <c r="E8" t="s">
        <v>66</v>
      </c>
      <c r="F8" t="s">
        <v>93</v>
      </c>
      <c r="G8" t="s">
        <v>115</v>
      </c>
      <c r="H8" t="s">
        <v>116</v>
      </c>
      <c r="I8" t="s">
        <v>117</v>
      </c>
      <c r="J8" t="s">
        <v>38</v>
      </c>
      <c r="K8" t="s">
        <v>39</v>
      </c>
      <c r="L8" t="s">
        <v>118</v>
      </c>
      <c r="M8">
        <v>103.93</v>
      </c>
      <c r="N8">
        <v>38</v>
      </c>
      <c r="O8" t="s">
        <v>119</v>
      </c>
      <c r="P8" t="s">
        <v>86</v>
      </c>
      <c r="Q8" t="s">
        <v>120</v>
      </c>
      <c r="R8" t="s">
        <v>88</v>
      </c>
      <c r="S8" t="s">
        <v>89</v>
      </c>
      <c r="T8" t="s">
        <v>121</v>
      </c>
      <c r="U8">
        <v>3330</v>
      </c>
      <c r="V8">
        <v>425</v>
      </c>
      <c r="W8">
        <v>28</v>
      </c>
      <c r="X8">
        <v>1828.88</v>
      </c>
      <c r="Y8">
        <v>314.18</v>
      </c>
      <c r="Z8">
        <v>2143.06</v>
      </c>
      <c r="AA8" t="s">
        <v>63</v>
      </c>
      <c r="AB8">
        <v>0</v>
      </c>
      <c r="AC8">
        <v>93.23</v>
      </c>
      <c r="AD8">
        <v>488</v>
      </c>
      <c r="AE8">
        <v>511</v>
      </c>
    </row>
    <row r="9" spans="1:34" x14ac:dyDescent="0.25">
      <c r="A9" t="s">
        <v>122</v>
      </c>
      <c r="B9" t="s">
        <v>123</v>
      </c>
      <c r="C9" s="1">
        <v>44286</v>
      </c>
      <c r="D9" s="1">
        <v>44938</v>
      </c>
      <c r="E9" t="s">
        <v>66</v>
      </c>
      <c r="F9" t="s">
        <v>34</v>
      </c>
      <c r="G9" t="s">
        <v>79</v>
      </c>
      <c r="H9" t="s">
        <v>36</v>
      </c>
      <c r="I9" t="s">
        <v>124</v>
      </c>
      <c r="J9" t="s">
        <v>82</v>
      </c>
      <c r="K9" t="s">
        <v>97</v>
      </c>
      <c r="L9" t="s">
        <v>125</v>
      </c>
      <c r="M9">
        <v>130.35</v>
      </c>
      <c r="N9">
        <v>32</v>
      </c>
      <c r="O9" t="s">
        <v>126</v>
      </c>
      <c r="P9" t="s">
        <v>42</v>
      </c>
      <c r="Q9" t="s">
        <v>127</v>
      </c>
      <c r="R9" t="s">
        <v>61</v>
      </c>
      <c r="S9" t="s">
        <v>128</v>
      </c>
      <c r="T9" t="s">
        <v>129</v>
      </c>
      <c r="U9">
        <v>4252</v>
      </c>
      <c r="V9">
        <v>229</v>
      </c>
      <c r="W9">
        <v>22</v>
      </c>
      <c r="X9">
        <v>468.41</v>
      </c>
      <c r="Y9">
        <v>453.18</v>
      </c>
      <c r="Z9">
        <v>921.59</v>
      </c>
      <c r="AA9" t="s">
        <v>63</v>
      </c>
      <c r="AB9">
        <v>0</v>
      </c>
      <c r="AC9">
        <v>86.46</v>
      </c>
      <c r="AD9">
        <v>425</v>
      </c>
      <c r="AE9">
        <v>378</v>
      </c>
    </row>
    <row r="10" spans="1:34" x14ac:dyDescent="0.25">
      <c r="A10" t="s">
        <v>130</v>
      </c>
      <c r="B10" t="s">
        <v>131</v>
      </c>
      <c r="C10" s="1">
        <v>44920</v>
      </c>
      <c r="D10" s="1">
        <v>45145</v>
      </c>
      <c r="E10" t="s">
        <v>50</v>
      </c>
      <c r="F10" t="s">
        <v>34</v>
      </c>
      <c r="G10" t="s">
        <v>79</v>
      </c>
      <c r="H10" t="s">
        <v>53</v>
      </c>
      <c r="I10" t="s">
        <v>132</v>
      </c>
      <c r="J10" t="s">
        <v>38</v>
      </c>
      <c r="K10" t="s">
        <v>56</v>
      </c>
      <c r="L10" t="s">
        <v>133</v>
      </c>
      <c r="M10">
        <v>45.53</v>
      </c>
      <c r="N10">
        <v>27</v>
      </c>
      <c r="O10" t="s">
        <v>134</v>
      </c>
      <c r="P10" t="s">
        <v>42</v>
      </c>
      <c r="Q10" t="s">
        <v>135</v>
      </c>
      <c r="R10" t="s">
        <v>88</v>
      </c>
      <c r="S10" t="s">
        <v>128</v>
      </c>
      <c r="T10" t="s">
        <v>136</v>
      </c>
      <c r="U10">
        <v>1395</v>
      </c>
      <c r="V10">
        <v>419</v>
      </c>
      <c r="W10">
        <v>27</v>
      </c>
      <c r="X10">
        <v>1249.0999999999999</v>
      </c>
      <c r="Y10">
        <v>147.27000000000001</v>
      </c>
      <c r="Z10">
        <v>1396.37</v>
      </c>
      <c r="AA10" t="s">
        <v>47</v>
      </c>
      <c r="AB10">
        <v>5</v>
      </c>
      <c r="AC10">
        <v>98.59</v>
      </c>
      <c r="AD10">
        <v>379</v>
      </c>
      <c r="AE10">
        <v>402</v>
      </c>
    </row>
    <row r="11" spans="1:34" x14ac:dyDescent="0.25">
      <c r="A11" t="s">
        <v>137</v>
      </c>
      <c r="B11" t="s">
        <v>138</v>
      </c>
      <c r="C11" s="1">
        <v>43854</v>
      </c>
      <c r="D11" s="1">
        <v>44262</v>
      </c>
      <c r="E11" t="s">
        <v>50</v>
      </c>
      <c r="F11" t="s">
        <v>34</v>
      </c>
      <c r="G11" t="s">
        <v>105</v>
      </c>
      <c r="H11" t="s">
        <v>36</v>
      </c>
      <c r="I11" t="s">
        <v>139</v>
      </c>
      <c r="J11" t="s">
        <v>55</v>
      </c>
      <c r="K11" t="s">
        <v>39</v>
      </c>
      <c r="L11" t="s">
        <v>140</v>
      </c>
      <c r="M11">
        <v>65.62</v>
      </c>
      <c r="N11">
        <v>65</v>
      </c>
      <c r="O11" t="s">
        <v>141</v>
      </c>
      <c r="P11" t="s">
        <v>142</v>
      </c>
      <c r="Q11" t="s">
        <v>143</v>
      </c>
      <c r="R11" t="s">
        <v>44</v>
      </c>
      <c r="S11" t="s">
        <v>128</v>
      </c>
      <c r="T11" t="s">
        <v>144</v>
      </c>
      <c r="U11">
        <v>1590</v>
      </c>
      <c r="V11">
        <v>246</v>
      </c>
      <c r="W11">
        <v>29</v>
      </c>
      <c r="X11">
        <v>1632.88</v>
      </c>
      <c r="Y11">
        <v>415.97</v>
      </c>
      <c r="Z11">
        <v>2048.85</v>
      </c>
      <c r="AA11" t="s">
        <v>47</v>
      </c>
      <c r="AB11">
        <v>11</v>
      </c>
      <c r="AC11">
        <v>84.77</v>
      </c>
      <c r="AD11">
        <v>300</v>
      </c>
      <c r="AE11">
        <v>306</v>
      </c>
    </row>
    <row r="12" spans="1:34" x14ac:dyDescent="0.25">
      <c r="A12" t="s">
        <v>145</v>
      </c>
      <c r="B12" t="s">
        <v>146</v>
      </c>
      <c r="C12" s="1">
        <v>43854</v>
      </c>
      <c r="D12" s="1">
        <v>44059</v>
      </c>
      <c r="E12" t="s">
        <v>33</v>
      </c>
      <c r="F12" t="s">
        <v>147</v>
      </c>
      <c r="G12" t="s">
        <v>35</v>
      </c>
      <c r="H12" t="s">
        <v>148</v>
      </c>
      <c r="I12" t="s">
        <v>149</v>
      </c>
      <c r="J12" t="s">
        <v>96</v>
      </c>
      <c r="K12" t="s">
        <v>97</v>
      </c>
      <c r="L12" t="s">
        <v>150</v>
      </c>
      <c r="M12">
        <v>309.55</v>
      </c>
      <c r="N12">
        <v>93</v>
      </c>
      <c r="O12" t="s">
        <v>151</v>
      </c>
      <c r="P12" t="s">
        <v>42</v>
      </c>
      <c r="Q12" t="s">
        <v>152</v>
      </c>
      <c r="R12" t="s">
        <v>153</v>
      </c>
      <c r="S12" t="s">
        <v>74</v>
      </c>
      <c r="T12" t="s">
        <v>154</v>
      </c>
      <c r="U12">
        <v>2116</v>
      </c>
      <c r="V12">
        <v>291</v>
      </c>
      <c r="W12">
        <v>4</v>
      </c>
      <c r="X12">
        <v>384.63</v>
      </c>
      <c r="Y12">
        <v>337.66</v>
      </c>
      <c r="Z12">
        <v>722.29</v>
      </c>
      <c r="AA12" t="s">
        <v>63</v>
      </c>
      <c r="AB12">
        <v>0</v>
      </c>
      <c r="AC12">
        <v>94.8</v>
      </c>
      <c r="AD12">
        <v>425</v>
      </c>
      <c r="AE12">
        <v>386</v>
      </c>
    </row>
    <row r="13" spans="1:34" x14ac:dyDescent="0.25">
      <c r="A13" t="s">
        <v>155</v>
      </c>
      <c r="B13" t="s">
        <v>156</v>
      </c>
      <c r="C13" s="1">
        <v>45631</v>
      </c>
      <c r="D13" s="1">
        <v>44030</v>
      </c>
      <c r="E13" t="s">
        <v>50</v>
      </c>
      <c r="F13" t="s">
        <v>147</v>
      </c>
      <c r="G13" t="s">
        <v>79</v>
      </c>
      <c r="H13" t="s">
        <v>53</v>
      </c>
      <c r="I13" t="s">
        <v>157</v>
      </c>
      <c r="J13" t="s">
        <v>38</v>
      </c>
      <c r="K13" t="s">
        <v>97</v>
      </c>
      <c r="L13" t="s">
        <v>158</v>
      </c>
      <c r="M13">
        <v>186.56</v>
      </c>
      <c r="N13">
        <v>93</v>
      </c>
      <c r="O13" t="s">
        <v>159</v>
      </c>
      <c r="P13" t="s">
        <v>42</v>
      </c>
      <c r="Q13" t="s">
        <v>160</v>
      </c>
      <c r="R13" t="s">
        <v>61</v>
      </c>
      <c r="S13" t="s">
        <v>128</v>
      </c>
      <c r="T13" t="s">
        <v>161</v>
      </c>
      <c r="U13">
        <v>4911</v>
      </c>
      <c r="V13">
        <v>358</v>
      </c>
      <c r="W13">
        <v>18</v>
      </c>
      <c r="X13">
        <v>706.31</v>
      </c>
      <c r="Y13">
        <v>293.54000000000002</v>
      </c>
      <c r="Z13">
        <v>999.84999999999991</v>
      </c>
      <c r="AA13" t="s">
        <v>63</v>
      </c>
      <c r="AB13">
        <v>0</v>
      </c>
      <c r="AC13">
        <v>70.02</v>
      </c>
      <c r="AD13">
        <v>257</v>
      </c>
      <c r="AE13">
        <v>257</v>
      </c>
    </row>
    <row r="14" spans="1:34" x14ac:dyDescent="0.25">
      <c r="A14" t="s">
        <v>162</v>
      </c>
      <c r="B14" t="s">
        <v>163</v>
      </c>
      <c r="C14" s="1">
        <v>45194</v>
      </c>
      <c r="D14" s="1">
        <v>44024</v>
      </c>
      <c r="E14" t="s">
        <v>66</v>
      </c>
      <c r="F14" t="s">
        <v>78</v>
      </c>
      <c r="G14" t="s">
        <v>115</v>
      </c>
      <c r="H14" t="s">
        <v>164</v>
      </c>
      <c r="I14" t="s">
        <v>165</v>
      </c>
      <c r="J14" t="s">
        <v>107</v>
      </c>
      <c r="K14" t="s">
        <v>39</v>
      </c>
      <c r="L14" t="s">
        <v>166</v>
      </c>
      <c r="M14">
        <v>88.2</v>
      </c>
      <c r="N14">
        <v>91</v>
      </c>
      <c r="O14" t="s">
        <v>167</v>
      </c>
      <c r="P14" t="s">
        <v>110</v>
      </c>
      <c r="Q14" t="s">
        <v>168</v>
      </c>
      <c r="R14" t="s">
        <v>88</v>
      </c>
      <c r="S14" t="s">
        <v>74</v>
      </c>
      <c r="T14" t="s">
        <v>169</v>
      </c>
      <c r="U14">
        <v>2805</v>
      </c>
      <c r="V14">
        <v>490</v>
      </c>
      <c r="W14">
        <v>2</v>
      </c>
      <c r="X14">
        <v>1263.24</v>
      </c>
      <c r="Y14">
        <v>80.16</v>
      </c>
      <c r="Z14">
        <v>1343.4</v>
      </c>
      <c r="AA14" t="s">
        <v>63</v>
      </c>
      <c r="AB14">
        <v>0</v>
      </c>
      <c r="AC14">
        <v>76.64</v>
      </c>
      <c r="AD14">
        <v>428</v>
      </c>
      <c r="AE14">
        <v>434</v>
      </c>
    </row>
    <row r="15" spans="1:34" x14ac:dyDescent="0.25">
      <c r="A15" t="s">
        <v>170</v>
      </c>
      <c r="B15" t="s">
        <v>171</v>
      </c>
      <c r="C15" s="1">
        <v>45272</v>
      </c>
      <c r="D15" s="1">
        <v>45403</v>
      </c>
      <c r="E15" t="s">
        <v>66</v>
      </c>
      <c r="F15" t="s">
        <v>78</v>
      </c>
      <c r="G15" t="s">
        <v>115</v>
      </c>
      <c r="H15" t="s">
        <v>116</v>
      </c>
      <c r="I15" t="s">
        <v>172</v>
      </c>
      <c r="J15" t="s">
        <v>82</v>
      </c>
      <c r="K15" t="s">
        <v>97</v>
      </c>
      <c r="L15" t="s">
        <v>173</v>
      </c>
      <c r="M15">
        <v>165.4</v>
      </c>
      <c r="N15">
        <v>55</v>
      </c>
      <c r="O15" t="s">
        <v>174</v>
      </c>
      <c r="P15" t="s">
        <v>59</v>
      </c>
      <c r="Q15" t="s">
        <v>175</v>
      </c>
      <c r="R15" t="s">
        <v>44</v>
      </c>
      <c r="S15" t="s">
        <v>74</v>
      </c>
      <c r="T15" t="s">
        <v>176</v>
      </c>
      <c r="U15">
        <v>4728</v>
      </c>
      <c r="V15">
        <v>220</v>
      </c>
      <c r="W15">
        <v>26</v>
      </c>
      <c r="X15">
        <v>1831.52</v>
      </c>
      <c r="Y15">
        <v>70.27</v>
      </c>
      <c r="Z15">
        <v>1901.79</v>
      </c>
      <c r="AA15" t="s">
        <v>47</v>
      </c>
      <c r="AB15">
        <v>10</v>
      </c>
      <c r="AC15">
        <v>91.19</v>
      </c>
      <c r="AD15">
        <v>252</v>
      </c>
      <c r="AE15">
        <v>222</v>
      </c>
    </row>
    <row r="16" spans="1:34" x14ac:dyDescent="0.25">
      <c r="A16" t="s">
        <v>177</v>
      </c>
      <c r="B16" t="s">
        <v>178</v>
      </c>
      <c r="C16" s="1">
        <v>45585</v>
      </c>
      <c r="D16" s="1">
        <v>44435</v>
      </c>
      <c r="E16" t="s">
        <v>50</v>
      </c>
      <c r="F16" t="s">
        <v>51</v>
      </c>
      <c r="G16" t="s">
        <v>94</v>
      </c>
      <c r="H16" t="s">
        <v>148</v>
      </c>
      <c r="I16" t="s">
        <v>179</v>
      </c>
      <c r="J16" t="s">
        <v>107</v>
      </c>
      <c r="K16" t="s">
        <v>83</v>
      </c>
      <c r="L16" t="s">
        <v>180</v>
      </c>
      <c r="M16">
        <v>20.3</v>
      </c>
      <c r="N16">
        <v>56</v>
      </c>
      <c r="O16" t="s">
        <v>181</v>
      </c>
      <c r="P16" t="s">
        <v>142</v>
      </c>
      <c r="Q16" t="s">
        <v>182</v>
      </c>
      <c r="R16" t="s">
        <v>44</v>
      </c>
      <c r="S16" t="s">
        <v>74</v>
      </c>
      <c r="T16" t="s">
        <v>183</v>
      </c>
      <c r="U16">
        <v>3385</v>
      </c>
      <c r="V16">
        <v>274</v>
      </c>
      <c r="W16">
        <v>6</v>
      </c>
      <c r="X16">
        <v>1243.6500000000001</v>
      </c>
      <c r="Y16">
        <v>168.46</v>
      </c>
      <c r="Z16">
        <v>1412.11</v>
      </c>
      <c r="AA16" t="s">
        <v>63</v>
      </c>
      <c r="AB16">
        <v>0</v>
      </c>
      <c r="AC16">
        <v>83.04</v>
      </c>
      <c r="AD16">
        <v>421</v>
      </c>
      <c r="AE16">
        <v>445</v>
      </c>
    </row>
    <row r="17" spans="1:31" x14ac:dyDescent="0.25">
      <c r="A17" t="s">
        <v>184</v>
      </c>
      <c r="B17" t="s">
        <v>185</v>
      </c>
      <c r="C17" s="1">
        <v>44785</v>
      </c>
      <c r="D17" s="1">
        <v>45429</v>
      </c>
      <c r="E17" t="s">
        <v>50</v>
      </c>
      <c r="F17" t="s">
        <v>51</v>
      </c>
      <c r="G17" t="s">
        <v>52</v>
      </c>
      <c r="H17" t="s">
        <v>148</v>
      </c>
      <c r="I17" t="s">
        <v>186</v>
      </c>
      <c r="J17" t="s">
        <v>107</v>
      </c>
      <c r="K17" t="s">
        <v>97</v>
      </c>
      <c r="L17" t="s">
        <v>187</v>
      </c>
      <c r="M17">
        <v>94.21</v>
      </c>
      <c r="N17">
        <v>19</v>
      </c>
      <c r="O17" t="s">
        <v>188</v>
      </c>
      <c r="P17" t="s">
        <v>42</v>
      </c>
      <c r="Q17" t="s">
        <v>189</v>
      </c>
      <c r="R17" t="s">
        <v>88</v>
      </c>
      <c r="S17" t="s">
        <v>101</v>
      </c>
      <c r="T17" t="s">
        <v>190</v>
      </c>
      <c r="U17">
        <v>551</v>
      </c>
      <c r="V17">
        <v>202</v>
      </c>
      <c r="W17">
        <v>20</v>
      </c>
      <c r="X17">
        <v>245.11</v>
      </c>
      <c r="Y17">
        <v>180.68</v>
      </c>
      <c r="Z17">
        <v>425.79</v>
      </c>
      <c r="AA17" t="s">
        <v>63</v>
      </c>
      <c r="AB17">
        <v>0</v>
      </c>
      <c r="AC17">
        <v>93.23</v>
      </c>
      <c r="AD17">
        <v>199</v>
      </c>
      <c r="AE17">
        <v>218</v>
      </c>
    </row>
    <row r="18" spans="1:31" x14ac:dyDescent="0.25">
      <c r="A18" t="s">
        <v>191</v>
      </c>
      <c r="B18" t="s">
        <v>192</v>
      </c>
      <c r="C18" s="1">
        <v>44688</v>
      </c>
      <c r="D18" s="1">
        <v>44554</v>
      </c>
      <c r="E18" t="s">
        <v>50</v>
      </c>
      <c r="F18" t="s">
        <v>78</v>
      </c>
      <c r="G18" t="s">
        <v>35</v>
      </c>
      <c r="H18" t="s">
        <v>68</v>
      </c>
      <c r="I18" t="s">
        <v>193</v>
      </c>
      <c r="J18" t="s">
        <v>38</v>
      </c>
      <c r="K18" t="s">
        <v>39</v>
      </c>
      <c r="L18" t="s">
        <v>194</v>
      </c>
      <c r="M18">
        <v>33</v>
      </c>
      <c r="N18">
        <v>16</v>
      </c>
      <c r="O18" t="s">
        <v>195</v>
      </c>
      <c r="P18" t="s">
        <v>86</v>
      </c>
      <c r="Q18" t="s">
        <v>175</v>
      </c>
      <c r="R18" t="s">
        <v>88</v>
      </c>
      <c r="S18" t="s">
        <v>89</v>
      </c>
      <c r="T18" t="s">
        <v>196</v>
      </c>
      <c r="U18">
        <v>2548</v>
      </c>
      <c r="V18">
        <v>53</v>
      </c>
      <c r="W18">
        <v>8</v>
      </c>
      <c r="X18">
        <v>1545.99</v>
      </c>
      <c r="Y18">
        <v>22.39</v>
      </c>
      <c r="Z18">
        <v>1568.38</v>
      </c>
      <c r="AA18" t="s">
        <v>63</v>
      </c>
      <c r="AB18">
        <v>0</v>
      </c>
      <c r="AC18">
        <v>76.39</v>
      </c>
      <c r="AD18">
        <v>320</v>
      </c>
      <c r="AE18">
        <v>313</v>
      </c>
    </row>
    <row r="19" spans="1:31" x14ac:dyDescent="0.25">
      <c r="A19" t="s">
        <v>197</v>
      </c>
      <c r="B19" t="s">
        <v>198</v>
      </c>
      <c r="C19" s="1">
        <v>44022</v>
      </c>
      <c r="D19" s="1">
        <v>45530</v>
      </c>
      <c r="E19" t="s">
        <v>66</v>
      </c>
      <c r="F19" t="s">
        <v>51</v>
      </c>
      <c r="G19" t="s">
        <v>115</v>
      </c>
      <c r="H19" t="s">
        <v>148</v>
      </c>
      <c r="I19" t="s">
        <v>199</v>
      </c>
      <c r="J19" t="s">
        <v>107</v>
      </c>
      <c r="K19" t="s">
        <v>83</v>
      </c>
      <c r="L19" t="s">
        <v>200</v>
      </c>
      <c r="M19">
        <v>397.89</v>
      </c>
      <c r="N19">
        <v>60</v>
      </c>
      <c r="O19" t="s">
        <v>201</v>
      </c>
      <c r="P19" t="s">
        <v>59</v>
      </c>
      <c r="Q19" t="s">
        <v>202</v>
      </c>
      <c r="R19" t="s">
        <v>44</v>
      </c>
      <c r="S19" t="s">
        <v>128</v>
      </c>
      <c r="T19" t="s">
        <v>203</v>
      </c>
      <c r="U19">
        <v>1899</v>
      </c>
      <c r="V19">
        <v>368</v>
      </c>
      <c r="W19">
        <v>1</v>
      </c>
      <c r="X19">
        <v>1961.05</v>
      </c>
      <c r="Y19">
        <v>348.86</v>
      </c>
      <c r="Z19">
        <v>2309.91</v>
      </c>
      <c r="AA19" t="s">
        <v>63</v>
      </c>
      <c r="AB19">
        <v>0</v>
      </c>
      <c r="AC19">
        <v>92.39</v>
      </c>
      <c r="AD19">
        <v>263</v>
      </c>
      <c r="AE19">
        <v>226</v>
      </c>
    </row>
    <row r="20" spans="1:31" x14ac:dyDescent="0.25">
      <c r="A20" t="s">
        <v>204</v>
      </c>
      <c r="B20" t="s">
        <v>205</v>
      </c>
      <c r="C20" s="1">
        <v>44082</v>
      </c>
      <c r="D20" s="1">
        <v>45056</v>
      </c>
      <c r="E20" t="s">
        <v>66</v>
      </c>
      <c r="F20" t="s">
        <v>147</v>
      </c>
      <c r="G20" t="s">
        <v>35</v>
      </c>
      <c r="H20" t="s">
        <v>116</v>
      </c>
      <c r="I20" t="s">
        <v>206</v>
      </c>
      <c r="J20" t="s">
        <v>82</v>
      </c>
      <c r="K20" t="s">
        <v>97</v>
      </c>
      <c r="L20" t="s">
        <v>207</v>
      </c>
      <c r="M20">
        <v>127.64</v>
      </c>
      <c r="N20">
        <v>27</v>
      </c>
      <c r="O20" t="s">
        <v>208</v>
      </c>
      <c r="P20" t="s">
        <v>110</v>
      </c>
      <c r="Q20" t="s">
        <v>152</v>
      </c>
      <c r="R20" t="s">
        <v>61</v>
      </c>
      <c r="S20" t="s">
        <v>101</v>
      </c>
      <c r="T20" t="s">
        <v>112</v>
      </c>
      <c r="U20">
        <v>2169</v>
      </c>
      <c r="V20">
        <v>153</v>
      </c>
      <c r="W20">
        <v>12</v>
      </c>
      <c r="X20">
        <v>972.32</v>
      </c>
      <c r="Y20">
        <v>327.31</v>
      </c>
      <c r="Z20">
        <v>1299.6300000000001</v>
      </c>
      <c r="AA20" t="s">
        <v>63</v>
      </c>
      <c r="AB20">
        <v>0</v>
      </c>
      <c r="AC20">
        <v>74.36</v>
      </c>
      <c r="AD20">
        <v>356</v>
      </c>
      <c r="AE20">
        <v>350</v>
      </c>
    </row>
    <row r="21" spans="1:31" x14ac:dyDescent="0.25">
      <c r="A21" t="s">
        <v>209</v>
      </c>
      <c r="B21" t="s">
        <v>210</v>
      </c>
      <c r="C21" s="1">
        <v>45394</v>
      </c>
      <c r="D21" s="1">
        <v>45350</v>
      </c>
      <c r="E21" t="s">
        <v>66</v>
      </c>
      <c r="F21" t="s">
        <v>51</v>
      </c>
      <c r="G21" t="s">
        <v>105</v>
      </c>
      <c r="H21" t="s">
        <v>116</v>
      </c>
      <c r="I21" t="s">
        <v>211</v>
      </c>
      <c r="J21" t="s">
        <v>38</v>
      </c>
      <c r="K21" t="s">
        <v>56</v>
      </c>
      <c r="L21" t="s">
        <v>212</v>
      </c>
      <c r="M21">
        <v>209.01</v>
      </c>
      <c r="N21">
        <v>84</v>
      </c>
      <c r="O21" t="s">
        <v>213</v>
      </c>
      <c r="P21" t="s">
        <v>142</v>
      </c>
      <c r="Q21" t="s">
        <v>214</v>
      </c>
      <c r="R21" t="s">
        <v>88</v>
      </c>
      <c r="S21" t="s">
        <v>128</v>
      </c>
      <c r="T21" t="s">
        <v>215</v>
      </c>
      <c r="U21">
        <v>4885</v>
      </c>
      <c r="V21">
        <v>158</v>
      </c>
      <c r="W21">
        <v>1</v>
      </c>
      <c r="X21">
        <v>1991.58</v>
      </c>
      <c r="Y21">
        <v>297.87</v>
      </c>
      <c r="Z21">
        <v>2289.4499999999998</v>
      </c>
      <c r="AA21" t="s">
        <v>63</v>
      </c>
      <c r="AB21">
        <v>0</v>
      </c>
      <c r="AC21">
        <v>80.67</v>
      </c>
      <c r="AD21">
        <v>456</v>
      </c>
      <c r="AE21">
        <v>477</v>
      </c>
    </row>
    <row r="22" spans="1:31" x14ac:dyDescent="0.25">
      <c r="A22" t="s">
        <v>216</v>
      </c>
      <c r="B22" t="s">
        <v>217</v>
      </c>
      <c r="C22" s="1">
        <v>44207</v>
      </c>
      <c r="D22" s="1">
        <v>43911</v>
      </c>
      <c r="E22" t="s">
        <v>66</v>
      </c>
      <c r="F22" t="s">
        <v>78</v>
      </c>
      <c r="G22" t="s">
        <v>67</v>
      </c>
      <c r="H22" t="s">
        <v>218</v>
      </c>
      <c r="I22" t="s">
        <v>219</v>
      </c>
      <c r="J22" t="s">
        <v>107</v>
      </c>
      <c r="K22" t="s">
        <v>56</v>
      </c>
      <c r="L22" t="s">
        <v>220</v>
      </c>
      <c r="M22">
        <v>173.65</v>
      </c>
      <c r="N22">
        <v>94</v>
      </c>
      <c r="O22" t="s">
        <v>221</v>
      </c>
      <c r="P22" t="s">
        <v>86</v>
      </c>
      <c r="Q22" t="s">
        <v>214</v>
      </c>
      <c r="R22" t="s">
        <v>44</v>
      </c>
      <c r="S22" t="s">
        <v>89</v>
      </c>
      <c r="T22" t="s">
        <v>222</v>
      </c>
      <c r="U22">
        <v>3809</v>
      </c>
      <c r="V22">
        <v>442</v>
      </c>
      <c r="W22">
        <v>27</v>
      </c>
      <c r="X22">
        <v>842.25</v>
      </c>
      <c r="Y22">
        <v>325.32</v>
      </c>
      <c r="Z22">
        <v>1167.57</v>
      </c>
      <c r="AA22" t="s">
        <v>63</v>
      </c>
      <c r="AB22">
        <v>0</v>
      </c>
      <c r="AC22">
        <v>81.75</v>
      </c>
      <c r="AD22">
        <v>298</v>
      </c>
      <c r="AE22">
        <v>300</v>
      </c>
    </row>
    <row r="23" spans="1:31" x14ac:dyDescent="0.25">
      <c r="A23" t="s">
        <v>223</v>
      </c>
      <c r="B23" t="s">
        <v>224</v>
      </c>
      <c r="C23" s="1">
        <v>44995</v>
      </c>
      <c r="D23" s="1">
        <v>45601</v>
      </c>
      <c r="E23" t="s">
        <v>50</v>
      </c>
      <c r="F23" t="s">
        <v>93</v>
      </c>
      <c r="G23" t="s">
        <v>105</v>
      </c>
      <c r="H23" t="s">
        <v>116</v>
      </c>
      <c r="I23" t="s">
        <v>225</v>
      </c>
      <c r="J23" t="s">
        <v>38</v>
      </c>
      <c r="K23" t="s">
        <v>97</v>
      </c>
      <c r="L23" t="s">
        <v>226</v>
      </c>
      <c r="M23">
        <v>118.26</v>
      </c>
      <c r="N23">
        <v>88</v>
      </c>
      <c r="O23" t="s">
        <v>227</v>
      </c>
      <c r="P23" t="s">
        <v>142</v>
      </c>
      <c r="Q23" t="s">
        <v>228</v>
      </c>
      <c r="R23" t="s">
        <v>61</v>
      </c>
      <c r="S23" t="s">
        <v>89</v>
      </c>
      <c r="T23" t="s">
        <v>161</v>
      </c>
      <c r="U23">
        <v>3553</v>
      </c>
      <c r="V23">
        <v>417</v>
      </c>
      <c r="W23">
        <v>25</v>
      </c>
      <c r="X23">
        <v>1100.94</v>
      </c>
      <c r="Y23">
        <v>287.49</v>
      </c>
      <c r="Z23">
        <v>1388.43</v>
      </c>
      <c r="AA23" t="s">
        <v>47</v>
      </c>
      <c r="AB23">
        <v>5</v>
      </c>
      <c r="AC23">
        <v>94.24</v>
      </c>
      <c r="AD23">
        <v>466</v>
      </c>
      <c r="AE23">
        <v>491</v>
      </c>
    </row>
    <row r="24" spans="1:31" x14ac:dyDescent="0.25">
      <c r="A24" t="s">
        <v>229</v>
      </c>
      <c r="B24" t="s">
        <v>230</v>
      </c>
      <c r="C24" s="1">
        <v>44043</v>
      </c>
      <c r="D24" s="1">
        <v>44021</v>
      </c>
      <c r="E24" t="s">
        <v>33</v>
      </c>
      <c r="F24" t="s">
        <v>147</v>
      </c>
      <c r="G24" t="s">
        <v>35</v>
      </c>
      <c r="H24" t="s">
        <v>80</v>
      </c>
      <c r="I24" t="s">
        <v>231</v>
      </c>
      <c r="J24" t="s">
        <v>38</v>
      </c>
      <c r="K24" t="s">
        <v>70</v>
      </c>
      <c r="L24" t="s">
        <v>232</v>
      </c>
      <c r="M24">
        <v>282.82</v>
      </c>
      <c r="N24">
        <v>52</v>
      </c>
      <c r="O24" t="s">
        <v>233</v>
      </c>
      <c r="P24" t="s">
        <v>59</v>
      </c>
      <c r="Q24" t="s">
        <v>234</v>
      </c>
      <c r="R24" t="s">
        <v>153</v>
      </c>
      <c r="S24" t="s">
        <v>101</v>
      </c>
      <c r="T24" t="s">
        <v>235</v>
      </c>
      <c r="U24">
        <v>2101</v>
      </c>
      <c r="V24">
        <v>169</v>
      </c>
      <c r="W24">
        <v>8</v>
      </c>
      <c r="X24">
        <v>1318.04</v>
      </c>
      <c r="Y24">
        <v>448.9</v>
      </c>
      <c r="Z24">
        <v>1766.94</v>
      </c>
      <c r="AA24" t="s">
        <v>63</v>
      </c>
      <c r="AB24">
        <v>0</v>
      </c>
      <c r="AC24">
        <v>93.64</v>
      </c>
      <c r="AD24">
        <v>128</v>
      </c>
      <c r="AE24">
        <v>123</v>
      </c>
    </row>
    <row r="25" spans="1:31" x14ac:dyDescent="0.25">
      <c r="A25" t="s">
        <v>236</v>
      </c>
      <c r="B25" t="s">
        <v>237</v>
      </c>
      <c r="C25" s="1">
        <v>44426</v>
      </c>
      <c r="D25" s="1">
        <v>44044</v>
      </c>
      <c r="E25" t="s">
        <v>66</v>
      </c>
      <c r="F25" t="s">
        <v>78</v>
      </c>
      <c r="G25" t="s">
        <v>35</v>
      </c>
      <c r="H25" t="s">
        <v>53</v>
      </c>
      <c r="I25" t="s">
        <v>238</v>
      </c>
      <c r="J25" t="s">
        <v>82</v>
      </c>
      <c r="K25" t="s">
        <v>97</v>
      </c>
      <c r="L25" t="s">
        <v>239</v>
      </c>
      <c r="M25">
        <v>332.15</v>
      </c>
      <c r="N25">
        <v>64</v>
      </c>
      <c r="O25" t="s">
        <v>240</v>
      </c>
      <c r="P25" t="s">
        <v>42</v>
      </c>
      <c r="Q25" t="s">
        <v>241</v>
      </c>
      <c r="R25" t="s">
        <v>88</v>
      </c>
      <c r="S25" t="s">
        <v>74</v>
      </c>
      <c r="T25" t="s">
        <v>242</v>
      </c>
      <c r="U25">
        <v>2108</v>
      </c>
      <c r="V25">
        <v>181</v>
      </c>
      <c r="W25">
        <v>5</v>
      </c>
      <c r="X25">
        <v>596.41</v>
      </c>
      <c r="Y25">
        <v>250.91</v>
      </c>
      <c r="Z25">
        <v>847.31999999999994</v>
      </c>
      <c r="AA25" t="s">
        <v>63</v>
      </c>
      <c r="AB25">
        <v>0</v>
      </c>
      <c r="AC25">
        <v>70.77</v>
      </c>
      <c r="AD25">
        <v>316</v>
      </c>
      <c r="AE25">
        <v>343</v>
      </c>
    </row>
    <row r="26" spans="1:31" x14ac:dyDescent="0.25">
      <c r="A26" t="s">
        <v>243</v>
      </c>
      <c r="B26" t="s">
        <v>244</v>
      </c>
      <c r="C26" s="1">
        <v>44942</v>
      </c>
      <c r="D26" s="1">
        <v>44607</v>
      </c>
      <c r="E26" t="s">
        <v>66</v>
      </c>
      <c r="F26" t="s">
        <v>78</v>
      </c>
      <c r="G26" t="s">
        <v>35</v>
      </c>
      <c r="H26" t="s">
        <v>164</v>
      </c>
      <c r="I26" t="s">
        <v>245</v>
      </c>
      <c r="J26" t="s">
        <v>96</v>
      </c>
      <c r="K26" t="s">
        <v>39</v>
      </c>
      <c r="L26" t="s">
        <v>246</v>
      </c>
      <c r="M26">
        <v>320.01</v>
      </c>
      <c r="N26">
        <v>42</v>
      </c>
      <c r="O26" t="s">
        <v>247</v>
      </c>
      <c r="P26" t="s">
        <v>110</v>
      </c>
      <c r="Q26" t="s">
        <v>248</v>
      </c>
      <c r="R26" t="s">
        <v>61</v>
      </c>
      <c r="S26" t="s">
        <v>89</v>
      </c>
      <c r="T26" t="s">
        <v>249</v>
      </c>
      <c r="U26">
        <v>861</v>
      </c>
      <c r="V26">
        <v>169</v>
      </c>
      <c r="W26">
        <v>24</v>
      </c>
      <c r="X26">
        <v>1865.44</v>
      </c>
      <c r="Y26">
        <v>442.41</v>
      </c>
      <c r="Z26">
        <v>2307.85</v>
      </c>
      <c r="AA26" t="s">
        <v>63</v>
      </c>
      <c r="AB26">
        <v>0</v>
      </c>
      <c r="AC26">
        <v>78.569999999999993</v>
      </c>
      <c r="AD26">
        <v>335</v>
      </c>
      <c r="AE26">
        <v>311</v>
      </c>
    </row>
    <row r="27" spans="1:31" x14ac:dyDescent="0.25">
      <c r="A27" t="s">
        <v>250</v>
      </c>
      <c r="B27" t="s">
        <v>251</v>
      </c>
      <c r="C27" s="1">
        <v>45441</v>
      </c>
      <c r="D27" s="1">
        <v>45625</v>
      </c>
      <c r="E27" t="s">
        <v>50</v>
      </c>
      <c r="F27" t="s">
        <v>34</v>
      </c>
      <c r="G27" t="s">
        <v>79</v>
      </c>
      <c r="H27" t="s">
        <v>53</v>
      </c>
      <c r="I27" t="s">
        <v>252</v>
      </c>
      <c r="J27" t="s">
        <v>107</v>
      </c>
      <c r="K27" t="s">
        <v>97</v>
      </c>
      <c r="L27" t="s">
        <v>253</v>
      </c>
      <c r="M27">
        <v>386.85</v>
      </c>
      <c r="N27">
        <v>93</v>
      </c>
      <c r="O27" t="s">
        <v>254</v>
      </c>
      <c r="P27" t="s">
        <v>142</v>
      </c>
      <c r="Q27" t="s">
        <v>111</v>
      </c>
      <c r="R27" t="s">
        <v>44</v>
      </c>
      <c r="S27" t="s">
        <v>101</v>
      </c>
      <c r="T27" t="s">
        <v>255</v>
      </c>
      <c r="U27">
        <v>1879</v>
      </c>
      <c r="V27">
        <v>64</v>
      </c>
      <c r="W27">
        <v>4</v>
      </c>
      <c r="X27">
        <v>1019.67</v>
      </c>
      <c r="Y27">
        <v>486.56</v>
      </c>
      <c r="Z27">
        <v>1506.23</v>
      </c>
      <c r="AA27" t="s">
        <v>63</v>
      </c>
      <c r="AB27">
        <v>0</v>
      </c>
      <c r="AC27">
        <v>95.27</v>
      </c>
      <c r="AD27">
        <v>85</v>
      </c>
      <c r="AE27">
        <v>121</v>
      </c>
    </row>
    <row r="28" spans="1:31" x14ac:dyDescent="0.25">
      <c r="A28" t="s">
        <v>256</v>
      </c>
      <c r="B28" t="s">
        <v>257</v>
      </c>
      <c r="C28" s="1">
        <v>44905</v>
      </c>
      <c r="D28" s="1">
        <v>44192</v>
      </c>
      <c r="E28" t="s">
        <v>66</v>
      </c>
      <c r="F28" t="s">
        <v>93</v>
      </c>
      <c r="G28" t="s">
        <v>105</v>
      </c>
      <c r="H28" t="s">
        <v>68</v>
      </c>
      <c r="I28" t="s">
        <v>258</v>
      </c>
      <c r="J28" t="s">
        <v>38</v>
      </c>
      <c r="K28" t="s">
        <v>83</v>
      </c>
      <c r="L28" t="s">
        <v>259</v>
      </c>
      <c r="M28">
        <v>145.83000000000001</v>
      </c>
      <c r="N28">
        <v>81</v>
      </c>
      <c r="O28" t="s">
        <v>260</v>
      </c>
      <c r="P28" t="s">
        <v>42</v>
      </c>
      <c r="Q28" t="s">
        <v>261</v>
      </c>
      <c r="R28" t="s">
        <v>61</v>
      </c>
      <c r="S28" t="s">
        <v>89</v>
      </c>
      <c r="T28" t="s">
        <v>262</v>
      </c>
      <c r="U28">
        <v>2241</v>
      </c>
      <c r="V28">
        <v>314</v>
      </c>
      <c r="W28">
        <v>14</v>
      </c>
      <c r="X28">
        <v>1043.45</v>
      </c>
      <c r="Y28">
        <v>220.42</v>
      </c>
      <c r="Z28">
        <v>1263.8699999999999</v>
      </c>
      <c r="AA28" t="s">
        <v>63</v>
      </c>
      <c r="AB28">
        <v>0</v>
      </c>
      <c r="AC28">
        <v>81.22</v>
      </c>
      <c r="AD28">
        <v>325</v>
      </c>
      <c r="AE28">
        <v>287</v>
      </c>
    </row>
    <row r="29" spans="1:31" x14ac:dyDescent="0.25">
      <c r="A29" t="s">
        <v>263</v>
      </c>
      <c r="B29" t="s">
        <v>264</v>
      </c>
      <c r="C29" s="1">
        <v>44397</v>
      </c>
      <c r="D29" s="1">
        <v>45630</v>
      </c>
      <c r="E29" t="s">
        <v>50</v>
      </c>
      <c r="F29" t="s">
        <v>147</v>
      </c>
      <c r="G29" t="s">
        <v>67</v>
      </c>
      <c r="H29" t="s">
        <v>164</v>
      </c>
      <c r="I29" t="s">
        <v>265</v>
      </c>
      <c r="J29" t="s">
        <v>107</v>
      </c>
      <c r="K29" t="s">
        <v>83</v>
      </c>
      <c r="L29" t="s">
        <v>266</v>
      </c>
      <c r="M29">
        <v>468.12</v>
      </c>
      <c r="N29">
        <v>82</v>
      </c>
      <c r="O29" t="s">
        <v>267</v>
      </c>
      <c r="P29" t="s">
        <v>59</v>
      </c>
      <c r="Q29" t="s">
        <v>152</v>
      </c>
      <c r="R29" t="s">
        <v>88</v>
      </c>
      <c r="S29" t="s">
        <v>89</v>
      </c>
      <c r="T29" t="s">
        <v>215</v>
      </c>
      <c r="U29">
        <v>4837</v>
      </c>
      <c r="V29">
        <v>267</v>
      </c>
      <c r="W29">
        <v>10</v>
      </c>
      <c r="X29">
        <v>1473.47</v>
      </c>
      <c r="Y29">
        <v>10.39</v>
      </c>
      <c r="Z29">
        <v>1483.86</v>
      </c>
      <c r="AA29" t="s">
        <v>63</v>
      </c>
      <c r="AB29">
        <v>0</v>
      </c>
      <c r="AC29">
        <v>79.400000000000006</v>
      </c>
      <c r="AD29">
        <v>297</v>
      </c>
      <c r="AE29">
        <v>342</v>
      </c>
    </row>
    <row r="30" spans="1:31" x14ac:dyDescent="0.25">
      <c r="A30" t="s">
        <v>268</v>
      </c>
      <c r="B30" t="s">
        <v>269</v>
      </c>
      <c r="C30" s="1">
        <v>44699</v>
      </c>
      <c r="D30" s="1">
        <v>43914</v>
      </c>
      <c r="E30" t="s">
        <v>66</v>
      </c>
      <c r="F30" t="s">
        <v>78</v>
      </c>
      <c r="G30" t="s">
        <v>35</v>
      </c>
      <c r="H30" t="s">
        <v>53</v>
      </c>
      <c r="I30" t="s">
        <v>270</v>
      </c>
      <c r="J30" t="s">
        <v>107</v>
      </c>
      <c r="K30" t="s">
        <v>39</v>
      </c>
      <c r="L30" t="s">
        <v>271</v>
      </c>
      <c r="M30">
        <v>242.57</v>
      </c>
      <c r="N30">
        <v>80</v>
      </c>
      <c r="O30" t="s">
        <v>272</v>
      </c>
      <c r="P30" t="s">
        <v>86</v>
      </c>
      <c r="Q30" t="s">
        <v>135</v>
      </c>
      <c r="R30" t="s">
        <v>88</v>
      </c>
      <c r="S30" t="s">
        <v>128</v>
      </c>
      <c r="T30" t="s">
        <v>273</v>
      </c>
      <c r="U30">
        <v>4069</v>
      </c>
      <c r="V30">
        <v>438</v>
      </c>
      <c r="W30">
        <v>29</v>
      </c>
      <c r="X30">
        <v>1043.1099999999999</v>
      </c>
      <c r="Y30">
        <v>204.1</v>
      </c>
      <c r="Z30">
        <v>1247.21</v>
      </c>
      <c r="AA30" t="s">
        <v>63</v>
      </c>
      <c r="AB30">
        <v>0</v>
      </c>
      <c r="AC30">
        <v>83.57</v>
      </c>
      <c r="AD30">
        <v>121</v>
      </c>
      <c r="AE30">
        <v>161</v>
      </c>
    </row>
    <row r="31" spans="1:31" x14ac:dyDescent="0.25">
      <c r="A31" t="s">
        <v>274</v>
      </c>
      <c r="B31" t="s">
        <v>275</v>
      </c>
      <c r="C31" s="1">
        <v>44368</v>
      </c>
      <c r="D31" s="1">
        <v>45078</v>
      </c>
      <c r="E31" t="s">
        <v>50</v>
      </c>
      <c r="F31" t="s">
        <v>78</v>
      </c>
      <c r="G31" t="s">
        <v>115</v>
      </c>
      <c r="H31" t="s">
        <v>53</v>
      </c>
      <c r="I31" t="s">
        <v>276</v>
      </c>
      <c r="J31" t="s">
        <v>82</v>
      </c>
      <c r="K31" t="s">
        <v>56</v>
      </c>
      <c r="L31" t="s">
        <v>277</v>
      </c>
      <c r="M31">
        <v>351.99</v>
      </c>
      <c r="N31">
        <v>13</v>
      </c>
      <c r="O31" t="s">
        <v>278</v>
      </c>
      <c r="P31" t="s">
        <v>59</v>
      </c>
      <c r="Q31" t="s">
        <v>234</v>
      </c>
      <c r="R31" t="s">
        <v>88</v>
      </c>
      <c r="S31" t="s">
        <v>128</v>
      </c>
      <c r="T31" t="s">
        <v>279</v>
      </c>
      <c r="U31">
        <v>844</v>
      </c>
      <c r="V31">
        <v>135</v>
      </c>
      <c r="W31">
        <v>22</v>
      </c>
      <c r="X31">
        <v>828.72</v>
      </c>
      <c r="Y31">
        <v>468.59</v>
      </c>
      <c r="Z31">
        <v>1297.31</v>
      </c>
      <c r="AA31" t="s">
        <v>47</v>
      </c>
      <c r="AB31">
        <v>1</v>
      </c>
      <c r="AC31">
        <v>93.61</v>
      </c>
      <c r="AD31">
        <v>69</v>
      </c>
      <c r="AE31">
        <v>22</v>
      </c>
    </row>
    <row r="32" spans="1:31" x14ac:dyDescent="0.25">
      <c r="A32" t="s">
        <v>280</v>
      </c>
      <c r="B32" t="s">
        <v>281</v>
      </c>
      <c r="C32" s="1">
        <v>43849</v>
      </c>
      <c r="D32" s="1">
        <v>44295</v>
      </c>
      <c r="E32" t="s">
        <v>50</v>
      </c>
      <c r="F32" t="s">
        <v>147</v>
      </c>
      <c r="G32" t="s">
        <v>79</v>
      </c>
      <c r="H32" t="s">
        <v>80</v>
      </c>
      <c r="I32" t="s">
        <v>282</v>
      </c>
      <c r="J32" t="s">
        <v>55</v>
      </c>
      <c r="K32" t="s">
        <v>70</v>
      </c>
      <c r="L32" t="s">
        <v>283</v>
      </c>
      <c r="M32">
        <v>411.06</v>
      </c>
      <c r="N32">
        <v>7</v>
      </c>
      <c r="O32" t="s">
        <v>284</v>
      </c>
      <c r="P32" t="s">
        <v>142</v>
      </c>
      <c r="Q32" t="s">
        <v>248</v>
      </c>
      <c r="R32" t="s">
        <v>88</v>
      </c>
      <c r="S32" t="s">
        <v>128</v>
      </c>
      <c r="T32" t="s">
        <v>62</v>
      </c>
      <c r="U32">
        <v>94</v>
      </c>
      <c r="V32">
        <v>201</v>
      </c>
      <c r="W32">
        <v>25</v>
      </c>
      <c r="X32">
        <v>1488.94</v>
      </c>
      <c r="Y32">
        <v>168.71</v>
      </c>
      <c r="Z32">
        <v>1657.65</v>
      </c>
      <c r="AA32" t="s">
        <v>63</v>
      </c>
      <c r="AB32">
        <v>0</v>
      </c>
      <c r="AC32">
        <v>79.900000000000006</v>
      </c>
      <c r="AD32">
        <v>107</v>
      </c>
      <c r="AE32">
        <v>114</v>
      </c>
    </row>
    <row r="33" spans="1:31" x14ac:dyDescent="0.25">
      <c r="A33" t="s">
        <v>285</v>
      </c>
      <c r="B33" t="s">
        <v>286</v>
      </c>
      <c r="C33" s="1">
        <v>45603</v>
      </c>
      <c r="D33" s="1">
        <v>45516</v>
      </c>
      <c r="E33" t="s">
        <v>66</v>
      </c>
      <c r="F33" t="s">
        <v>93</v>
      </c>
      <c r="G33" t="s">
        <v>35</v>
      </c>
      <c r="H33" t="s">
        <v>116</v>
      </c>
      <c r="I33" t="s">
        <v>287</v>
      </c>
      <c r="J33" t="s">
        <v>82</v>
      </c>
      <c r="K33" t="s">
        <v>39</v>
      </c>
      <c r="L33" t="s">
        <v>288</v>
      </c>
      <c r="M33">
        <v>137.82</v>
      </c>
      <c r="N33">
        <v>54</v>
      </c>
      <c r="O33" t="s">
        <v>289</v>
      </c>
      <c r="P33" t="s">
        <v>42</v>
      </c>
      <c r="Q33" t="s">
        <v>290</v>
      </c>
      <c r="R33" t="s">
        <v>61</v>
      </c>
      <c r="S33" t="s">
        <v>74</v>
      </c>
      <c r="T33" t="s">
        <v>291</v>
      </c>
      <c r="U33">
        <v>69</v>
      </c>
      <c r="V33">
        <v>344</v>
      </c>
      <c r="W33">
        <v>25</v>
      </c>
      <c r="X33">
        <v>1967.45</v>
      </c>
      <c r="Y33">
        <v>375.64</v>
      </c>
      <c r="Z33">
        <v>2343.09</v>
      </c>
      <c r="AA33" t="s">
        <v>63</v>
      </c>
      <c r="AB33">
        <v>0</v>
      </c>
      <c r="AC33">
        <v>83.54</v>
      </c>
      <c r="AD33">
        <v>438</v>
      </c>
      <c r="AE33">
        <v>395</v>
      </c>
    </row>
    <row r="34" spans="1:31" x14ac:dyDescent="0.25">
      <c r="A34" t="s">
        <v>292</v>
      </c>
      <c r="B34" t="s">
        <v>293</v>
      </c>
      <c r="C34" s="1">
        <v>45146</v>
      </c>
      <c r="D34" s="1">
        <v>44514</v>
      </c>
      <c r="E34" t="s">
        <v>50</v>
      </c>
      <c r="F34" t="s">
        <v>147</v>
      </c>
      <c r="G34" t="s">
        <v>67</v>
      </c>
      <c r="H34" t="s">
        <v>68</v>
      </c>
      <c r="I34" t="s">
        <v>294</v>
      </c>
      <c r="J34" t="s">
        <v>38</v>
      </c>
      <c r="K34" t="s">
        <v>70</v>
      </c>
      <c r="L34" t="s">
        <v>295</v>
      </c>
      <c r="M34">
        <v>300.33999999999997</v>
      </c>
      <c r="N34">
        <v>24</v>
      </c>
      <c r="O34" t="s">
        <v>296</v>
      </c>
      <c r="P34" t="s">
        <v>142</v>
      </c>
      <c r="Q34" t="s">
        <v>248</v>
      </c>
      <c r="R34" t="s">
        <v>44</v>
      </c>
      <c r="S34" t="s">
        <v>128</v>
      </c>
      <c r="T34" t="s">
        <v>297</v>
      </c>
      <c r="U34">
        <v>4925</v>
      </c>
      <c r="V34">
        <v>263</v>
      </c>
      <c r="W34">
        <v>24</v>
      </c>
      <c r="X34">
        <v>1282.05</v>
      </c>
      <c r="Y34">
        <v>333.53</v>
      </c>
      <c r="Z34">
        <v>1615.58</v>
      </c>
      <c r="AA34" t="s">
        <v>63</v>
      </c>
      <c r="AB34">
        <v>0</v>
      </c>
      <c r="AC34">
        <v>89.63</v>
      </c>
      <c r="AD34">
        <v>210</v>
      </c>
      <c r="AE34">
        <v>216</v>
      </c>
    </row>
    <row r="35" spans="1:31" x14ac:dyDescent="0.25">
      <c r="A35" t="s">
        <v>298</v>
      </c>
      <c r="B35" t="s">
        <v>299</v>
      </c>
      <c r="C35" s="1">
        <v>44022</v>
      </c>
      <c r="D35" s="1">
        <v>45238</v>
      </c>
      <c r="E35" t="s">
        <v>66</v>
      </c>
      <c r="F35" t="s">
        <v>51</v>
      </c>
      <c r="G35" t="s">
        <v>35</v>
      </c>
      <c r="H35" t="s">
        <v>80</v>
      </c>
      <c r="I35" t="s">
        <v>300</v>
      </c>
      <c r="J35" t="s">
        <v>96</v>
      </c>
      <c r="K35" t="s">
        <v>56</v>
      </c>
      <c r="L35" t="s">
        <v>301</v>
      </c>
      <c r="M35">
        <v>216.49</v>
      </c>
      <c r="N35">
        <v>37</v>
      </c>
      <c r="O35" t="s">
        <v>302</v>
      </c>
      <c r="P35" t="s">
        <v>142</v>
      </c>
      <c r="Q35" t="s">
        <v>135</v>
      </c>
      <c r="R35" t="s">
        <v>153</v>
      </c>
      <c r="S35" t="s">
        <v>101</v>
      </c>
      <c r="T35" t="s">
        <v>303</v>
      </c>
      <c r="U35">
        <v>3907</v>
      </c>
      <c r="V35">
        <v>302</v>
      </c>
      <c r="W35">
        <v>15</v>
      </c>
      <c r="X35">
        <v>1106.1099999999999</v>
      </c>
      <c r="Y35">
        <v>27.21</v>
      </c>
      <c r="Z35">
        <v>1133.32</v>
      </c>
      <c r="AA35" t="s">
        <v>63</v>
      </c>
      <c r="AB35">
        <v>0</v>
      </c>
      <c r="AC35">
        <v>71.8</v>
      </c>
      <c r="AD35">
        <v>53</v>
      </c>
      <c r="AE35">
        <v>52</v>
      </c>
    </row>
    <row r="36" spans="1:31" x14ac:dyDescent="0.25">
      <c r="A36" t="s">
        <v>304</v>
      </c>
      <c r="B36" t="s">
        <v>305</v>
      </c>
      <c r="C36" s="1">
        <v>44696</v>
      </c>
      <c r="D36" s="1">
        <v>44533</v>
      </c>
      <c r="E36" t="s">
        <v>66</v>
      </c>
      <c r="F36" t="s">
        <v>78</v>
      </c>
      <c r="G36" t="s">
        <v>79</v>
      </c>
      <c r="H36" t="s">
        <v>53</v>
      </c>
      <c r="I36" t="s">
        <v>306</v>
      </c>
      <c r="J36" t="s">
        <v>38</v>
      </c>
      <c r="K36" t="s">
        <v>83</v>
      </c>
      <c r="L36" t="s">
        <v>307</v>
      </c>
      <c r="M36">
        <v>333.08</v>
      </c>
      <c r="N36">
        <v>75</v>
      </c>
      <c r="O36" t="s">
        <v>308</v>
      </c>
      <c r="P36" t="s">
        <v>42</v>
      </c>
      <c r="Q36" t="s">
        <v>241</v>
      </c>
      <c r="R36" t="s">
        <v>153</v>
      </c>
      <c r="S36" t="s">
        <v>74</v>
      </c>
      <c r="T36" t="s">
        <v>309</v>
      </c>
      <c r="U36">
        <v>2211</v>
      </c>
      <c r="V36">
        <v>55</v>
      </c>
      <c r="W36">
        <v>11</v>
      </c>
      <c r="X36">
        <v>578.38</v>
      </c>
      <c r="Y36">
        <v>28.73</v>
      </c>
      <c r="Z36">
        <v>607.11</v>
      </c>
      <c r="AA36" t="s">
        <v>47</v>
      </c>
      <c r="AB36">
        <v>9</v>
      </c>
      <c r="AC36">
        <v>94.51</v>
      </c>
      <c r="AD36">
        <v>319</v>
      </c>
      <c r="AE36">
        <v>343</v>
      </c>
    </row>
    <row r="37" spans="1:31" x14ac:dyDescent="0.25">
      <c r="A37" t="s">
        <v>310</v>
      </c>
      <c r="B37" t="s">
        <v>311</v>
      </c>
      <c r="C37" s="1">
        <v>44924</v>
      </c>
      <c r="D37" s="1">
        <v>44760</v>
      </c>
      <c r="E37" t="s">
        <v>66</v>
      </c>
      <c r="F37" t="s">
        <v>147</v>
      </c>
      <c r="G37" t="s">
        <v>79</v>
      </c>
      <c r="H37" t="s">
        <v>53</v>
      </c>
      <c r="I37" t="s">
        <v>312</v>
      </c>
      <c r="J37" t="s">
        <v>107</v>
      </c>
      <c r="K37" t="s">
        <v>83</v>
      </c>
      <c r="L37" t="s">
        <v>313</v>
      </c>
      <c r="M37">
        <v>145.38</v>
      </c>
      <c r="N37">
        <v>1</v>
      </c>
      <c r="O37" t="s">
        <v>314</v>
      </c>
      <c r="P37" t="s">
        <v>142</v>
      </c>
      <c r="Q37" t="s">
        <v>315</v>
      </c>
      <c r="R37" t="s">
        <v>153</v>
      </c>
      <c r="S37" t="s">
        <v>89</v>
      </c>
      <c r="T37" t="s">
        <v>316</v>
      </c>
      <c r="U37">
        <v>3348</v>
      </c>
      <c r="V37">
        <v>136</v>
      </c>
      <c r="W37">
        <v>13</v>
      </c>
      <c r="X37">
        <v>1821.62</v>
      </c>
      <c r="Y37">
        <v>340.54</v>
      </c>
      <c r="Z37">
        <v>2162.16</v>
      </c>
      <c r="AA37" t="s">
        <v>63</v>
      </c>
      <c r="AB37">
        <v>0</v>
      </c>
      <c r="AC37">
        <v>78.680000000000007</v>
      </c>
      <c r="AD37">
        <v>87</v>
      </c>
      <c r="AE37">
        <v>40</v>
      </c>
    </row>
    <row r="38" spans="1:31" x14ac:dyDescent="0.25">
      <c r="A38" t="s">
        <v>317</v>
      </c>
      <c r="B38" t="s">
        <v>318</v>
      </c>
      <c r="C38" s="1">
        <v>43882</v>
      </c>
      <c r="D38" s="1">
        <v>44530</v>
      </c>
      <c r="E38" t="s">
        <v>66</v>
      </c>
      <c r="F38" t="s">
        <v>51</v>
      </c>
      <c r="G38" t="s">
        <v>94</v>
      </c>
      <c r="H38" t="s">
        <v>148</v>
      </c>
      <c r="I38" t="s">
        <v>319</v>
      </c>
      <c r="J38" t="s">
        <v>96</v>
      </c>
      <c r="K38" t="s">
        <v>56</v>
      </c>
      <c r="L38" t="s">
        <v>320</v>
      </c>
      <c r="M38">
        <v>480</v>
      </c>
      <c r="N38">
        <v>51</v>
      </c>
      <c r="O38" t="s">
        <v>321</v>
      </c>
      <c r="P38" t="s">
        <v>59</v>
      </c>
      <c r="Q38" t="s">
        <v>322</v>
      </c>
      <c r="R38" t="s">
        <v>44</v>
      </c>
      <c r="S38" t="s">
        <v>128</v>
      </c>
      <c r="T38" t="s">
        <v>161</v>
      </c>
      <c r="U38">
        <v>1715</v>
      </c>
      <c r="V38">
        <v>134</v>
      </c>
      <c r="W38">
        <v>4</v>
      </c>
      <c r="X38">
        <v>1113.7</v>
      </c>
      <c r="Y38">
        <v>465.86</v>
      </c>
      <c r="Z38">
        <v>1579.56</v>
      </c>
      <c r="AA38" t="s">
        <v>63</v>
      </c>
      <c r="AB38">
        <v>0</v>
      </c>
      <c r="AC38">
        <v>98.67</v>
      </c>
      <c r="AD38">
        <v>94</v>
      </c>
      <c r="AE38">
        <v>120</v>
      </c>
    </row>
    <row r="39" spans="1:31" x14ac:dyDescent="0.25">
      <c r="A39" t="s">
        <v>323</v>
      </c>
      <c r="B39" t="s">
        <v>324</v>
      </c>
      <c r="C39" s="1">
        <v>44262</v>
      </c>
      <c r="D39" s="1">
        <v>44627</v>
      </c>
      <c r="E39" t="s">
        <v>50</v>
      </c>
      <c r="F39" t="s">
        <v>93</v>
      </c>
      <c r="G39" t="s">
        <v>94</v>
      </c>
      <c r="H39" t="s">
        <v>80</v>
      </c>
      <c r="I39" t="s">
        <v>325</v>
      </c>
      <c r="J39" t="s">
        <v>55</v>
      </c>
      <c r="K39" t="s">
        <v>97</v>
      </c>
      <c r="L39" t="s">
        <v>326</v>
      </c>
      <c r="M39">
        <v>470.66</v>
      </c>
      <c r="N39">
        <v>68</v>
      </c>
      <c r="O39" t="s">
        <v>327</v>
      </c>
      <c r="P39" t="s">
        <v>42</v>
      </c>
      <c r="Q39" t="s">
        <v>328</v>
      </c>
      <c r="R39" t="s">
        <v>88</v>
      </c>
      <c r="S39" t="s">
        <v>45</v>
      </c>
      <c r="T39" t="s">
        <v>329</v>
      </c>
      <c r="U39">
        <v>4201</v>
      </c>
      <c r="V39">
        <v>360</v>
      </c>
      <c r="W39">
        <v>28</v>
      </c>
      <c r="X39">
        <v>606.94000000000005</v>
      </c>
      <c r="Y39">
        <v>164.04</v>
      </c>
      <c r="Z39">
        <v>770.98</v>
      </c>
      <c r="AA39" t="s">
        <v>47</v>
      </c>
      <c r="AB39">
        <v>7</v>
      </c>
      <c r="AC39">
        <v>70.42</v>
      </c>
      <c r="AD39">
        <v>286</v>
      </c>
      <c r="AE39">
        <v>243</v>
      </c>
    </row>
    <row r="40" spans="1:31" x14ac:dyDescent="0.25">
      <c r="A40" t="s">
        <v>330</v>
      </c>
      <c r="B40" t="s">
        <v>331</v>
      </c>
      <c r="C40" s="1">
        <v>44229</v>
      </c>
      <c r="D40" s="1">
        <v>43895</v>
      </c>
      <c r="E40" t="s">
        <v>66</v>
      </c>
      <c r="F40" t="s">
        <v>34</v>
      </c>
      <c r="G40" t="s">
        <v>52</v>
      </c>
      <c r="H40" t="s">
        <v>36</v>
      </c>
      <c r="I40" t="s">
        <v>332</v>
      </c>
      <c r="J40" t="s">
        <v>55</v>
      </c>
      <c r="K40" t="s">
        <v>56</v>
      </c>
      <c r="L40" t="s">
        <v>333</v>
      </c>
      <c r="M40">
        <v>180</v>
      </c>
      <c r="N40">
        <v>67</v>
      </c>
      <c r="O40" t="s">
        <v>334</v>
      </c>
      <c r="P40" t="s">
        <v>42</v>
      </c>
      <c r="Q40" t="s">
        <v>152</v>
      </c>
      <c r="R40" t="s">
        <v>61</v>
      </c>
      <c r="S40" t="s">
        <v>101</v>
      </c>
      <c r="T40" t="s">
        <v>291</v>
      </c>
      <c r="U40">
        <v>1642</v>
      </c>
      <c r="V40">
        <v>144</v>
      </c>
      <c r="W40">
        <v>2</v>
      </c>
      <c r="X40">
        <v>1800.52</v>
      </c>
      <c r="Y40">
        <v>464.69</v>
      </c>
      <c r="Z40">
        <v>2265.21</v>
      </c>
      <c r="AA40" t="s">
        <v>47</v>
      </c>
      <c r="AB40">
        <v>13</v>
      </c>
      <c r="AC40">
        <v>74.709999999999994</v>
      </c>
      <c r="AD40">
        <v>255</v>
      </c>
      <c r="AE40">
        <v>255</v>
      </c>
    </row>
    <row r="41" spans="1:31" x14ac:dyDescent="0.25">
      <c r="A41" t="s">
        <v>335</v>
      </c>
      <c r="B41" t="s">
        <v>336</v>
      </c>
      <c r="C41" s="1">
        <v>45144</v>
      </c>
      <c r="D41" s="1">
        <v>44791</v>
      </c>
      <c r="E41" t="s">
        <v>66</v>
      </c>
      <c r="F41" t="s">
        <v>78</v>
      </c>
      <c r="G41" t="s">
        <v>337</v>
      </c>
      <c r="H41" t="s">
        <v>148</v>
      </c>
      <c r="I41" t="s">
        <v>338</v>
      </c>
      <c r="J41" t="s">
        <v>107</v>
      </c>
      <c r="K41" t="s">
        <v>70</v>
      </c>
      <c r="L41" t="s">
        <v>339</v>
      </c>
      <c r="M41">
        <v>99.22</v>
      </c>
      <c r="N41">
        <v>60</v>
      </c>
      <c r="O41" t="s">
        <v>159</v>
      </c>
      <c r="P41" t="s">
        <v>110</v>
      </c>
      <c r="Q41" t="s">
        <v>340</v>
      </c>
      <c r="R41" t="s">
        <v>88</v>
      </c>
      <c r="S41" t="s">
        <v>89</v>
      </c>
      <c r="T41" t="s">
        <v>341</v>
      </c>
      <c r="U41">
        <v>4384</v>
      </c>
      <c r="V41">
        <v>346</v>
      </c>
      <c r="W41">
        <v>21</v>
      </c>
      <c r="X41">
        <v>1003.34</v>
      </c>
      <c r="Y41">
        <v>141.62</v>
      </c>
      <c r="Z41">
        <v>1144.96</v>
      </c>
      <c r="AA41" t="s">
        <v>63</v>
      </c>
      <c r="AB41">
        <v>0</v>
      </c>
      <c r="AC41">
        <v>76.63</v>
      </c>
      <c r="AD41">
        <v>433</v>
      </c>
      <c r="AE41">
        <v>448</v>
      </c>
    </row>
    <row r="42" spans="1:31" x14ac:dyDescent="0.25">
      <c r="A42" t="s">
        <v>342</v>
      </c>
      <c r="B42" t="s">
        <v>343</v>
      </c>
      <c r="C42" s="1">
        <v>45372</v>
      </c>
      <c r="D42" s="1">
        <v>45633</v>
      </c>
      <c r="E42" t="s">
        <v>66</v>
      </c>
      <c r="F42" t="s">
        <v>78</v>
      </c>
      <c r="G42" t="s">
        <v>35</v>
      </c>
      <c r="H42" t="s">
        <v>164</v>
      </c>
      <c r="I42" t="s">
        <v>344</v>
      </c>
      <c r="J42" t="s">
        <v>96</v>
      </c>
      <c r="K42" t="s">
        <v>39</v>
      </c>
      <c r="L42" t="s">
        <v>345</v>
      </c>
      <c r="M42">
        <v>214.03</v>
      </c>
      <c r="N42">
        <v>46</v>
      </c>
      <c r="O42" t="s">
        <v>346</v>
      </c>
      <c r="P42" t="s">
        <v>142</v>
      </c>
      <c r="Q42" t="s">
        <v>347</v>
      </c>
      <c r="R42" t="s">
        <v>88</v>
      </c>
      <c r="S42" t="s">
        <v>74</v>
      </c>
      <c r="T42" t="s">
        <v>112</v>
      </c>
      <c r="U42">
        <v>141</v>
      </c>
      <c r="V42">
        <v>93</v>
      </c>
      <c r="W42">
        <v>22</v>
      </c>
      <c r="X42">
        <v>720.04</v>
      </c>
      <c r="Y42">
        <v>53.53</v>
      </c>
      <c r="Z42">
        <v>773.56999999999994</v>
      </c>
      <c r="AA42" t="s">
        <v>63</v>
      </c>
      <c r="AB42">
        <v>0</v>
      </c>
      <c r="AC42">
        <v>70.56</v>
      </c>
      <c r="AD42">
        <v>136</v>
      </c>
      <c r="AE42">
        <v>142</v>
      </c>
    </row>
    <row r="43" spans="1:31" x14ac:dyDescent="0.25">
      <c r="A43" t="s">
        <v>348</v>
      </c>
      <c r="B43" t="s">
        <v>349</v>
      </c>
      <c r="C43" s="1">
        <v>43987</v>
      </c>
      <c r="D43" s="1">
        <v>45172</v>
      </c>
      <c r="E43" t="s">
        <v>66</v>
      </c>
      <c r="F43" t="s">
        <v>93</v>
      </c>
      <c r="G43" t="s">
        <v>337</v>
      </c>
      <c r="H43" t="s">
        <v>80</v>
      </c>
      <c r="I43" t="s">
        <v>350</v>
      </c>
      <c r="J43" t="s">
        <v>107</v>
      </c>
      <c r="K43" t="s">
        <v>83</v>
      </c>
      <c r="L43" t="s">
        <v>351</v>
      </c>
      <c r="M43">
        <v>101.7</v>
      </c>
      <c r="N43">
        <v>40</v>
      </c>
      <c r="O43" t="s">
        <v>352</v>
      </c>
      <c r="P43" t="s">
        <v>42</v>
      </c>
      <c r="Q43" t="s">
        <v>168</v>
      </c>
      <c r="R43" t="s">
        <v>44</v>
      </c>
      <c r="S43" t="s">
        <v>74</v>
      </c>
      <c r="T43" t="s">
        <v>353</v>
      </c>
      <c r="U43">
        <v>2411</v>
      </c>
      <c r="V43">
        <v>281</v>
      </c>
      <c r="W43">
        <v>15</v>
      </c>
      <c r="X43">
        <v>915.63</v>
      </c>
      <c r="Y43">
        <v>97.85</v>
      </c>
      <c r="Z43">
        <v>1013.48</v>
      </c>
      <c r="AA43" t="s">
        <v>63</v>
      </c>
      <c r="AB43">
        <v>0</v>
      </c>
      <c r="AC43">
        <v>79.010000000000005</v>
      </c>
      <c r="AD43">
        <v>411</v>
      </c>
      <c r="AE43">
        <v>389</v>
      </c>
    </row>
    <row r="44" spans="1:31" x14ac:dyDescent="0.25">
      <c r="A44" t="s">
        <v>354</v>
      </c>
      <c r="B44" t="s">
        <v>355</v>
      </c>
      <c r="C44" s="1">
        <v>44861</v>
      </c>
      <c r="D44" s="1">
        <v>45582</v>
      </c>
      <c r="E44" t="s">
        <v>66</v>
      </c>
      <c r="F44" t="s">
        <v>93</v>
      </c>
      <c r="G44" t="s">
        <v>115</v>
      </c>
      <c r="H44" t="s">
        <v>80</v>
      </c>
      <c r="I44" t="s">
        <v>356</v>
      </c>
      <c r="J44" t="s">
        <v>107</v>
      </c>
      <c r="K44" t="s">
        <v>56</v>
      </c>
      <c r="L44" t="s">
        <v>357</v>
      </c>
      <c r="M44">
        <v>35.479999999999997</v>
      </c>
      <c r="N44">
        <v>88</v>
      </c>
      <c r="O44" t="s">
        <v>358</v>
      </c>
      <c r="P44" t="s">
        <v>42</v>
      </c>
      <c r="Q44" t="s">
        <v>214</v>
      </c>
      <c r="R44" t="s">
        <v>44</v>
      </c>
      <c r="S44" t="s">
        <v>101</v>
      </c>
      <c r="T44" t="s">
        <v>215</v>
      </c>
      <c r="U44">
        <v>4523</v>
      </c>
      <c r="V44">
        <v>193</v>
      </c>
      <c r="W44">
        <v>25</v>
      </c>
      <c r="X44">
        <v>1326.42</v>
      </c>
      <c r="Y44">
        <v>235.58</v>
      </c>
      <c r="Z44">
        <v>1562</v>
      </c>
      <c r="AA44" t="s">
        <v>63</v>
      </c>
      <c r="AB44">
        <v>0</v>
      </c>
      <c r="AC44">
        <v>79.67</v>
      </c>
      <c r="AD44">
        <v>306</v>
      </c>
      <c r="AE44">
        <v>256</v>
      </c>
    </row>
    <row r="45" spans="1:31" x14ac:dyDescent="0.25">
      <c r="A45" t="s">
        <v>359</v>
      </c>
      <c r="B45" t="s">
        <v>360</v>
      </c>
      <c r="C45" s="1">
        <v>44505</v>
      </c>
      <c r="D45" s="1">
        <v>44454</v>
      </c>
      <c r="E45" t="s">
        <v>50</v>
      </c>
      <c r="F45" t="s">
        <v>93</v>
      </c>
      <c r="G45" t="s">
        <v>105</v>
      </c>
      <c r="H45" t="s">
        <v>148</v>
      </c>
      <c r="I45" t="s">
        <v>361</v>
      </c>
      <c r="J45" t="s">
        <v>82</v>
      </c>
      <c r="K45" t="s">
        <v>97</v>
      </c>
      <c r="L45" t="s">
        <v>362</v>
      </c>
      <c r="M45">
        <v>10.63</v>
      </c>
      <c r="N45">
        <v>28</v>
      </c>
      <c r="O45" t="s">
        <v>363</v>
      </c>
      <c r="P45" t="s">
        <v>59</v>
      </c>
      <c r="Q45" t="s">
        <v>364</v>
      </c>
      <c r="R45" t="s">
        <v>153</v>
      </c>
      <c r="S45" t="s">
        <v>45</v>
      </c>
      <c r="T45" t="s">
        <v>365</v>
      </c>
      <c r="U45">
        <v>2820</v>
      </c>
      <c r="V45">
        <v>366</v>
      </c>
      <c r="W45">
        <v>12</v>
      </c>
      <c r="X45">
        <v>212.88</v>
      </c>
      <c r="Y45">
        <v>153.52000000000001</v>
      </c>
      <c r="Z45">
        <v>366.4</v>
      </c>
      <c r="AA45" t="s">
        <v>63</v>
      </c>
      <c r="AB45">
        <v>0</v>
      </c>
      <c r="AC45">
        <v>75.5</v>
      </c>
      <c r="AD45">
        <v>233</v>
      </c>
      <c r="AE45">
        <v>185</v>
      </c>
    </row>
    <row r="46" spans="1:31" x14ac:dyDescent="0.25">
      <c r="A46" t="s">
        <v>366</v>
      </c>
      <c r="B46" t="s">
        <v>367</v>
      </c>
      <c r="C46" s="1">
        <v>45212</v>
      </c>
      <c r="D46" s="1">
        <v>45358</v>
      </c>
      <c r="E46" t="s">
        <v>66</v>
      </c>
      <c r="F46" t="s">
        <v>93</v>
      </c>
      <c r="G46" t="s">
        <v>35</v>
      </c>
      <c r="H46" t="s">
        <v>36</v>
      </c>
      <c r="I46" t="s">
        <v>368</v>
      </c>
      <c r="J46" t="s">
        <v>55</v>
      </c>
      <c r="K46" t="s">
        <v>39</v>
      </c>
      <c r="L46" t="s">
        <v>369</v>
      </c>
      <c r="M46">
        <v>463.15</v>
      </c>
      <c r="N46">
        <v>17</v>
      </c>
      <c r="O46" t="s">
        <v>370</v>
      </c>
      <c r="P46" t="s">
        <v>86</v>
      </c>
      <c r="Q46" t="s">
        <v>371</v>
      </c>
      <c r="R46" t="s">
        <v>153</v>
      </c>
      <c r="S46" t="s">
        <v>101</v>
      </c>
      <c r="T46" t="s">
        <v>372</v>
      </c>
      <c r="U46">
        <v>4892</v>
      </c>
      <c r="V46">
        <v>165</v>
      </c>
      <c r="W46">
        <v>14</v>
      </c>
      <c r="X46">
        <v>1330.81</v>
      </c>
      <c r="Y46">
        <v>261.88</v>
      </c>
      <c r="Z46">
        <v>1592.69</v>
      </c>
      <c r="AA46" t="s">
        <v>63</v>
      </c>
      <c r="AB46">
        <v>0</v>
      </c>
      <c r="AC46">
        <v>76.61</v>
      </c>
      <c r="AD46">
        <v>93</v>
      </c>
      <c r="AE46">
        <v>102</v>
      </c>
    </row>
    <row r="47" spans="1:31" x14ac:dyDescent="0.25">
      <c r="A47" t="s">
        <v>373</v>
      </c>
      <c r="B47" t="s">
        <v>374</v>
      </c>
      <c r="C47" s="1">
        <v>44894</v>
      </c>
      <c r="D47" s="1">
        <v>44573</v>
      </c>
      <c r="E47" t="s">
        <v>50</v>
      </c>
      <c r="F47" t="s">
        <v>147</v>
      </c>
      <c r="G47" t="s">
        <v>105</v>
      </c>
      <c r="H47" t="s">
        <v>116</v>
      </c>
      <c r="I47" t="s">
        <v>375</v>
      </c>
      <c r="J47" t="s">
        <v>96</v>
      </c>
      <c r="K47" t="s">
        <v>83</v>
      </c>
      <c r="L47" t="s">
        <v>376</v>
      </c>
      <c r="M47">
        <v>208.71</v>
      </c>
      <c r="N47">
        <v>61</v>
      </c>
      <c r="O47" t="s">
        <v>377</v>
      </c>
      <c r="P47" t="s">
        <v>110</v>
      </c>
      <c r="Q47" t="s">
        <v>189</v>
      </c>
      <c r="R47" t="s">
        <v>44</v>
      </c>
      <c r="S47" t="s">
        <v>74</v>
      </c>
      <c r="T47" t="s">
        <v>144</v>
      </c>
      <c r="U47">
        <v>4975</v>
      </c>
      <c r="V47">
        <v>368</v>
      </c>
      <c r="W47">
        <v>11</v>
      </c>
      <c r="X47">
        <v>1868.54</v>
      </c>
      <c r="Y47">
        <v>45.52</v>
      </c>
      <c r="Z47">
        <v>1914.06</v>
      </c>
      <c r="AA47" t="s">
        <v>63</v>
      </c>
      <c r="AB47">
        <v>0</v>
      </c>
      <c r="AC47">
        <v>88.77</v>
      </c>
      <c r="AD47">
        <v>305</v>
      </c>
      <c r="AE47">
        <v>315</v>
      </c>
    </row>
    <row r="48" spans="1:31" x14ac:dyDescent="0.25">
      <c r="A48" t="s">
        <v>378</v>
      </c>
      <c r="B48" t="s">
        <v>379</v>
      </c>
      <c r="C48" s="1">
        <v>44512</v>
      </c>
      <c r="D48" s="1">
        <v>45044</v>
      </c>
      <c r="E48" t="s">
        <v>66</v>
      </c>
      <c r="F48" t="s">
        <v>93</v>
      </c>
      <c r="G48" t="s">
        <v>94</v>
      </c>
      <c r="H48" t="s">
        <v>148</v>
      </c>
      <c r="I48" t="s">
        <v>380</v>
      </c>
      <c r="J48" t="s">
        <v>38</v>
      </c>
      <c r="K48" t="s">
        <v>97</v>
      </c>
      <c r="L48" t="s">
        <v>381</v>
      </c>
      <c r="M48">
        <v>18.760000000000002</v>
      </c>
      <c r="N48">
        <v>44</v>
      </c>
      <c r="O48" t="s">
        <v>382</v>
      </c>
      <c r="P48" t="s">
        <v>86</v>
      </c>
      <c r="Q48" t="s">
        <v>383</v>
      </c>
      <c r="R48" t="s">
        <v>88</v>
      </c>
      <c r="S48" t="s">
        <v>74</v>
      </c>
      <c r="T48" t="s">
        <v>297</v>
      </c>
      <c r="U48">
        <v>4633</v>
      </c>
      <c r="V48">
        <v>97</v>
      </c>
      <c r="W48">
        <v>15</v>
      </c>
      <c r="X48">
        <v>391.26</v>
      </c>
      <c r="Y48">
        <v>106.04</v>
      </c>
      <c r="Z48">
        <v>497.3</v>
      </c>
      <c r="AA48" t="s">
        <v>63</v>
      </c>
      <c r="AB48">
        <v>0</v>
      </c>
      <c r="AC48">
        <v>71.75</v>
      </c>
      <c r="AD48">
        <v>411</v>
      </c>
      <c r="AE48">
        <v>364</v>
      </c>
    </row>
    <row r="49" spans="1:31" x14ac:dyDescent="0.25">
      <c r="A49" t="s">
        <v>384</v>
      </c>
      <c r="B49" t="s">
        <v>385</v>
      </c>
      <c r="C49" s="1">
        <v>44095</v>
      </c>
      <c r="D49" s="1">
        <v>45470</v>
      </c>
      <c r="E49" t="s">
        <v>50</v>
      </c>
      <c r="F49" t="s">
        <v>93</v>
      </c>
      <c r="G49" t="s">
        <v>115</v>
      </c>
      <c r="H49" t="s">
        <v>164</v>
      </c>
      <c r="I49" t="s">
        <v>386</v>
      </c>
      <c r="J49" t="s">
        <v>55</v>
      </c>
      <c r="K49" t="s">
        <v>83</v>
      </c>
      <c r="L49" t="s">
        <v>387</v>
      </c>
      <c r="M49">
        <v>93.37</v>
      </c>
      <c r="N49">
        <v>86</v>
      </c>
      <c r="O49" t="s">
        <v>388</v>
      </c>
      <c r="P49" t="s">
        <v>42</v>
      </c>
      <c r="Q49" t="s">
        <v>290</v>
      </c>
      <c r="R49" t="s">
        <v>44</v>
      </c>
      <c r="S49" t="s">
        <v>128</v>
      </c>
      <c r="T49" t="s">
        <v>303</v>
      </c>
      <c r="U49">
        <v>1142</v>
      </c>
      <c r="V49">
        <v>296</v>
      </c>
      <c r="W49">
        <v>23</v>
      </c>
      <c r="X49">
        <v>1209.5</v>
      </c>
      <c r="Y49">
        <v>292.60000000000002</v>
      </c>
      <c r="Z49">
        <v>1502.1</v>
      </c>
      <c r="AA49" t="s">
        <v>63</v>
      </c>
      <c r="AB49">
        <v>0</v>
      </c>
      <c r="AC49">
        <v>94.7</v>
      </c>
      <c r="AD49">
        <v>398</v>
      </c>
      <c r="AE49">
        <v>410</v>
      </c>
    </row>
    <row r="50" spans="1:31" x14ac:dyDescent="0.25">
      <c r="A50" t="s">
        <v>389</v>
      </c>
      <c r="B50" t="s">
        <v>390</v>
      </c>
      <c r="C50" s="1">
        <v>45374</v>
      </c>
      <c r="D50" s="1">
        <v>44625</v>
      </c>
      <c r="E50" t="s">
        <v>66</v>
      </c>
      <c r="F50" t="s">
        <v>93</v>
      </c>
      <c r="G50" t="s">
        <v>35</v>
      </c>
      <c r="H50" t="s">
        <v>164</v>
      </c>
      <c r="I50" t="s">
        <v>391</v>
      </c>
      <c r="J50" t="s">
        <v>55</v>
      </c>
      <c r="K50" t="s">
        <v>39</v>
      </c>
      <c r="L50" t="s">
        <v>392</v>
      </c>
      <c r="M50">
        <v>365.29</v>
      </c>
      <c r="N50">
        <v>29</v>
      </c>
      <c r="O50" t="s">
        <v>393</v>
      </c>
      <c r="P50" t="s">
        <v>86</v>
      </c>
      <c r="Q50" t="s">
        <v>143</v>
      </c>
      <c r="R50" t="s">
        <v>61</v>
      </c>
      <c r="S50" t="s">
        <v>89</v>
      </c>
      <c r="T50" t="s">
        <v>215</v>
      </c>
      <c r="U50">
        <v>4605</v>
      </c>
      <c r="V50">
        <v>112</v>
      </c>
      <c r="W50">
        <v>10</v>
      </c>
      <c r="X50">
        <v>1592.91</v>
      </c>
      <c r="Y50">
        <v>57.77</v>
      </c>
      <c r="Z50">
        <v>1650.68</v>
      </c>
      <c r="AA50" t="s">
        <v>63</v>
      </c>
      <c r="AB50">
        <v>0</v>
      </c>
      <c r="AC50">
        <v>93.45</v>
      </c>
      <c r="AD50">
        <v>252</v>
      </c>
      <c r="AE50">
        <v>217</v>
      </c>
    </row>
    <row r="51" spans="1:31" x14ac:dyDescent="0.25">
      <c r="A51" t="s">
        <v>394</v>
      </c>
      <c r="B51" t="s">
        <v>395</v>
      </c>
      <c r="C51" s="1">
        <v>44784</v>
      </c>
      <c r="D51" s="1">
        <v>44846</v>
      </c>
      <c r="E51" t="s">
        <v>50</v>
      </c>
      <c r="F51" t="s">
        <v>34</v>
      </c>
      <c r="G51" t="s">
        <v>35</v>
      </c>
      <c r="H51" t="s">
        <v>53</v>
      </c>
      <c r="I51" t="s">
        <v>396</v>
      </c>
      <c r="J51" t="s">
        <v>96</v>
      </c>
      <c r="K51" t="s">
        <v>83</v>
      </c>
      <c r="L51" t="s">
        <v>397</v>
      </c>
      <c r="M51">
        <v>110.25</v>
      </c>
      <c r="N51">
        <v>52</v>
      </c>
      <c r="O51" t="s">
        <v>398</v>
      </c>
      <c r="P51" t="s">
        <v>42</v>
      </c>
      <c r="Q51" t="s">
        <v>228</v>
      </c>
      <c r="R51" t="s">
        <v>44</v>
      </c>
      <c r="S51" t="s">
        <v>128</v>
      </c>
      <c r="T51" t="s">
        <v>190</v>
      </c>
      <c r="U51">
        <v>2592</v>
      </c>
      <c r="V51">
        <v>140</v>
      </c>
      <c r="W51">
        <v>17</v>
      </c>
      <c r="X51">
        <v>1427.44</v>
      </c>
      <c r="Y51">
        <v>305.92</v>
      </c>
      <c r="Z51">
        <v>1733.36</v>
      </c>
      <c r="AA51" t="s">
        <v>63</v>
      </c>
      <c r="AB51">
        <v>0</v>
      </c>
      <c r="AC51">
        <v>94.22</v>
      </c>
      <c r="AD51">
        <v>229</v>
      </c>
      <c r="AE51">
        <v>207</v>
      </c>
    </row>
    <row r="52" spans="1:31" x14ac:dyDescent="0.25">
      <c r="A52" t="s">
        <v>399</v>
      </c>
      <c r="B52" t="s">
        <v>400</v>
      </c>
      <c r="C52" s="1">
        <v>44948</v>
      </c>
      <c r="D52" s="1">
        <v>44990</v>
      </c>
      <c r="E52" t="s">
        <v>50</v>
      </c>
      <c r="F52" t="s">
        <v>51</v>
      </c>
      <c r="G52" t="s">
        <v>67</v>
      </c>
      <c r="H52" t="s">
        <v>218</v>
      </c>
      <c r="I52" t="s">
        <v>401</v>
      </c>
      <c r="J52" t="s">
        <v>96</v>
      </c>
      <c r="K52" t="s">
        <v>97</v>
      </c>
      <c r="L52" t="s">
        <v>402</v>
      </c>
      <c r="M52">
        <v>205.05</v>
      </c>
      <c r="N52">
        <v>48</v>
      </c>
      <c r="O52" t="s">
        <v>403</v>
      </c>
      <c r="P52" t="s">
        <v>59</v>
      </c>
      <c r="Q52" t="s">
        <v>404</v>
      </c>
      <c r="R52" t="s">
        <v>153</v>
      </c>
      <c r="S52" t="s">
        <v>89</v>
      </c>
      <c r="T52" t="s">
        <v>405</v>
      </c>
      <c r="U52">
        <v>4968</v>
      </c>
      <c r="V52">
        <v>316</v>
      </c>
      <c r="W52">
        <v>4</v>
      </c>
      <c r="X52">
        <v>1153.44</v>
      </c>
      <c r="Y52">
        <v>179.71</v>
      </c>
      <c r="Z52">
        <v>1333.15</v>
      </c>
      <c r="AA52" t="s">
        <v>63</v>
      </c>
      <c r="AB52">
        <v>0</v>
      </c>
      <c r="AC52">
        <v>86.04</v>
      </c>
      <c r="AD52">
        <v>198</v>
      </c>
      <c r="AE52">
        <v>178</v>
      </c>
    </row>
    <row r="53" spans="1:31" x14ac:dyDescent="0.25">
      <c r="A53" t="s">
        <v>406</v>
      </c>
      <c r="B53" t="s">
        <v>407</v>
      </c>
      <c r="C53" s="1">
        <v>45658</v>
      </c>
      <c r="D53" s="1">
        <v>44601</v>
      </c>
      <c r="E53" t="s">
        <v>33</v>
      </c>
      <c r="F53" t="s">
        <v>147</v>
      </c>
      <c r="G53" t="s">
        <v>35</v>
      </c>
      <c r="H53" t="s">
        <v>116</v>
      </c>
      <c r="I53" t="s">
        <v>408</v>
      </c>
      <c r="J53" t="s">
        <v>82</v>
      </c>
      <c r="K53" t="s">
        <v>39</v>
      </c>
      <c r="L53" t="s">
        <v>409</v>
      </c>
      <c r="M53">
        <v>216.53</v>
      </c>
      <c r="N53">
        <v>23</v>
      </c>
      <c r="O53" t="s">
        <v>410</v>
      </c>
      <c r="P53" t="s">
        <v>42</v>
      </c>
      <c r="Q53" t="s">
        <v>340</v>
      </c>
      <c r="R53" t="s">
        <v>153</v>
      </c>
      <c r="S53" t="s">
        <v>128</v>
      </c>
      <c r="T53" t="s">
        <v>176</v>
      </c>
      <c r="U53">
        <v>4279</v>
      </c>
      <c r="V53">
        <v>344</v>
      </c>
      <c r="W53">
        <v>21</v>
      </c>
      <c r="X53">
        <v>709.52</v>
      </c>
      <c r="Y53">
        <v>456.6</v>
      </c>
      <c r="Z53">
        <v>1166.1199999999999</v>
      </c>
      <c r="AA53" t="s">
        <v>63</v>
      </c>
      <c r="AB53">
        <v>0</v>
      </c>
      <c r="AC53">
        <v>90.13</v>
      </c>
      <c r="AD53">
        <v>400</v>
      </c>
      <c r="AE53">
        <v>380</v>
      </c>
    </row>
    <row r="54" spans="1:31" x14ac:dyDescent="0.25">
      <c r="A54" t="s">
        <v>411</v>
      </c>
      <c r="B54" t="s">
        <v>412</v>
      </c>
      <c r="C54" s="1">
        <v>44154</v>
      </c>
      <c r="D54" s="1">
        <v>44773</v>
      </c>
      <c r="E54" t="s">
        <v>50</v>
      </c>
      <c r="F54" t="s">
        <v>78</v>
      </c>
      <c r="G54" t="s">
        <v>94</v>
      </c>
      <c r="H54" t="s">
        <v>116</v>
      </c>
      <c r="I54" t="s">
        <v>413</v>
      </c>
      <c r="J54" t="s">
        <v>55</v>
      </c>
      <c r="K54" t="s">
        <v>83</v>
      </c>
      <c r="L54" t="s">
        <v>414</v>
      </c>
      <c r="M54">
        <v>101.14</v>
      </c>
      <c r="N54">
        <v>62</v>
      </c>
      <c r="O54" t="s">
        <v>195</v>
      </c>
      <c r="P54" t="s">
        <v>86</v>
      </c>
      <c r="Q54" t="s">
        <v>234</v>
      </c>
      <c r="R54" t="s">
        <v>44</v>
      </c>
      <c r="S54" t="s">
        <v>128</v>
      </c>
      <c r="T54" t="s">
        <v>415</v>
      </c>
      <c r="U54">
        <v>4009</v>
      </c>
      <c r="V54">
        <v>402</v>
      </c>
      <c r="W54">
        <v>4</v>
      </c>
      <c r="X54">
        <v>1354.13</v>
      </c>
      <c r="Y54">
        <v>410.63</v>
      </c>
      <c r="Z54">
        <v>1764.76</v>
      </c>
      <c r="AA54" t="s">
        <v>63</v>
      </c>
      <c r="AB54">
        <v>0</v>
      </c>
      <c r="AC54">
        <v>93.56</v>
      </c>
      <c r="AD54">
        <v>201</v>
      </c>
      <c r="AE54">
        <v>202</v>
      </c>
    </row>
    <row r="55" spans="1:31" x14ac:dyDescent="0.25">
      <c r="A55" t="s">
        <v>416</v>
      </c>
      <c r="B55" t="s">
        <v>417</v>
      </c>
      <c r="C55" s="1">
        <v>44739</v>
      </c>
      <c r="D55" s="1">
        <v>44202</v>
      </c>
      <c r="E55" t="s">
        <v>66</v>
      </c>
      <c r="F55" t="s">
        <v>78</v>
      </c>
      <c r="G55" t="s">
        <v>337</v>
      </c>
      <c r="H55" t="s">
        <v>53</v>
      </c>
      <c r="I55" t="s">
        <v>418</v>
      </c>
      <c r="J55" t="s">
        <v>96</v>
      </c>
      <c r="K55" t="s">
        <v>70</v>
      </c>
      <c r="L55" t="s">
        <v>419</v>
      </c>
      <c r="M55">
        <v>465.3</v>
      </c>
      <c r="N55">
        <v>45</v>
      </c>
      <c r="O55" t="s">
        <v>420</v>
      </c>
      <c r="P55" t="s">
        <v>142</v>
      </c>
      <c r="Q55" t="s">
        <v>421</v>
      </c>
      <c r="R55" t="s">
        <v>153</v>
      </c>
      <c r="S55" t="s">
        <v>45</v>
      </c>
      <c r="T55" t="s">
        <v>422</v>
      </c>
      <c r="U55">
        <v>4235</v>
      </c>
      <c r="V55">
        <v>96</v>
      </c>
      <c r="W55">
        <v>15</v>
      </c>
      <c r="X55">
        <v>1212.1099999999999</v>
      </c>
      <c r="Y55">
        <v>115.93</v>
      </c>
      <c r="Z55">
        <v>1328.04</v>
      </c>
      <c r="AA55" t="s">
        <v>63</v>
      </c>
      <c r="AB55">
        <v>0</v>
      </c>
      <c r="AC55">
        <v>72.56</v>
      </c>
      <c r="AD55">
        <v>353</v>
      </c>
      <c r="AE55">
        <v>308</v>
      </c>
    </row>
    <row r="56" spans="1:31" x14ac:dyDescent="0.25">
      <c r="A56" t="s">
        <v>423</v>
      </c>
      <c r="B56" t="s">
        <v>424</v>
      </c>
      <c r="C56" s="1">
        <v>44310</v>
      </c>
      <c r="D56" s="1">
        <v>44737</v>
      </c>
      <c r="E56" t="s">
        <v>66</v>
      </c>
      <c r="F56" t="s">
        <v>93</v>
      </c>
      <c r="G56" t="s">
        <v>105</v>
      </c>
      <c r="H56" t="s">
        <v>116</v>
      </c>
      <c r="I56" t="s">
        <v>425</v>
      </c>
      <c r="J56" t="s">
        <v>55</v>
      </c>
      <c r="K56" t="s">
        <v>56</v>
      </c>
      <c r="L56" t="s">
        <v>426</v>
      </c>
      <c r="M56">
        <v>276.12</v>
      </c>
      <c r="N56">
        <v>14</v>
      </c>
      <c r="O56" t="s">
        <v>427</v>
      </c>
      <c r="P56" t="s">
        <v>142</v>
      </c>
      <c r="Q56" t="s">
        <v>428</v>
      </c>
      <c r="R56" t="s">
        <v>61</v>
      </c>
      <c r="S56" t="s">
        <v>89</v>
      </c>
      <c r="T56" t="s">
        <v>154</v>
      </c>
      <c r="U56">
        <v>4843</v>
      </c>
      <c r="V56">
        <v>135</v>
      </c>
      <c r="W56">
        <v>12</v>
      </c>
      <c r="X56">
        <v>225.58</v>
      </c>
      <c r="Y56">
        <v>162.09</v>
      </c>
      <c r="Z56">
        <v>387.67</v>
      </c>
      <c r="AA56" t="s">
        <v>63</v>
      </c>
      <c r="AB56">
        <v>0</v>
      </c>
      <c r="AC56">
        <v>72.78</v>
      </c>
      <c r="AD56">
        <v>128</v>
      </c>
      <c r="AE56">
        <v>95</v>
      </c>
    </row>
    <row r="57" spans="1:31" x14ac:dyDescent="0.25">
      <c r="A57" t="s">
        <v>429</v>
      </c>
      <c r="B57" t="s">
        <v>430</v>
      </c>
      <c r="C57" s="1">
        <v>44432</v>
      </c>
      <c r="D57" s="1">
        <v>43913</v>
      </c>
      <c r="E57" t="s">
        <v>50</v>
      </c>
      <c r="F57" t="s">
        <v>51</v>
      </c>
      <c r="G57" t="s">
        <v>52</v>
      </c>
      <c r="H57" t="s">
        <v>80</v>
      </c>
      <c r="I57" t="s">
        <v>431</v>
      </c>
      <c r="J57" t="s">
        <v>55</v>
      </c>
      <c r="K57" t="s">
        <v>97</v>
      </c>
      <c r="L57" t="s">
        <v>432</v>
      </c>
      <c r="M57">
        <v>325.14999999999998</v>
      </c>
      <c r="N57">
        <v>83</v>
      </c>
      <c r="O57" t="s">
        <v>433</v>
      </c>
      <c r="P57" t="s">
        <v>142</v>
      </c>
      <c r="Q57" t="s">
        <v>261</v>
      </c>
      <c r="R57" t="s">
        <v>153</v>
      </c>
      <c r="S57" t="s">
        <v>89</v>
      </c>
      <c r="T57" t="s">
        <v>434</v>
      </c>
      <c r="U57">
        <v>4036</v>
      </c>
      <c r="V57">
        <v>69</v>
      </c>
      <c r="W57">
        <v>10</v>
      </c>
      <c r="X57">
        <v>1946.25</v>
      </c>
      <c r="Y57">
        <v>366.75</v>
      </c>
      <c r="Z57">
        <v>2313</v>
      </c>
      <c r="AA57" t="s">
        <v>63</v>
      </c>
      <c r="AB57">
        <v>0</v>
      </c>
      <c r="AC57">
        <v>86.74</v>
      </c>
      <c r="AD57">
        <v>486</v>
      </c>
      <c r="AE57">
        <v>490</v>
      </c>
    </row>
    <row r="58" spans="1:31" x14ac:dyDescent="0.25">
      <c r="A58" t="s">
        <v>435</v>
      </c>
      <c r="B58" t="s">
        <v>436</v>
      </c>
      <c r="C58" s="1">
        <v>44737</v>
      </c>
      <c r="D58" s="1">
        <v>44450</v>
      </c>
      <c r="E58" t="s">
        <v>66</v>
      </c>
      <c r="F58" t="s">
        <v>51</v>
      </c>
      <c r="G58" t="s">
        <v>52</v>
      </c>
      <c r="H58" t="s">
        <v>36</v>
      </c>
      <c r="I58" t="s">
        <v>437</v>
      </c>
      <c r="J58" t="s">
        <v>82</v>
      </c>
      <c r="K58" t="s">
        <v>70</v>
      </c>
      <c r="L58" t="s">
        <v>438</v>
      </c>
      <c r="M58">
        <v>11.75</v>
      </c>
      <c r="N58">
        <v>81</v>
      </c>
      <c r="O58" t="s">
        <v>439</v>
      </c>
      <c r="P58" t="s">
        <v>86</v>
      </c>
      <c r="Q58" t="s">
        <v>143</v>
      </c>
      <c r="R58" t="s">
        <v>61</v>
      </c>
      <c r="S58" t="s">
        <v>101</v>
      </c>
      <c r="T58" t="s">
        <v>279</v>
      </c>
      <c r="U58">
        <v>4874</v>
      </c>
      <c r="V58">
        <v>145</v>
      </c>
      <c r="W58">
        <v>20</v>
      </c>
      <c r="X58">
        <v>65.150000000000006</v>
      </c>
      <c r="Y58">
        <v>114.97</v>
      </c>
      <c r="Z58">
        <v>180.12</v>
      </c>
      <c r="AA58" t="s">
        <v>63</v>
      </c>
      <c r="AB58">
        <v>0</v>
      </c>
      <c r="AC58">
        <v>76.459999999999994</v>
      </c>
      <c r="AD58">
        <v>125</v>
      </c>
      <c r="AE58">
        <v>115</v>
      </c>
    </row>
    <row r="59" spans="1:31" x14ac:dyDescent="0.25">
      <c r="A59" t="s">
        <v>440</v>
      </c>
      <c r="B59" t="s">
        <v>441</v>
      </c>
      <c r="C59" s="1">
        <v>45280</v>
      </c>
      <c r="D59" s="1">
        <v>45462</v>
      </c>
      <c r="E59" t="s">
        <v>66</v>
      </c>
      <c r="F59" t="s">
        <v>51</v>
      </c>
      <c r="G59" t="s">
        <v>67</v>
      </c>
      <c r="H59" t="s">
        <v>218</v>
      </c>
      <c r="I59" t="s">
        <v>442</v>
      </c>
      <c r="J59" t="s">
        <v>96</v>
      </c>
      <c r="K59" t="s">
        <v>39</v>
      </c>
      <c r="L59" t="s">
        <v>443</v>
      </c>
      <c r="M59">
        <v>203.59</v>
      </c>
      <c r="N59">
        <v>55</v>
      </c>
      <c r="O59" t="s">
        <v>272</v>
      </c>
      <c r="P59" t="s">
        <v>86</v>
      </c>
      <c r="Q59" t="s">
        <v>371</v>
      </c>
      <c r="R59" t="s">
        <v>61</v>
      </c>
      <c r="S59" t="s">
        <v>89</v>
      </c>
      <c r="T59" t="s">
        <v>444</v>
      </c>
      <c r="U59">
        <v>1329</v>
      </c>
      <c r="V59">
        <v>449</v>
      </c>
      <c r="W59">
        <v>29</v>
      </c>
      <c r="X59">
        <v>1258.25</v>
      </c>
      <c r="Y59">
        <v>152.4</v>
      </c>
      <c r="Z59">
        <v>1410.65</v>
      </c>
      <c r="AA59" t="s">
        <v>63</v>
      </c>
      <c r="AB59">
        <v>0</v>
      </c>
      <c r="AC59">
        <v>90.85</v>
      </c>
      <c r="AD59">
        <v>456</v>
      </c>
      <c r="AE59">
        <v>455</v>
      </c>
    </row>
    <row r="60" spans="1:31" x14ac:dyDescent="0.25">
      <c r="A60" t="s">
        <v>445</v>
      </c>
      <c r="B60" t="s">
        <v>446</v>
      </c>
      <c r="C60" s="1">
        <v>45543</v>
      </c>
      <c r="D60" s="1">
        <v>45197</v>
      </c>
      <c r="E60" t="s">
        <v>33</v>
      </c>
      <c r="F60" t="s">
        <v>51</v>
      </c>
      <c r="G60" t="s">
        <v>94</v>
      </c>
      <c r="H60" t="s">
        <v>148</v>
      </c>
      <c r="I60" t="s">
        <v>447</v>
      </c>
      <c r="J60" t="s">
        <v>38</v>
      </c>
      <c r="K60" t="s">
        <v>70</v>
      </c>
      <c r="L60" t="s">
        <v>448</v>
      </c>
      <c r="M60">
        <v>76.849999999999994</v>
      </c>
      <c r="N60">
        <v>10</v>
      </c>
      <c r="O60" t="s">
        <v>449</v>
      </c>
      <c r="P60" t="s">
        <v>110</v>
      </c>
      <c r="Q60" t="s">
        <v>189</v>
      </c>
      <c r="R60" t="s">
        <v>88</v>
      </c>
      <c r="S60" t="s">
        <v>74</v>
      </c>
      <c r="T60" t="s">
        <v>255</v>
      </c>
      <c r="U60">
        <v>2697</v>
      </c>
      <c r="V60">
        <v>484</v>
      </c>
      <c r="W60">
        <v>11</v>
      </c>
      <c r="X60">
        <v>533.53</v>
      </c>
      <c r="Y60">
        <v>376.26</v>
      </c>
      <c r="Z60">
        <v>909.79</v>
      </c>
      <c r="AA60" t="s">
        <v>63</v>
      </c>
      <c r="AB60">
        <v>0</v>
      </c>
      <c r="AC60">
        <v>73.2</v>
      </c>
      <c r="AD60">
        <v>255</v>
      </c>
      <c r="AE60">
        <v>255</v>
      </c>
    </row>
    <row r="61" spans="1:31" x14ac:dyDescent="0.25">
      <c r="A61" t="s">
        <v>450</v>
      </c>
      <c r="B61" t="s">
        <v>451</v>
      </c>
      <c r="C61" s="1">
        <v>44472</v>
      </c>
      <c r="D61" s="1">
        <v>45195</v>
      </c>
      <c r="E61" t="s">
        <v>66</v>
      </c>
      <c r="F61" t="s">
        <v>147</v>
      </c>
      <c r="G61" t="s">
        <v>115</v>
      </c>
      <c r="H61" t="s">
        <v>164</v>
      </c>
      <c r="I61" t="s">
        <v>452</v>
      </c>
      <c r="J61" t="s">
        <v>96</v>
      </c>
      <c r="K61" t="s">
        <v>97</v>
      </c>
      <c r="L61" t="s">
        <v>453</v>
      </c>
      <c r="M61">
        <v>105.66</v>
      </c>
      <c r="N61">
        <v>34</v>
      </c>
      <c r="O61" t="s">
        <v>454</v>
      </c>
      <c r="P61" t="s">
        <v>42</v>
      </c>
      <c r="Q61" t="s">
        <v>455</v>
      </c>
      <c r="R61" t="s">
        <v>88</v>
      </c>
      <c r="S61" t="s">
        <v>128</v>
      </c>
      <c r="T61" t="s">
        <v>249</v>
      </c>
      <c r="U61">
        <v>1661</v>
      </c>
      <c r="V61">
        <v>358</v>
      </c>
      <c r="W61">
        <v>8</v>
      </c>
      <c r="X61">
        <v>893.39</v>
      </c>
      <c r="Y61">
        <v>406.09</v>
      </c>
      <c r="Z61">
        <v>1299.48</v>
      </c>
      <c r="AA61" t="s">
        <v>63</v>
      </c>
      <c r="AB61">
        <v>0</v>
      </c>
      <c r="AC61">
        <v>76.42</v>
      </c>
      <c r="AD61">
        <v>483</v>
      </c>
      <c r="AE61">
        <v>511</v>
      </c>
    </row>
    <row r="62" spans="1:31" x14ac:dyDescent="0.25">
      <c r="A62" t="s">
        <v>456</v>
      </c>
      <c r="B62" t="s">
        <v>457</v>
      </c>
      <c r="C62" s="1">
        <v>45013</v>
      </c>
      <c r="D62" s="1">
        <v>43904</v>
      </c>
      <c r="E62" t="s">
        <v>66</v>
      </c>
      <c r="F62" t="s">
        <v>93</v>
      </c>
      <c r="G62" t="s">
        <v>94</v>
      </c>
      <c r="H62" t="s">
        <v>116</v>
      </c>
      <c r="I62" t="s">
        <v>458</v>
      </c>
      <c r="J62" t="s">
        <v>38</v>
      </c>
      <c r="K62" t="s">
        <v>56</v>
      </c>
      <c r="L62" t="s">
        <v>459</v>
      </c>
      <c r="M62">
        <v>476.68</v>
      </c>
      <c r="N62">
        <v>98</v>
      </c>
      <c r="O62" t="s">
        <v>460</v>
      </c>
      <c r="P62" t="s">
        <v>59</v>
      </c>
      <c r="Q62" t="s">
        <v>461</v>
      </c>
      <c r="R62" t="s">
        <v>61</v>
      </c>
      <c r="S62" t="s">
        <v>45</v>
      </c>
      <c r="T62" t="s">
        <v>183</v>
      </c>
      <c r="U62">
        <v>4942</v>
      </c>
      <c r="V62">
        <v>55</v>
      </c>
      <c r="W62">
        <v>21</v>
      </c>
      <c r="X62">
        <v>497.09</v>
      </c>
      <c r="Y62">
        <v>96.28</v>
      </c>
      <c r="Z62">
        <v>593.37</v>
      </c>
      <c r="AA62" t="s">
        <v>47</v>
      </c>
      <c r="AB62">
        <v>13</v>
      </c>
      <c r="AC62">
        <v>99.02</v>
      </c>
      <c r="AD62">
        <v>94</v>
      </c>
      <c r="AE62">
        <v>45</v>
      </c>
    </row>
    <row r="63" spans="1:31" x14ac:dyDescent="0.25">
      <c r="A63" t="s">
        <v>462</v>
      </c>
      <c r="B63" t="s">
        <v>463</v>
      </c>
      <c r="C63" s="1">
        <v>45636</v>
      </c>
      <c r="D63" s="1">
        <v>44379</v>
      </c>
      <c r="E63" t="s">
        <v>66</v>
      </c>
      <c r="F63" t="s">
        <v>78</v>
      </c>
      <c r="G63" t="s">
        <v>35</v>
      </c>
      <c r="H63" t="s">
        <v>116</v>
      </c>
      <c r="I63" t="s">
        <v>464</v>
      </c>
      <c r="J63" t="s">
        <v>55</v>
      </c>
      <c r="K63" t="s">
        <v>70</v>
      </c>
      <c r="L63" t="s">
        <v>465</v>
      </c>
      <c r="M63">
        <v>166.59</v>
      </c>
      <c r="N63">
        <v>85</v>
      </c>
      <c r="O63" t="s">
        <v>466</v>
      </c>
      <c r="P63" t="s">
        <v>86</v>
      </c>
      <c r="Q63" t="s">
        <v>182</v>
      </c>
      <c r="R63" t="s">
        <v>61</v>
      </c>
      <c r="S63" t="s">
        <v>74</v>
      </c>
      <c r="T63" t="s">
        <v>467</v>
      </c>
      <c r="U63">
        <v>3485</v>
      </c>
      <c r="V63">
        <v>108</v>
      </c>
      <c r="W63">
        <v>14</v>
      </c>
      <c r="X63">
        <v>978.84</v>
      </c>
      <c r="Y63">
        <v>473.11</v>
      </c>
      <c r="Z63">
        <v>1451.95</v>
      </c>
      <c r="AA63" t="s">
        <v>63</v>
      </c>
      <c r="AB63">
        <v>0</v>
      </c>
      <c r="AC63">
        <v>82.29</v>
      </c>
      <c r="AD63">
        <v>78</v>
      </c>
      <c r="AE63">
        <v>123</v>
      </c>
    </row>
    <row r="64" spans="1:31" x14ac:dyDescent="0.25">
      <c r="A64" t="s">
        <v>468</v>
      </c>
      <c r="B64" t="s">
        <v>469</v>
      </c>
      <c r="C64" s="1">
        <v>45077</v>
      </c>
      <c r="D64" s="1">
        <v>45338</v>
      </c>
      <c r="E64" t="s">
        <v>66</v>
      </c>
      <c r="F64" t="s">
        <v>34</v>
      </c>
      <c r="G64" t="s">
        <v>35</v>
      </c>
      <c r="H64" t="s">
        <v>80</v>
      </c>
      <c r="I64" t="s">
        <v>470</v>
      </c>
      <c r="J64" t="s">
        <v>55</v>
      </c>
      <c r="K64" t="s">
        <v>56</v>
      </c>
      <c r="L64" t="s">
        <v>471</v>
      </c>
      <c r="M64">
        <v>33.25</v>
      </c>
      <c r="N64">
        <v>10</v>
      </c>
      <c r="O64" t="s">
        <v>472</v>
      </c>
      <c r="P64" t="s">
        <v>110</v>
      </c>
      <c r="Q64" t="s">
        <v>182</v>
      </c>
      <c r="R64" t="s">
        <v>44</v>
      </c>
      <c r="S64" t="s">
        <v>128</v>
      </c>
      <c r="T64" t="s">
        <v>75</v>
      </c>
      <c r="U64">
        <v>147</v>
      </c>
      <c r="V64">
        <v>426</v>
      </c>
      <c r="W64">
        <v>14</v>
      </c>
      <c r="X64">
        <v>1774.41</v>
      </c>
      <c r="Y64">
        <v>347.7</v>
      </c>
      <c r="Z64">
        <v>2122.11</v>
      </c>
      <c r="AA64" t="s">
        <v>63</v>
      </c>
      <c r="AB64">
        <v>0</v>
      </c>
      <c r="AC64">
        <v>90.92</v>
      </c>
      <c r="AD64">
        <v>479</v>
      </c>
      <c r="AE64">
        <v>523</v>
      </c>
    </row>
    <row r="65" spans="1:31" x14ac:dyDescent="0.25">
      <c r="A65" t="s">
        <v>473</v>
      </c>
      <c r="B65" t="s">
        <v>474</v>
      </c>
      <c r="C65" s="1">
        <v>45311</v>
      </c>
      <c r="D65" s="1">
        <v>45352</v>
      </c>
      <c r="E65" t="s">
        <v>50</v>
      </c>
      <c r="F65" t="s">
        <v>51</v>
      </c>
      <c r="G65" t="s">
        <v>94</v>
      </c>
      <c r="H65" t="s">
        <v>116</v>
      </c>
      <c r="I65" t="s">
        <v>475</v>
      </c>
      <c r="J65" t="s">
        <v>96</v>
      </c>
      <c r="K65" t="s">
        <v>56</v>
      </c>
      <c r="L65" t="s">
        <v>476</v>
      </c>
      <c r="M65">
        <v>483.49</v>
      </c>
      <c r="N65">
        <v>59</v>
      </c>
      <c r="O65" t="s">
        <v>477</v>
      </c>
      <c r="P65" t="s">
        <v>86</v>
      </c>
      <c r="Q65" t="s">
        <v>347</v>
      </c>
      <c r="R65" t="s">
        <v>153</v>
      </c>
      <c r="S65" t="s">
        <v>45</v>
      </c>
      <c r="T65" t="s">
        <v>478</v>
      </c>
      <c r="U65">
        <v>2253</v>
      </c>
      <c r="V65">
        <v>495</v>
      </c>
      <c r="W65">
        <v>1</v>
      </c>
      <c r="X65">
        <v>1916.37</v>
      </c>
      <c r="Y65">
        <v>51.89</v>
      </c>
      <c r="Z65">
        <v>1968.26</v>
      </c>
      <c r="AA65" t="s">
        <v>63</v>
      </c>
      <c r="AB65">
        <v>0</v>
      </c>
      <c r="AC65">
        <v>85.52</v>
      </c>
      <c r="AD65">
        <v>124</v>
      </c>
      <c r="AE65">
        <v>99</v>
      </c>
    </row>
    <row r="66" spans="1:31" x14ac:dyDescent="0.25">
      <c r="A66" t="s">
        <v>479</v>
      </c>
      <c r="B66" t="s">
        <v>480</v>
      </c>
      <c r="C66" s="1">
        <v>45393</v>
      </c>
      <c r="D66" s="1">
        <v>45446</v>
      </c>
      <c r="E66" t="s">
        <v>66</v>
      </c>
      <c r="F66" t="s">
        <v>51</v>
      </c>
      <c r="G66" t="s">
        <v>115</v>
      </c>
      <c r="H66" t="s">
        <v>36</v>
      </c>
      <c r="I66" t="s">
        <v>481</v>
      </c>
      <c r="J66" t="s">
        <v>96</v>
      </c>
      <c r="K66" t="s">
        <v>83</v>
      </c>
      <c r="L66" t="s">
        <v>482</v>
      </c>
      <c r="M66">
        <v>313.57</v>
      </c>
      <c r="N66">
        <v>23</v>
      </c>
      <c r="O66" t="s">
        <v>439</v>
      </c>
      <c r="P66" t="s">
        <v>42</v>
      </c>
      <c r="Q66" t="s">
        <v>73</v>
      </c>
      <c r="R66" t="s">
        <v>153</v>
      </c>
      <c r="S66" t="s">
        <v>74</v>
      </c>
      <c r="T66" t="s">
        <v>215</v>
      </c>
      <c r="U66">
        <v>2488</v>
      </c>
      <c r="V66">
        <v>50</v>
      </c>
      <c r="W66">
        <v>28</v>
      </c>
      <c r="X66">
        <v>1727.84</v>
      </c>
      <c r="Y66">
        <v>103.95</v>
      </c>
      <c r="Z66">
        <v>1831.79</v>
      </c>
      <c r="AA66" t="s">
        <v>63</v>
      </c>
      <c r="AB66">
        <v>0</v>
      </c>
      <c r="AC66">
        <v>84.33</v>
      </c>
      <c r="AD66">
        <v>335</v>
      </c>
      <c r="AE66">
        <v>343</v>
      </c>
    </row>
    <row r="67" spans="1:31" x14ac:dyDescent="0.25">
      <c r="A67" t="s">
        <v>483</v>
      </c>
      <c r="B67" t="s">
        <v>484</v>
      </c>
      <c r="C67" s="1">
        <v>44610</v>
      </c>
      <c r="D67" s="1">
        <v>44786</v>
      </c>
      <c r="E67" t="s">
        <v>50</v>
      </c>
      <c r="F67" t="s">
        <v>78</v>
      </c>
      <c r="G67" t="s">
        <v>79</v>
      </c>
      <c r="H67" t="s">
        <v>148</v>
      </c>
      <c r="I67" t="s">
        <v>485</v>
      </c>
      <c r="J67" t="s">
        <v>107</v>
      </c>
      <c r="K67" t="s">
        <v>39</v>
      </c>
      <c r="L67" t="s">
        <v>486</v>
      </c>
      <c r="M67">
        <v>146.75</v>
      </c>
      <c r="N67">
        <v>43</v>
      </c>
      <c r="O67" t="s">
        <v>487</v>
      </c>
      <c r="P67" t="s">
        <v>86</v>
      </c>
      <c r="Q67" t="s">
        <v>488</v>
      </c>
      <c r="R67" t="s">
        <v>153</v>
      </c>
      <c r="S67" t="s">
        <v>128</v>
      </c>
      <c r="T67" t="s">
        <v>478</v>
      </c>
      <c r="U67">
        <v>3200</v>
      </c>
      <c r="V67">
        <v>86</v>
      </c>
      <c r="W67">
        <v>20</v>
      </c>
      <c r="X67">
        <v>1073.94</v>
      </c>
      <c r="Y67">
        <v>308.13</v>
      </c>
      <c r="Z67">
        <v>1382.07</v>
      </c>
      <c r="AA67" t="s">
        <v>63</v>
      </c>
      <c r="AB67">
        <v>0</v>
      </c>
      <c r="AC67">
        <v>98.94</v>
      </c>
      <c r="AD67">
        <v>386</v>
      </c>
      <c r="AE67">
        <v>384</v>
      </c>
    </row>
    <row r="68" spans="1:31" x14ac:dyDescent="0.25">
      <c r="A68" t="s">
        <v>489</v>
      </c>
      <c r="B68" t="s">
        <v>490</v>
      </c>
      <c r="C68" s="1">
        <v>44465</v>
      </c>
      <c r="D68" s="1">
        <v>45051</v>
      </c>
      <c r="E68" t="s">
        <v>66</v>
      </c>
      <c r="F68" t="s">
        <v>34</v>
      </c>
      <c r="G68" t="s">
        <v>79</v>
      </c>
      <c r="H68" t="s">
        <v>80</v>
      </c>
      <c r="I68" t="s">
        <v>491</v>
      </c>
      <c r="J68" t="s">
        <v>82</v>
      </c>
      <c r="K68" t="s">
        <v>56</v>
      </c>
      <c r="L68" t="s">
        <v>492</v>
      </c>
      <c r="M68">
        <v>84.76</v>
      </c>
      <c r="N68">
        <v>32</v>
      </c>
      <c r="O68" t="s">
        <v>454</v>
      </c>
      <c r="P68" t="s">
        <v>110</v>
      </c>
      <c r="Q68" t="s">
        <v>120</v>
      </c>
      <c r="R68" t="s">
        <v>88</v>
      </c>
      <c r="S68" t="s">
        <v>45</v>
      </c>
      <c r="T68" t="s">
        <v>262</v>
      </c>
      <c r="U68">
        <v>4423</v>
      </c>
      <c r="V68">
        <v>260</v>
      </c>
      <c r="W68">
        <v>29</v>
      </c>
      <c r="X68">
        <v>451.29</v>
      </c>
      <c r="Y68">
        <v>370.49</v>
      </c>
      <c r="Z68">
        <v>821.78</v>
      </c>
      <c r="AA68" t="s">
        <v>47</v>
      </c>
      <c r="AB68">
        <v>7</v>
      </c>
      <c r="AC68">
        <v>70.27</v>
      </c>
      <c r="AD68">
        <v>170</v>
      </c>
      <c r="AE68">
        <v>146</v>
      </c>
    </row>
    <row r="69" spans="1:31" x14ac:dyDescent="0.25">
      <c r="A69" t="s">
        <v>493</v>
      </c>
      <c r="B69" t="s">
        <v>494</v>
      </c>
      <c r="C69" s="1">
        <v>45001</v>
      </c>
      <c r="D69" s="1">
        <v>43923</v>
      </c>
      <c r="E69" t="s">
        <v>66</v>
      </c>
      <c r="F69" t="s">
        <v>51</v>
      </c>
      <c r="G69" t="s">
        <v>94</v>
      </c>
      <c r="H69" t="s">
        <v>218</v>
      </c>
      <c r="I69" t="s">
        <v>495</v>
      </c>
      <c r="J69" t="s">
        <v>38</v>
      </c>
      <c r="K69" t="s">
        <v>56</v>
      </c>
      <c r="L69" t="s">
        <v>496</v>
      </c>
      <c r="M69">
        <v>390.58</v>
      </c>
      <c r="N69">
        <v>13</v>
      </c>
      <c r="O69" t="s">
        <v>497</v>
      </c>
      <c r="P69" t="s">
        <v>110</v>
      </c>
      <c r="Q69" t="s">
        <v>328</v>
      </c>
      <c r="R69" t="s">
        <v>44</v>
      </c>
      <c r="S69" t="s">
        <v>89</v>
      </c>
      <c r="T69" t="s">
        <v>291</v>
      </c>
      <c r="U69">
        <v>9</v>
      </c>
      <c r="V69">
        <v>470</v>
      </c>
      <c r="W69">
        <v>18</v>
      </c>
      <c r="X69">
        <v>793.99</v>
      </c>
      <c r="Y69">
        <v>477.49</v>
      </c>
      <c r="Z69">
        <v>1271.48</v>
      </c>
      <c r="AA69" t="s">
        <v>63</v>
      </c>
      <c r="AB69">
        <v>0</v>
      </c>
      <c r="AC69">
        <v>91.78</v>
      </c>
      <c r="AD69">
        <v>133</v>
      </c>
      <c r="AE69">
        <v>89</v>
      </c>
    </row>
    <row r="70" spans="1:31" x14ac:dyDescent="0.25">
      <c r="A70" t="s">
        <v>498</v>
      </c>
      <c r="B70" t="s">
        <v>499</v>
      </c>
      <c r="C70" s="1">
        <v>44649</v>
      </c>
      <c r="D70" s="1">
        <v>44458</v>
      </c>
      <c r="E70" t="s">
        <v>33</v>
      </c>
      <c r="F70" t="s">
        <v>93</v>
      </c>
      <c r="G70" t="s">
        <v>94</v>
      </c>
      <c r="H70" t="s">
        <v>80</v>
      </c>
      <c r="I70" t="s">
        <v>500</v>
      </c>
      <c r="J70" t="s">
        <v>38</v>
      </c>
      <c r="K70" t="s">
        <v>56</v>
      </c>
      <c r="L70" t="s">
        <v>501</v>
      </c>
      <c r="M70">
        <v>461.67</v>
      </c>
      <c r="N70">
        <v>17</v>
      </c>
      <c r="O70" t="s">
        <v>502</v>
      </c>
      <c r="P70" t="s">
        <v>42</v>
      </c>
      <c r="Q70" t="s">
        <v>143</v>
      </c>
      <c r="R70" t="s">
        <v>88</v>
      </c>
      <c r="S70" t="s">
        <v>101</v>
      </c>
      <c r="T70" t="s">
        <v>303</v>
      </c>
      <c r="U70">
        <v>3119</v>
      </c>
      <c r="V70">
        <v>403</v>
      </c>
      <c r="W70">
        <v>19</v>
      </c>
      <c r="X70">
        <v>1454.25</v>
      </c>
      <c r="Y70">
        <v>161.87</v>
      </c>
      <c r="Z70">
        <v>1616.12</v>
      </c>
      <c r="AA70" t="s">
        <v>63</v>
      </c>
      <c r="AB70">
        <v>0</v>
      </c>
      <c r="AC70">
        <v>96.67</v>
      </c>
      <c r="AD70">
        <v>479</v>
      </c>
      <c r="AE70">
        <v>460</v>
      </c>
    </row>
    <row r="71" spans="1:31" x14ac:dyDescent="0.25">
      <c r="A71" t="s">
        <v>503</v>
      </c>
      <c r="B71" t="s">
        <v>504</v>
      </c>
      <c r="C71" s="1">
        <v>43911</v>
      </c>
      <c r="D71" s="1">
        <v>45117</v>
      </c>
      <c r="E71" t="s">
        <v>66</v>
      </c>
      <c r="F71" t="s">
        <v>93</v>
      </c>
      <c r="G71" t="s">
        <v>52</v>
      </c>
      <c r="H71" t="s">
        <v>148</v>
      </c>
      <c r="I71" t="s">
        <v>505</v>
      </c>
      <c r="J71" t="s">
        <v>55</v>
      </c>
      <c r="K71" t="s">
        <v>56</v>
      </c>
      <c r="L71" t="s">
        <v>506</v>
      </c>
      <c r="M71">
        <v>179.86</v>
      </c>
      <c r="N71">
        <v>11</v>
      </c>
      <c r="O71" t="s">
        <v>507</v>
      </c>
      <c r="P71" t="s">
        <v>42</v>
      </c>
      <c r="Q71" t="s">
        <v>143</v>
      </c>
      <c r="R71" t="s">
        <v>153</v>
      </c>
      <c r="S71" t="s">
        <v>89</v>
      </c>
      <c r="T71" t="s">
        <v>508</v>
      </c>
      <c r="U71">
        <v>3541</v>
      </c>
      <c r="V71">
        <v>355</v>
      </c>
      <c r="W71">
        <v>25</v>
      </c>
      <c r="X71">
        <v>994.43</v>
      </c>
      <c r="Y71">
        <v>429.07</v>
      </c>
      <c r="Z71">
        <v>1423.5</v>
      </c>
      <c r="AA71" t="s">
        <v>63</v>
      </c>
      <c r="AB71">
        <v>0</v>
      </c>
      <c r="AC71">
        <v>97.89</v>
      </c>
      <c r="AD71">
        <v>122</v>
      </c>
      <c r="AE71">
        <v>144</v>
      </c>
    </row>
    <row r="72" spans="1:31" x14ac:dyDescent="0.25">
      <c r="A72" t="s">
        <v>509</v>
      </c>
      <c r="B72" t="s">
        <v>510</v>
      </c>
      <c r="C72" s="1">
        <v>44768</v>
      </c>
      <c r="D72" s="1">
        <v>44710</v>
      </c>
      <c r="E72" t="s">
        <v>66</v>
      </c>
      <c r="F72" t="s">
        <v>78</v>
      </c>
      <c r="G72" t="s">
        <v>52</v>
      </c>
      <c r="H72" t="s">
        <v>164</v>
      </c>
      <c r="I72" t="s">
        <v>511</v>
      </c>
      <c r="J72" t="s">
        <v>96</v>
      </c>
      <c r="K72" t="s">
        <v>97</v>
      </c>
      <c r="L72" t="s">
        <v>512</v>
      </c>
      <c r="M72">
        <v>113.1</v>
      </c>
      <c r="N72">
        <v>87</v>
      </c>
      <c r="O72" t="s">
        <v>513</v>
      </c>
      <c r="P72" t="s">
        <v>42</v>
      </c>
      <c r="Q72" t="s">
        <v>514</v>
      </c>
      <c r="R72" t="s">
        <v>153</v>
      </c>
      <c r="S72" t="s">
        <v>89</v>
      </c>
      <c r="T72" t="s">
        <v>235</v>
      </c>
      <c r="U72">
        <v>1673</v>
      </c>
      <c r="V72">
        <v>493</v>
      </c>
      <c r="W72">
        <v>5</v>
      </c>
      <c r="X72">
        <v>1386.02</v>
      </c>
      <c r="Y72">
        <v>317.89999999999998</v>
      </c>
      <c r="Z72">
        <v>1703.92</v>
      </c>
      <c r="AA72" t="s">
        <v>63</v>
      </c>
      <c r="AB72">
        <v>0</v>
      </c>
      <c r="AC72">
        <v>97.31</v>
      </c>
      <c r="AD72">
        <v>480</v>
      </c>
      <c r="AE72">
        <v>451</v>
      </c>
    </row>
    <row r="73" spans="1:31" x14ac:dyDescent="0.25">
      <c r="A73" t="s">
        <v>515</v>
      </c>
      <c r="B73" t="s">
        <v>516</v>
      </c>
      <c r="C73" s="1">
        <v>44010</v>
      </c>
      <c r="D73" s="1">
        <v>45489</v>
      </c>
      <c r="E73" t="s">
        <v>66</v>
      </c>
      <c r="F73" t="s">
        <v>34</v>
      </c>
      <c r="G73" t="s">
        <v>115</v>
      </c>
      <c r="H73" t="s">
        <v>53</v>
      </c>
      <c r="I73" t="s">
        <v>517</v>
      </c>
      <c r="J73" t="s">
        <v>82</v>
      </c>
      <c r="K73" t="s">
        <v>70</v>
      </c>
      <c r="L73" t="s">
        <v>518</v>
      </c>
      <c r="M73">
        <v>129.01</v>
      </c>
      <c r="N73">
        <v>62</v>
      </c>
      <c r="O73" t="s">
        <v>519</v>
      </c>
      <c r="P73" t="s">
        <v>110</v>
      </c>
      <c r="Q73" t="s">
        <v>347</v>
      </c>
      <c r="R73" t="s">
        <v>44</v>
      </c>
      <c r="S73" t="s">
        <v>128</v>
      </c>
      <c r="T73" t="s">
        <v>235</v>
      </c>
      <c r="U73">
        <v>371</v>
      </c>
      <c r="V73">
        <v>180</v>
      </c>
      <c r="W73">
        <v>16</v>
      </c>
      <c r="X73">
        <v>312.06</v>
      </c>
      <c r="Y73">
        <v>85.69</v>
      </c>
      <c r="Z73">
        <v>397.75</v>
      </c>
      <c r="AA73" t="s">
        <v>63</v>
      </c>
      <c r="AB73">
        <v>0</v>
      </c>
      <c r="AC73">
        <v>87.37</v>
      </c>
      <c r="AD73">
        <v>250</v>
      </c>
      <c r="AE73">
        <v>299</v>
      </c>
    </row>
    <row r="74" spans="1:31" x14ac:dyDescent="0.25">
      <c r="A74" t="s">
        <v>520</v>
      </c>
      <c r="B74" t="s">
        <v>521</v>
      </c>
      <c r="C74" s="1">
        <v>43858</v>
      </c>
      <c r="D74" s="1">
        <v>44881</v>
      </c>
      <c r="E74" t="s">
        <v>50</v>
      </c>
      <c r="F74" t="s">
        <v>78</v>
      </c>
      <c r="G74" t="s">
        <v>35</v>
      </c>
      <c r="H74" t="s">
        <v>218</v>
      </c>
      <c r="I74" t="s">
        <v>522</v>
      </c>
      <c r="J74" t="s">
        <v>82</v>
      </c>
      <c r="K74" t="s">
        <v>83</v>
      </c>
      <c r="L74" t="s">
        <v>523</v>
      </c>
      <c r="M74">
        <v>294.23</v>
      </c>
      <c r="N74">
        <v>31</v>
      </c>
      <c r="O74" t="s">
        <v>524</v>
      </c>
      <c r="P74" t="s">
        <v>59</v>
      </c>
      <c r="Q74" t="s">
        <v>514</v>
      </c>
      <c r="R74" t="s">
        <v>153</v>
      </c>
      <c r="S74" t="s">
        <v>101</v>
      </c>
      <c r="T74" t="s">
        <v>279</v>
      </c>
      <c r="U74">
        <v>4004</v>
      </c>
      <c r="V74">
        <v>425</v>
      </c>
      <c r="W74">
        <v>6</v>
      </c>
      <c r="X74">
        <v>627.67999999999995</v>
      </c>
      <c r="Y74">
        <v>329.71</v>
      </c>
      <c r="Z74">
        <v>957.38999999999987</v>
      </c>
      <c r="AA74" t="s">
        <v>63</v>
      </c>
      <c r="AB74">
        <v>0</v>
      </c>
      <c r="AC74">
        <v>90.19</v>
      </c>
      <c r="AD74">
        <v>267</v>
      </c>
      <c r="AE74">
        <v>238</v>
      </c>
    </row>
    <row r="75" spans="1:31" x14ac:dyDescent="0.25">
      <c r="A75" t="s">
        <v>525</v>
      </c>
      <c r="B75" t="s">
        <v>526</v>
      </c>
      <c r="C75" s="1">
        <v>43987</v>
      </c>
      <c r="D75" s="1">
        <v>43932</v>
      </c>
      <c r="E75" t="s">
        <v>66</v>
      </c>
      <c r="F75" t="s">
        <v>51</v>
      </c>
      <c r="G75" t="s">
        <v>35</v>
      </c>
      <c r="H75" t="s">
        <v>36</v>
      </c>
      <c r="I75" t="s">
        <v>527</v>
      </c>
      <c r="J75" t="s">
        <v>38</v>
      </c>
      <c r="K75" t="s">
        <v>39</v>
      </c>
      <c r="L75" t="s">
        <v>528</v>
      </c>
      <c r="M75">
        <v>84.81</v>
      </c>
      <c r="N75">
        <v>76</v>
      </c>
      <c r="O75" t="s">
        <v>254</v>
      </c>
      <c r="P75" t="s">
        <v>110</v>
      </c>
      <c r="Q75" t="s">
        <v>529</v>
      </c>
      <c r="R75" t="s">
        <v>88</v>
      </c>
      <c r="S75" t="s">
        <v>128</v>
      </c>
      <c r="T75" t="s">
        <v>530</v>
      </c>
      <c r="U75">
        <v>2204</v>
      </c>
      <c r="V75">
        <v>205</v>
      </c>
      <c r="W75">
        <v>26</v>
      </c>
      <c r="X75">
        <v>1805.72</v>
      </c>
      <c r="Y75">
        <v>60.63</v>
      </c>
      <c r="Z75">
        <v>1866.35</v>
      </c>
      <c r="AA75" t="s">
        <v>47</v>
      </c>
      <c r="AB75">
        <v>10</v>
      </c>
      <c r="AC75">
        <v>91.14</v>
      </c>
      <c r="AD75">
        <v>449</v>
      </c>
      <c r="AE75">
        <v>441</v>
      </c>
    </row>
    <row r="76" spans="1:31" x14ac:dyDescent="0.25">
      <c r="A76" t="s">
        <v>531</v>
      </c>
      <c r="B76" t="s">
        <v>532</v>
      </c>
      <c r="C76" s="1">
        <v>43836</v>
      </c>
      <c r="D76" s="1">
        <v>45257</v>
      </c>
      <c r="E76" t="s">
        <v>50</v>
      </c>
      <c r="F76" t="s">
        <v>93</v>
      </c>
      <c r="G76" t="s">
        <v>337</v>
      </c>
      <c r="H76" t="s">
        <v>148</v>
      </c>
      <c r="I76" t="s">
        <v>533</v>
      </c>
      <c r="J76" t="s">
        <v>96</v>
      </c>
      <c r="K76" t="s">
        <v>83</v>
      </c>
      <c r="L76" t="s">
        <v>534</v>
      </c>
      <c r="M76">
        <v>398.93</v>
      </c>
      <c r="N76">
        <v>37</v>
      </c>
      <c r="O76" t="s">
        <v>535</v>
      </c>
      <c r="P76" t="s">
        <v>110</v>
      </c>
      <c r="Q76" t="s">
        <v>290</v>
      </c>
      <c r="R76" t="s">
        <v>153</v>
      </c>
      <c r="S76" t="s">
        <v>74</v>
      </c>
      <c r="T76" t="s">
        <v>291</v>
      </c>
      <c r="U76">
        <v>1456</v>
      </c>
      <c r="V76">
        <v>373</v>
      </c>
      <c r="W76">
        <v>24</v>
      </c>
      <c r="X76">
        <v>1916.61</v>
      </c>
      <c r="Y76">
        <v>465.67</v>
      </c>
      <c r="Z76">
        <v>2382.2800000000002</v>
      </c>
      <c r="AA76" t="s">
        <v>63</v>
      </c>
      <c r="AB76">
        <v>0</v>
      </c>
      <c r="AC76">
        <v>87.17</v>
      </c>
      <c r="AD76">
        <v>75</v>
      </c>
      <c r="AE76">
        <v>94</v>
      </c>
    </row>
    <row r="77" spans="1:31" x14ac:dyDescent="0.25">
      <c r="A77" t="s">
        <v>536</v>
      </c>
      <c r="B77" t="s">
        <v>537</v>
      </c>
      <c r="C77" s="1">
        <v>45301</v>
      </c>
      <c r="D77" s="1">
        <v>45063</v>
      </c>
      <c r="E77" t="s">
        <v>33</v>
      </c>
      <c r="F77" t="s">
        <v>147</v>
      </c>
      <c r="G77" t="s">
        <v>94</v>
      </c>
      <c r="H77" t="s">
        <v>68</v>
      </c>
      <c r="I77" t="s">
        <v>538</v>
      </c>
      <c r="J77" t="s">
        <v>107</v>
      </c>
      <c r="K77" t="s">
        <v>83</v>
      </c>
      <c r="L77" t="s">
        <v>539</v>
      </c>
      <c r="M77">
        <v>125.42</v>
      </c>
      <c r="N77">
        <v>55</v>
      </c>
      <c r="O77" t="s">
        <v>540</v>
      </c>
      <c r="P77" t="s">
        <v>110</v>
      </c>
      <c r="Q77" t="s">
        <v>541</v>
      </c>
      <c r="R77" t="s">
        <v>44</v>
      </c>
      <c r="S77" t="s">
        <v>89</v>
      </c>
      <c r="T77" t="s">
        <v>542</v>
      </c>
      <c r="U77">
        <v>2429</v>
      </c>
      <c r="V77">
        <v>287</v>
      </c>
      <c r="W77">
        <v>10</v>
      </c>
      <c r="X77">
        <v>1932.32</v>
      </c>
      <c r="Y77">
        <v>457.87</v>
      </c>
      <c r="Z77">
        <v>2390.19</v>
      </c>
      <c r="AA77" t="s">
        <v>63</v>
      </c>
      <c r="AB77">
        <v>0</v>
      </c>
      <c r="AC77">
        <v>73.22</v>
      </c>
      <c r="AD77">
        <v>458</v>
      </c>
      <c r="AE77">
        <v>460</v>
      </c>
    </row>
    <row r="78" spans="1:31" x14ac:dyDescent="0.25">
      <c r="A78" t="s">
        <v>543</v>
      </c>
      <c r="B78" t="s">
        <v>544</v>
      </c>
      <c r="C78" s="1">
        <v>45631</v>
      </c>
      <c r="D78" s="1">
        <v>45112</v>
      </c>
      <c r="E78" t="s">
        <v>66</v>
      </c>
      <c r="F78" t="s">
        <v>51</v>
      </c>
      <c r="G78" t="s">
        <v>79</v>
      </c>
      <c r="H78" t="s">
        <v>36</v>
      </c>
      <c r="I78" t="s">
        <v>545</v>
      </c>
      <c r="J78" t="s">
        <v>82</v>
      </c>
      <c r="K78" t="s">
        <v>39</v>
      </c>
      <c r="L78" t="s">
        <v>546</v>
      </c>
      <c r="M78">
        <v>421.19</v>
      </c>
      <c r="N78">
        <v>94</v>
      </c>
      <c r="O78" t="s">
        <v>547</v>
      </c>
      <c r="P78" t="s">
        <v>86</v>
      </c>
      <c r="Q78" t="s">
        <v>135</v>
      </c>
      <c r="R78" t="s">
        <v>153</v>
      </c>
      <c r="S78" t="s">
        <v>101</v>
      </c>
      <c r="T78" t="s">
        <v>190</v>
      </c>
      <c r="U78">
        <v>1882</v>
      </c>
      <c r="V78">
        <v>79</v>
      </c>
      <c r="W78">
        <v>2</v>
      </c>
      <c r="X78">
        <v>317.02999999999997</v>
      </c>
      <c r="Y78">
        <v>51.07</v>
      </c>
      <c r="Z78">
        <v>368.1</v>
      </c>
      <c r="AA78" t="s">
        <v>63</v>
      </c>
      <c r="AB78">
        <v>0</v>
      </c>
      <c r="AC78">
        <v>97.46</v>
      </c>
      <c r="AD78">
        <v>174</v>
      </c>
      <c r="AE78">
        <v>196</v>
      </c>
    </row>
    <row r="79" spans="1:31" x14ac:dyDescent="0.25">
      <c r="A79" t="s">
        <v>548</v>
      </c>
      <c r="B79" t="s">
        <v>549</v>
      </c>
      <c r="C79" s="1">
        <v>44618</v>
      </c>
      <c r="D79" s="1">
        <v>45568</v>
      </c>
      <c r="E79" t="s">
        <v>33</v>
      </c>
      <c r="F79" t="s">
        <v>93</v>
      </c>
      <c r="G79" t="s">
        <v>105</v>
      </c>
      <c r="H79" t="s">
        <v>53</v>
      </c>
      <c r="I79" t="s">
        <v>550</v>
      </c>
      <c r="J79" t="s">
        <v>96</v>
      </c>
      <c r="K79" t="s">
        <v>56</v>
      </c>
      <c r="L79" t="s">
        <v>551</v>
      </c>
      <c r="M79">
        <v>477.18</v>
      </c>
      <c r="N79">
        <v>3</v>
      </c>
      <c r="O79" t="s">
        <v>552</v>
      </c>
      <c r="P79" t="s">
        <v>142</v>
      </c>
      <c r="Q79" t="s">
        <v>340</v>
      </c>
      <c r="R79" t="s">
        <v>153</v>
      </c>
      <c r="S79" t="s">
        <v>89</v>
      </c>
      <c r="T79" t="s">
        <v>365</v>
      </c>
      <c r="U79">
        <v>3877</v>
      </c>
      <c r="V79">
        <v>192</v>
      </c>
      <c r="W79">
        <v>1</v>
      </c>
      <c r="X79">
        <v>1855.28</v>
      </c>
      <c r="Y79">
        <v>50.64</v>
      </c>
      <c r="Z79">
        <v>1905.92</v>
      </c>
      <c r="AA79" t="s">
        <v>63</v>
      </c>
      <c r="AB79">
        <v>0</v>
      </c>
      <c r="AC79">
        <v>70.52</v>
      </c>
      <c r="AD79">
        <v>367</v>
      </c>
      <c r="AE79">
        <v>349</v>
      </c>
    </row>
    <row r="80" spans="1:31" x14ac:dyDescent="0.25">
      <c r="A80" t="s">
        <v>553</v>
      </c>
      <c r="B80" t="s">
        <v>554</v>
      </c>
      <c r="C80" s="1">
        <v>45369</v>
      </c>
      <c r="D80" s="1">
        <v>43848</v>
      </c>
      <c r="E80" t="s">
        <v>50</v>
      </c>
      <c r="F80" t="s">
        <v>34</v>
      </c>
      <c r="G80" t="s">
        <v>337</v>
      </c>
      <c r="H80" t="s">
        <v>218</v>
      </c>
      <c r="I80" t="s">
        <v>555</v>
      </c>
      <c r="J80" t="s">
        <v>107</v>
      </c>
      <c r="K80" t="s">
        <v>97</v>
      </c>
      <c r="L80" t="s">
        <v>556</v>
      </c>
      <c r="M80">
        <v>337.18</v>
      </c>
      <c r="N80">
        <v>93</v>
      </c>
      <c r="O80" t="s">
        <v>557</v>
      </c>
      <c r="P80" t="s">
        <v>86</v>
      </c>
      <c r="Q80" t="s">
        <v>558</v>
      </c>
      <c r="R80" t="s">
        <v>61</v>
      </c>
      <c r="S80" t="s">
        <v>128</v>
      </c>
      <c r="T80" t="s">
        <v>559</v>
      </c>
      <c r="U80">
        <v>2196</v>
      </c>
      <c r="V80">
        <v>82</v>
      </c>
      <c r="W80">
        <v>18</v>
      </c>
      <c r="X80">
        <v>1393.52</v>
      </c>
      <c r="Y80">
        <v>460.58</v>
      </c>
      <c r="Z80">
        <v>1854.1</v>
      </c>
      <c r="AA80" t="s">
        <v>63</v>
      </c>
      <c r="AB80">
        <v>0</v>
      </c>
      <c r="AC80">
        <v>92.1</v>
      </c>
      <c r="AD80">
        <v>52</v>
      </c>
      <c r="AE80">
        <v>71</v>
      </c>
    </row>
    <row r="81" spans="1:31" x14ac:dyDescent="0.25">
      <c r="A81" t="s">
        <v>560</v>
      </c>
      <c r="B81" t="s">
        <v>561</v>
      </c>
      <c r="C81" s="1">
        <v>44699</v>
      </c>
      <c r="D81" s="1">
        <v>43869</v>
      </c>
      <c r="E81" t="s">
        <v>50</v>
      </c>
      <c r="F81" t="s">
        <v>51</v>
      </c>
      <c r="G81" t="s">
        <v>94</v>
      </c>
      <c r="H81" t="s">
        <v>148</v>
      </c>
      <c r="I81" t="s">
        <v>562</v>
      </c>
      <c r="J81" t="s">
        <v>96</v>
      </c>
      <c r="K81" t="s">
        <v>70</v>
      </c>
      <c r="L81" t="s">
        <v>563</v>
      </c>
      <c r="M81">
        <v>494.42</v>
      </c>
      <c r="N81">
        <v>70</v>
      </c>
      <c r="O81" t="s">
        <v>564</v>
      </c>
      <c r="P81" t="s">
        <v>86</v>
      </c>
      <c r="Q81" t="s">
        <v>73</v>
      </c>
      <c r="R81" t="s">
        <v>88</v>
      </c>
      <c r="S81" t="s">
        <v>128</v>
      </c>
      <c r="T81" t="s">
        <v>215</v>
      </c>
      <c r="U81">
        <v>2637</v>
      </c>
      <c r="V81">
        <v>382</v>
      </c>
      <c r="W81">
        <v>9</v>
      </c>
      <c r="X81">
        <v>288.72000000000003</v>
      </c>
      <c r="Y81">
        <v>145.82</v>
      </c>
      <c r="Z81">
        <v>434.54</v>
      </c>
      <c r="AA81" t="s">
        <v>63</v>
      </c>
      <c r="AB81">
        <v>0</v>
      </c>
      <c r="AC81">
        <v>95.93</v>
      </c>
      <c r="AD81">
        <v>476</v>
      </c>
      <c r="AE81">
        <v>434</v>
      </c>
    </row>
    <row r="82" spans="1:31" x14ac:dyDescent="0.25">
      <c r="A82" t="s">
        <v>565</v>
      </c>
      <c r="B82" t="s">
        <v>566</v>
      </c>
      <c r="C82" s="1">
        <v>44456</v>
      </c>
      <c r="D82" s="1">
        <v>45454</v>
      </c>
      <c r="E82" t="s">
        <v>66</v>
      </c>
      <c r="F82" t="s">
        <v>51</v>
      </c>
      <c r="G82" t="s">
        <v>79</v>
      </c>
      <c r="H82" t="s">
        <v>68</v>
      </c>
      <c r="I82" t="s">
        <v>567</v>
      </c>
      <c r="J82" t="s">
        <v>96</v>
      </c>
      <c r="K82" t="s">
        <v>70</v>
      </c>
      <c r="L82" t="s">
        <v>568</v>
      </c>
      <c r="M82">
        <v>318.36</v>
      </c>
      <c r="N82">
        <v>32</v>
      </c>
      <c r="O82" t="s">
        <v>569</v>
      </c>
      <c r="P82" t="s">
        <v>42</v>
      </c>
      <c r="Q82" t="s">
        <v>322</v>
      </c>
      <c r="R82" t="s">
        <v>88</v>
      </c>
      <c r="S82" t="s">
        <v>101</v>
      </c>
      <c r="T82" t="s">
        <v>255</v>
      </c>
      <c r="U82">
        <v>2040</v>
      </c>
      <c r="V82">
        <v>449</v>
      </c>
      <c r="W82">
        <v>17</v>
      </c>
      <c r="X82">
        <v>1988.88</v>
      </c>
      <c r="Y82">
        <v>48.76</v>
      </c>
      <c r="Z82">
        <v>2037.64</v>
      </c>
      <c r="AA82" t="s">
        <v>63</v>
      </c>
      <c r="AB82">
        <v>0</v>
      </c>
      <c r="AC82">
        <v>82.41</v>
      </c>
      <c r="AD82">
        <v>341</v>
      </c>
      <c r="AE82">
        <v>328</v>
      </c>
    </row>
    <row r="83" spans="1:31" x14ac:dyDescent="0.25">
      <c r="A83" t="s">
        <v>570</v>
      </c>
      <c r="B83" t="s">
        <v>571</v>
      </c>
      <c r="C83" s="1">
        <v>44309</v>
      </c>
      <c r="D83" s="1">
        <v>45155</v>
      </c>
      <c r="E83" t="s">
        <v>66</v>
      </c>
      <c r="F83" t="s">
        <v>93</v>
      </c>
      <c r="G83" t="s">
        <v>35</v>
      </c>
      <c r="H83" t="s">
        <v>218</v>
      </c>
      <c r="I83" t="s">
        <v>572</v>
      </c>
      <c r="J83" t="s">
        <v>38</v>
      </c>
      <c r="K83" t="s">
        <v>83</v>
      </c>
      <c r="L83" t="s">
        <v>573</v>
      </c>
      <c r="M83">
        <v>66.62</v>
      </c>
      <c r="N83">
        <v>91</v>
      </c>
      <c r="O83" t="s">
        <v>574</v>
      </c>
      <c r="P83" t="s">
        <v>110</v>
      </c>
      <c r="Q83" t="s">
        <v>347</v>
      </c>
      <c r="R83" t="s">
        <v>44</v>
      </c>
      <c r="S83" t="s">
        <v>89</v>
      </c>
      <c r="T83" t="s">
        <v>161</v>
      </c>
      <c r="U83">
        <v>322</v>
      </c>
      <c r="V83">
        <v>157</v>
      </c>
      <c r="W83">
        <v>13</v>
      </c>
      <c r="X83">
        <v>482.06</v>
      </c>
      <c r="Y83">
        <v>470.6</v>
      </c>
      <c r="Z83">
        <v>952.66000000000008</v>
      </c>
      <c r="AA83" t="s">
        <v>63</v>
      </c>
      <c r="AB83">
        <v>0</v>
      </c>
      <c r="AC83">
        <v>96.56</v>
      </c>
      <c r="AD83">
        <v>428</v>
      </c>
      <c r="AE83">
        <v>400</v>
      </c>
    </row>
    <row r="84" spans="1:31" x14ac:dyDescent="0.25">
      <c r="A84" t="s">
        <v>575</v>
      </c>
      <c r="B84" t="s">
        <v>576</v>
      </c>
      <c r="C84" s="1">
        <v>44710</v>
      </c>
      <c r="D84" s="1">
        <v>45026</v>
      </c>
      <c r="E84" t="s">
        <v>50</v>
      </c>
      <c r="F84" t="s">
        <v>51</v>
      </c>
      <c r="G84" t="s">
        <v>94</v>
      </c>
      <c r="H84" t="s">
        <v>148</v>
      </c>
      <c r="I84" t="s">
        <v>577</v>
      </c>
      <c r="J84" t="s">
        <v>96</v>
      </c>
      <c r="K84" t="s">
        <v>39</v>
      </c>
      <c r="L84" t="s">
        <v>578</v>
      </c>
      <c r="M84">
        <v>382.6</v>
      </c>
      <c r="N84">
        <v>58</v>
      </c>
      <c r="O84" t="s">
        <v>314</v>
      </c>
      <c r="P84" t="s">
        <v>110</v>
      </c>
      <c r="Q84" t="s">
        <v>347</v>
      </c>
      <c r="R84" t="s">
        <v>153</v>
      </c>
      <c r="S84" t="s">
        <v>128</v>
      </c>
      <c r="T84" t="s">
        <v>169</v>
      </c>
      <c r="U84">
        <v>4787</v>
      </c>
      <c r="V84">
        <v>251</v>
      </c>
      <c r="W84">
        <v>5</v>
      </c>
      <c r="X84">
        <v>766.38</v>
      </c>
      <c r="Y84">
        <v>397.16</v>
      </c>
      <c r="Z84">
        <v>1163.54</v>
      </c>
      <c r="AA84" t="s">
        <v>63</v>
      </c>
      <c r="AB84">
        <v>0</v>
      </c>
      <c r="AC84">
        <v>98.72</v>
      </c>
      <c r="AD84">
        <v>159</v>
      </c>
      <c r="AE84">
        <v>199</v>
      </c>
    </row>
    <row r="85" spans="1:31" x14ac:dyDescent="0.25">
      <c r="A85" t="s">
        <v>579</v>
      </c>
      <c r="B85" t="s">
        <v>580</v>
      </c>
      <c r="C85" s="1">
        <v>44670</v>
      </c>
      <c r="D85" s="1">
        <v>44860</v>
      </c>
      <c r="E85" t="s">
        <v>33</v>
      </c>
      <c r="F85" t="s">
        <v>51</v>
      </c>
      <c r="G85" t="s">
        <v>115</v>
      </c>
      <c r="H85" t="s">
        <v>116</v>
      </c>
      <c r="I85" t="s">
        <v>581</v>
      </c>
      <c r="J85" t="s">
        <v>38</v>
      </c>
      <c r="K85" t="s">
        <v>97</v>
      </c>
      <c r="L85" t="s">
        <v>582</v>
      </c>
      <c r="M85">
        <v>265.38</v>
      </c>
      <c r="N85">
        <v>3</v>
      </c>
      <c r="O85" t="s">
        <v>583</v>
      </c>
      <c r="P85" t="s">
        <v>142</v>
      </c>
      <c r="Q85" t="s">
        <v>461</v>
      </c>
      <c r="R85" t="s">
        <v>153</v>
      </c>
      <c r="S85" t="s">
        <v>101</v>
      </c>
      <c r="T85" t="s">
        <v>405</v>
      </c>
      <c r="U85">
        <v>4928</v>
      </c>
      <c r="V85">
        <v>263</v>
      </c>
      <c r="W85">
        <v>16</v>
      </c>
      <c r="X85">
        <v>230.38</v>
      </c>
      <c r="Y85">
        <v>481.69</v>
      </c>
      <c r="Z85">
        <v>712.06999999999994</v>
      </c>
      <c r="AA85" t="s">
        <v>47</v>
      </c>
      <c r="AB85">
        <v>8</v>
      </c>
      <c r="AC85">
        <v>71.47</v>
      </c>
      <c r="AD85">
        <v>64</v>
      </c>
      <c r="AE85">
        <v>85</v>
      </c>
    </row>
    <row r="86" spans="1:31" x14ac:dyDescent="0.25">
      <c r="A86" t="s">
        <v>584</v>
      </c>
      <c r="B86" t="s">
        <v>585</v>
      </c>
      <c r="C86" s="1">
        <v>44132</v>
      </c>
      <c r="D86" s="1">
        <v>44985</v>
      </c>
      <c r="E86" t="s">
        <v>66</v>
      </c>
      <c r="F86" t="s">
        <v>78</v>
      </c>
      <c r="G86" t="s">
        <v>52</v>
      </c>
      <c r="H86" t="s">
        <v>80</v>
      </c>
      <c r="I86" t="s">
        <v>586</v>
      </c>
      <c r="J86" t="s">
        <v>96</v>
      </c>
      <c r="K86" t="s">
        <v>97</v>
      </c>
      <c r="L86" t="s">
        <v>587</v>
      </c>
      <c r="M86">
        <v>345.62</v>
      </c>
      <c r="N86">
        <v>94</v>
      </c>
      <c r="O86" t="s">
        <v>588</v>
      </c>
      <c r="P86" t="s">
        <v>142</v>
      </c>
      <c r="Q86" t="s">
        <v>100</v>
      </c>
      <c r="R86" t="s">
        <v>88</v>
      </c>
      <c r="S86" t="s">
        <v>74</v>
      </c>
      <c r="T86" t="s">
        <v>136</v>
      </c>
      <c r="U86">
        <v>2578</v>
      </c>
      <c r="V86">
        <v>194</v>
      </c>
      <c r="W86">
        <v>20</v>
      </c>
      <c r="X86">
        <v>740.63</v>
      </c>
      <c r="Y86">
        <v>466.35</v>
      </c>
      <c r="Z86">
        <v>1206.98</v>
      </c>
      <c r="AA86" t="s">
        <v>63</v>
      </c>
      <c r="AB86">
        <v>0</v>
      </c>
      <c r="AC86">
        <v>72.010000000000005</v>
      </c>
      <c r="AD86">
        <v>271</v>
      </c>
      <c r="AE86">
        <v>273</v>
      </c>
    </row>
    <row r="87" spans="1:31" x14ac:dyDescent="0.25">
      <c r="A87" t="s">
        <v>589</v>
      </c>
      <c r="B87" t="s">
        <v>590</v>
      </c>
      <c r="C87" s="1">
        <v>43890</v>
      </c>
      <c r="D87" s="1">
        <v>44773</v>
      </c>
      <c r="E87" t="s">
        <v>66</v>
      </c>
      <c r="F87" t="s">
        <v>147</v>
      </c>
      <c r="G87" t="s">
        <v>35</v>
      </c>
      <c r="H87" t="s">
        <v>68</v>
      </c>
      <c r="I87" t="s">
        <v>591</v>
      </c>
      <c r="J87" t="s">
        <v>38</v>
      </c>
      <c r="K87" t="s">
        <v>83</v>
      </c>
      <c r="L87" t="s">
        <v>592</v>
      </c>
      <c r="M87">
        <v>202.34</v>
      </c>
      <c r="N87">
        <v>90</v>
      </c>
      <c r="O87" t="s">
        <v>593</v>
      </c>
      <c r="P87" t="s">
        <v>142</v>
      </c>
      <c r="Q87" t="s">
        <v>248</v>
      </c>
      <c r="R87" t="s">
        <v>153</v>
      </c>
      <c r="S87" t="s">
        <v>128</v>
      </c>
      <c r="T87" t="s">
        <v>112</v>
      </c>
      <c r="U87">
        <v>1813</v>
      </c>
      <c r="V87">
        <v>355</v>
      </c>
      <c r="W87">
        <v>18</v>
      </c>
      <c r="X87">
        <v>1709.45</v>
      </c>
      <c r="Y87">
        <v>52.8</v>
      </c>
      <c r="Z87">
        <v>1762.25</v>
      </c>
      <c r="AA87" t="s">
        <v>63</v>
      </c>
      <c r="AB87">
        <v>0</v>
      </c>
      <c r="AC87">
        <v>77.23</v>
      </c>
      <c r="AD87">
        <v>150</v>
      </c>
      <c r="AE87">
        <v>173</v>
      </c>
    </row>
    <row r="88" spans="1:31" x14ac:dyDescent="0.25">
      <c r="A88" t="s">
        <v>594</v>
      </c>
      <c r="B88" t="s">
        <v>595</v>
      </c>
      <c r="C88" s="1">
        <v>44512</v>
      </c>
      <c r="D88" s="1">
        <v>45145</v>
      </c>
      <c r="E88" t="s">
        <v>66</v>
      </c>
      <c r="F88" t="s">
        <v>147</v>
      </c>
      <c r="G88" t="s">
        <v>52</v>
      </c>
      <c r="H88" t="s">
        <v>68</v>
      </c>
      <c r="I88" t="s">
        <v>596</v>
      </c>
      <c r="J88" t="s">
        <v>96</v>
      </c>
      <c r="K88" t="s">
        <v>83</v>
      </c>
      <c r="L88" t="s">
        <v>597</v>
      </c>
      <c r="M88">
        <v>334.08</v>
      </c>
      <c r="N88">
        <v>31</v>
      </c>
      <c r="O88" t="s">
        <v>598</v>
      </c>
      <c r="P88" t="s">
        <v>59</v>
      </c>
      <c r="Q88" t="s">
        <v>234</v>
      </c>
      <c r="R88" t="s">
        <v>61</v>
      </c>
      <c r="S88" t="s">
        <v>74</v>
      </c>
      <c r="T88" t="s">
        <v>129</v>
      </c>
      <c r="U88">
        <v>285</v>
      </c>
      <c r="V88">
        <v>358</v>
      </c>
      <c r="W88">
        <v>22</v>
      </c>
      <c r="X88">
        <v>75.290000000000006</v>
      </c>
      <c r="Y88">
        <v>59.79</v>
      </c>
      <c r="Z88">
        <v>135.08000000000001</v>
      </c>
      <c r="AA88" t="s">
        <v>63</v>
      </c>
      <c r="AB88">
        <v>0</v>
      </c>
      <c r="AC88">
        <v>78.28</v>
      </c>
      <c r="AD88">
        <v>106</v>
      </c>
      <c r="AE88">
        <v>91</v>
      </c>
    </row>
    <row r="89" spans="1:31" x14ac:dyDescent="0.25">
      <c r="A89" t="s">
        <v>599</v>
      </c>
      <c r="B89" t="s">
        <v>600</v>
      </c>
      <c r="C89" s="1">
        <v>45557</v>
      </c>
      <c r="D89" s="1">
        <v>44473</v>
      </c>
      <c r="E89" t="s">
        <v>66</v>
      </c>
      <c r="F89" t="s">
        <v>34</v>
      </c>
      <c r="G89" t="s">
        <v>94</v>
      </c>
      <c r="H89" t="s">
        <v>53</v>
      </c>
      <c r="I89" t="s">
        <v>601</v>
      </c>
      <c r="J89" t="s">
        <v>107</v>
      </c>
      <c r="K89" t="s">
        <v>97</v>
      </c>
      <c r="L89" t="s">
        <v>602</v>
      </c>
      <c r="M89">
        <v>138.94</v>
      </c>
      <c r="N89">
        <v>63</v>
      </c>
      <c r="O89" t="s">
        <v>603</v>
      </c>
      <c r="P89" t="s">
        <v>59</v>
      </c>
      <c r="Q89" t="s">
        <v>328</v>
      </c>
      <c r="R89" t="s">
        <v>88</v>
      </c>
      <c r="S89" t="s">
        <v>74</v>
      </c>
      <c r="T89" t="s">
        <v>90</v>
      </c>
      <c r="U89">
        <v>2031</v>
      </c>
      <c r="V89">
        <v>394</v>
      </c>
      <c r="W89">
        <v>10</v>
      </c>
      <c r="X89">
        <v>307.20999999999998</v>
      </c>
      <c r="Y89">
        <v>404.94</v>
      </c>
      <c r="Z89">
        <v>712.15</v>
      </c>
      <c r="AA89" t="s">
        <v>47</v>
      </c>
      <c r="AB89">
        <v>6</v>
      </c>
      <c r="AC89">
        <v>93.45</v>
      </c>
      <c r="AD89">
        <v>269</v>
      </c>
      <c r="AE89">
        <v>276</v>
      </c>
    </row>
    <row r="90" spans="1:31" x14ac:dyDescent="0.25">
      <c r="A90" t="s">
        <v>604</v>
      </c>
      <c r="B90" t="s">
        <v>605</v>
      </c>
      <c r="C90" s="1">
        <v>44237</v>
      </c>
      <c r="D90" s="1">
        <v>44722</v>
      </c>
      <c r="E90" t="s">
        <v>66</v>
      </c>
      <c r="F90" t="s">
        <v>147</v>
      </c>
      <c r="G90" t="s">
        <v>52</v>
      </c>
      <c r="H90" t="s">
        <v>148</v>
      </c>
      <c r="I90" t="s">
        <v>606</v>
      </c>
      <c r="J90" t="s">
        <v>82</v>
      </c>
      <c r="K90" t="s">
        <v>97</v>
      </c>
      <c r="L90" t="s">
        <v>607</v>
      </c>
      <c r="M90">
        <v>193.87</v>
      </c>
      <c r="N90">
        <v>60</v>
      </c>
      <c r="O90" t="s">
        <v>608</v>
      </c>
      <c r="P90" t="s">
        <v>42</v>
      </c>
      <c r="Q90" t="s">
        <v>609</v>
      </c>
      <c r="R90" t="s">
        <v>88</v>
      </c>
      <c r="S90" t="s">
        <v>45</v>
      </c>
      <c r="T90" t="s">
        <v>297</v>
      </c>
      <c r="U90">
        <v>314</v>
      </c>
      <c r="V90">
        <v>197</v>
      </c>
      <c r="W90">
        <v>19</v>
      </c>
      <c r="X90">
        <v>562.65</v>
      </c>
      <c r="Y90">
        <v>216.69</v>
      </c>
      <c r="Z90">
        <v>779.33999999999992</v>
      </c>
      <c r="AA90" t="s">
        <v>63</v>
      </c>
      <c r="AB90">
        <v>0</v>
      </c>
      <c r="AC90">
        <v>98.85</v>
      </c>
      <c r="AD90">
        <v>422</v>
      </c>
      <c r="AE90">
        <v>435</v>
      </c>
    </row>
    <row r="91" spans="1:31" x14ac:dyDescent="0.25">
      <c r="A91" t="s">
        <v>610</v>
      </c>
      <c r="B91" t="s">
        <v>611</v>
      </c>
      <c r="C91" s="1">
        <v>45169</v>
      </c>
      <c r="D91" s="1">
        <v>44084</v>
      </c>
      <c r="E91" t="s">
        <v>66</v>
      </c>
      <c r="F91" t="s">
        <v>93</v>
      </c>
      <c r="G91" t="s">
        <v>337</v>
      </c>
      <c r="H91" t="s">
        <v>148</v>
      </c>
      <c r="I91" t="s">
        <v>612</v>
      </c>
      <c r="J91" t="s">
        <v>38</v>
      </c>
      <c r="K91" t="s">
        <v>97</v>
      </c>
      <c r="L91" t="s">
        <v>613</v>
      </c>
      <c r="M91">
        <v>260.93</v>
      </c>
      <c r="N91">
        <v>54</v>
      </c>
      <c r="O91" t="s">
        <v>614</v>
      </c>
      <c r="P91" t="s">
        <v>142</v>
      </c>
      <c r="Q91" t="s">
        <v>290</v>
      </c>
      <c r="R91" t="s">
        <v>61</v>
      </c>
      <c r="S91" t="s">
        <v>45</v>
      </c>
      <c r="T91" t="s">
        <v>422</v>
      </c>
      <c r="U91">
        <v>1922</v>
      </c>
      <c r="V91">
        <v>247</v>
      </c>
      <c r="W91">
        <v>18</v>
      </c>
      <c r="X91">
        <v>250.84</v>
      </c>
      <c r="Y91">
        <v>235.61</v>
      </c>
      <c r="Z91">
        <v>486.45</v>
      </c>
      <c r="AA91" t="s">
        <v>47</v>
      </c>
      <c r="AB91">
        <v>4</v>
      </c>
      <c r="AC91">
        <v>85.03</v>
      </c>
      <c r="AD91">
        <v>199</v>
      </c>
      <c r="AE91">
        <v>247</v>
      </c>
    </row>
    <row r="92" spans="1:31" x14ac:dyDescent="0.25">
      <c r="A92" t="s">
        <v>615</v>
      </c>
      <c r="B92" t="s">
        <v>616</v>
      </c>
      <c r="C92" s="1">
        <v>45217</v>
      </c>
      <c r="D92" s="1">
        <v>45594</v>
      </c>
      <c r="E92" t="s">
        <v>66</v>
      </c>
      <c r="F92" t="s">
        <v>34</v>
      </c>
      <c r="G92" t="s">
        <v>79</v>
      </c>
      <c r="H92" t="s">
        <v>36</v>
      </c>
      <c r="I92" t="s">
        <v>617</v>
      </c>
      <c r="J92" t="s">
        <v>96</v>
      </c>
      <c r="K92" t="s">
        <v>83</v>
      </c>
      <c r="L92" t="s">
        <v>618</v>
      </c>
      <c r="M92">
        <v>131.12</v>
      </c>
      <c r="N92">
        <v>19</v>
      </c>
      <c r="O92" t="s">
        <v>619</v>
      </c>
      <c r="P92" t="s">
        <v>142</v>
      </c>
      <c r="Q92" t="s">
        <v>322</v>
      </c>
      <c r="R92" t="s">
        <v>44</v>
      </c>
      <c r="S92" t="s">
        <v>45</v>
      </c>
      <c r="T92" t="s">
        <v>183</v>
      </c>
      <c r="U92">
        <v>981</v>
      </c>
      <c r="V92">
        <v>383</v>
      </c>
      <c r="W92">
        <v>19</v>
      </c>
      <c r="X92">
        <v>499.6</v>
      </c>
      <c r="Y92">
        <v>298.77</v>
      </c>
      <c r="Z92">
        <v>798.37</v>
      </c>
      <c r="AA92" t="s">
        <v>63</v>
      </c>
      <c r="AB92">
        <v>0</v>
      </c>
      <c r="AC92">
        <v>93.08</v>
      </c>
      <c r="AD92">
        <v>290</v>
      </c>
      <c r="AE92">
        <v>292</v>
      </c>
    </row>
    <row r="93" spans="1:31" x14ac:dyDescent="0.25">
      <c r="A93" t="s">
        <v>620</v>
      </c>
      <c r="B93" t="s">
        <v>621</v>
      </c>
      <c r="C93" s="1">
        <v>44781</v>
      </c>
      <c r="D93" s="1">
        <v>44998</v>
      </c>
      <c r="E93" t="s">
        <v>66</v>
      </c>
      <c r="F93" t="s">
        <v>93</v>
      </c>
      <c r="G93" t="s">
        <v>67</v>
      </c>
      <c r="H93" t="s">
        <v>148</v>
      </c>
      <c r="I93" t="s">
        <v>622</v>
      </c>
      <c r="J93" t="s">
        <v>82</v>
      </c>
      <c r="K93" t="s">
        <v>70</v>
      </c>
      <c r="L93" t="s">
        <v>623</v>
      </c>
      <c r="M93">
        <v>344.87</v>
      </c>
      <c r="N93">
        <v>64</v>
      </c>
      <c r="O93" t="s">
        <v>624</v>
      </c>
      <c r="P93" t="s">
        <v>142</v>
      </c>
      <c r="Q93" t="s">
        <v>315</v>
      </c>
      <c r="R93" t="s">
        <v>88</v>
      </c>
      <c r="S93" t="s">
        <v>101</v>
      </c>
      <c r="T93" t="s">
        <v>625</v>
      </c>
      <c r="U93">
        <v>573</v>
      </c>
      <c r="V93">
        <v>266</v>
      </c>
      <c r="W93">
        <v>22</v>
      </c>
      <c r="X93">
        <v>911.46</v>
      </c>
      <c r="Y93">
        <v>432.92</v>
      </c>
      <c r="Z93">
        <v>1344.38</v>
      </c>
      <c r="AA93" t="s">
        <v>63</v>
      </c>
      <c r="AB93">
        <v>0</v>
      </c>
      <c r="AC93">
        <v>71.239999999999995</v>
      </c>
      <c r="AD93">
        <v>182</v>
      </c>
      <c r="AE93">
        <v>139</v>
      </c>
    </row>
    <row r="94" spans="1:31" x14ac:dyDescent="0.25">
      <c r="A94" t="s">
        <v>626</v>
      </c>
      <c r="B94" t="s">
        <v>627</v>
      </c>
      <c r="C94" s="1">
        <v>43835</v>
      </c>
      <c r="D94" s="1">
        <v>45421</v>
      </c>
      <c r="E94" t="s">
        <v>66</v>
      </c>
      <c r="F94" t="s">
        <v>51</v>
      </c>
      <c r="G94" t="s">
        <v>79</v>
      </c>
      <c r="H94" t="s">
        <v>36</v>
      </c>
      <c r="I94" t="s">
        <v>628</v>
      </c>
      <c r="J94" t="s">
        <v>96</v>
      </c>
      <c r="K94" t="s">
        <v>97</v>
      </c>
      <c r="L94" t="s">
        <v>629</v>
      </c>
      <c r="M94">
        <v>480.26</v>
      </c>
      <c r="N94">
        <v>49</v>
      </c>
      <c r="O94" t="s">
        <v>630</v>
      </c>
      <c r="P94" t="s">
        <v>110</v>
      </c>
      <c r="Q94" t="s">
        <v>428</v>
      </c>
      <c r="R94" t="s">
        <v>61</v>
      </c>
      <c r="S94" t="s">
        <v>89</v>
      </c>
      <c r="T94" t="s">
        <v>303</v>
      </c>
      <c r="U94">
        <v>19</v>
      </c>
      <c r="V94">
        <v>294</v>
      </c>
      <c r="W94">
        <v>13</v>
      </c>
      <c r="X94">
        <v>1232.99</v>
      </c>
      <c r="Y94">
        <v>204.09</v>
      </c>
      <c r="Z94">
        <v>1437.08</v>
      </c>
      <c r="AA94" t="s">
        <v>63</v>
      </c>
      <c r="AB94">
        <v>0</v>
      </c>
      <c r="AC94">
        <v>79.959999999999994</v>
      </c>
      <c r="AD94">
        <v>159</v>
      </c>
      <c r="AE94">
        <v>201</v>
      </c>
    </row>
    <row r="95" spans="1:31" x14ac:dyDescent="0.25">
      <c r="A95" t="s">
        <v>631</v>
      </c>
      <c r="B95" t="s">
        <v>632</v>
      </c>
      <c r="C95" s="1">
        <v>44735</v>
      </c>
      <c r="D95" s="1">
        <v>44728</v>
      </c>
      <c r="E95" t="s">
        <v>66</v>
      </c>
      <c r="F95" t="s">
        <v>51</v>
      </c>
      <c r="G95" t="s">
        <v>94</v>
      </c>
      <c r="H95" t="s">
        <v>218</v>
      </c>
      <c r="I95" t="s">
        <v>633</v>
      </c>
      <c r="J95" t="s">
        <v>96</v>
      </c>
      <c r="K95" t="s">
        <v>70</v>
      </c>
      <c r="L95" t="s">
        <v>634</v>
      </c>
      <c r="M95">
        <v>396.85</v>
      </c>
      <c r="N95">
        <v>11</v>
      </c>
      <c r="O95" t="s">
        <v>635</v>
      </c>
      <c r="P95" t="s">
        <v>59</v>
      </c>
      <c r="Q95" t="s">
        <v>73</v>
      </c>
      <c r="R95" t="s">
        <v>61</v>
      </c>
      <c r="S95" t="s">
        <v>101</v>
      </c>
      <c r="T95" t="s">
        <v>636</v>
      </c>
      <c r="U95">
        <v>4611</v>
      </c>
      <c r="V95">
        <v>314</v>
      </c>
      <c r="W95">
        <v>9</v>
      </c>
      <c r="X95">
        <v>447.65</v>
      </c>
      <c r="Y95">
        <v>407.79</v>
      </c>
      <c r="Z95">
        <v>855.44</v>
      </c>
      <c r="AA95" t="s">
        <v>63</v>
      </c>
      <c r="AB95">
        <v>0</v>
      </c>
      <c r="AC95">
        <v>78.97</v>
      </c>
      <c r="AD95">
        <v>326</v>
      </c>
      <c r="AE95">
        <v>359</v>
      </c>
    </row>
    <row r="96" spans="1:31" x14ac:dyDescent="0.25">
      <c r="A96" t="s">
        <v>637</v>
      </c>
      <c r="B96" t="s">
        <v>638</v>
      </c>
      <c r="C96" s="1">
        <v>43982</v>
      </c>
      <c r="D96" s="1">
        <v>44594</v>
      </c>
      <c r="E96" t="s">
        <v>66</v>
      </c>
      <c r="F96" t="s">
        <v>34</v>
      </c>
      <c r="G96" t="s">
        <v>52</v>
      </c>
      <c r="H96" t="s">
        <v>80</v>
      </c>
      <c r="I96" t="s">
        <v>639</v>
      </c>
      <c r="J96" t="s">
        <v>107</v>
      </c>
      <c r="K96" t="s">
        <v>56</v>
      </c>
      <c r="L96" t="s">
        <v>640</v>
      </c>
      <c r="M96">
        <v>202.73</v>
      </c>
      <c r="N96">
        <v>60</v>
      </c>
      <c r="O96" t="s">
        <v>641</v>
      </c>
      <c r="P96" t="s">
        <v>110</v>
      </c>
      <c r="Q96" t="s">
        <v>234</v>
      </c>
      <c r="R96" t="s">
        <v>44</v>
      </c>
      <c r="S96" t="s">
        <v>45</v>
      </c>
      <c r="T96" t="s">
        <v>642</v>
      </c>
      <c r="U96">
        <v>3869</v>
      </c>
      <c r="V96">
        <v>326</v>
      </c>
      <c r="W96">
        <v>16</v>
      </c>
      <c r="X96">
        <v>136.93</v>
      </c>
      <c r="Y96">
        <v>71.87</v>
      </c>
      <c r="Z96">
        <v>208.8</v>
      </c>
      <c r="AA96" t="s">
        <v>63</v>
      </c>
      <c r="AB96">
        <v>0</v>
      </c>
      <c r="AC96">
        <v>84.22</v>
      </c>
      <c r="AD96">
        <v>134</v>
      </c>
      <c r="AE96">
        <v>150</v>
      </c>
    </row>
    <row r="97" spans="1:31" x14ac:dyDescent="0.25">
      <c r="A97" t="s">
        <v>643</v>
      </c>
      <c r="B97" t="s">
        <v>644</v>
      </c>
      <c r="C97" s="1">
        <v>43995</v>
      </c>
      <c r="D97" s="1">
        <v>44397</v>
      </c>
      <c r="E97" t="s">
        <v>66</v>
      </c>
      <c r="F97" t="s">
        <v>51</v>
      </c>
      <c r="G97" t="s">
        <v>105</v>
      </c>
      <c r="H97" t="s">
        <v>53</v>
      </c>
      <c r="I97" t="s">
        <v>645</v>
      </c>
      <c r="J97" t="s">
        <v>38</v>
      </c>
      <c r="K97" t="s">
        <v>83</v>
      </c>
      <c r="L97" t="s">
        <v>646</v>
      </c>
      <c r="M97">
        <v>299.20999999999998</v>
      </c>
      <c r="N97">
        <v>6</v>
      </c>
      <c r="O97" t="s">
        <v>647</v>
      </c>
      <c r="P97" t="s">
        <v>110</v>
      </c>
      <c r="Q97" t="s">
        <v>558</v>
      </c>
      <c r="R97" t="s">
        <v>88</v>
      </c>
      <c r="S97" t="s">
        <v>128</v>
      </c>
      <c r="T97" t="s">
        <v>530</v>
      </c>
      <c r="U97">
        <v>1359</v>
      </c>
      <c r="V97">
        <v>492</v>
      </c>
      <c r="W97">
        <v>19</v>
      </c>
      <c r="X97">
        <v>990.92</v>
      </c>
      <c r="Y97">
        <v>227.18</v>
      </c>
      <c r="Z97">
        <v>1218.0999999999999</v>
      </c>
      <c r="AA97" t="s">
        <v>63</v>
      </c>
      <c r="AB97">
        <v>0</v>
      </c>
      <c r="AC97">
        <v>95.45</v>
      </c>
      <c r="AD97">
        <v>383</v>
      </c>
      <c r="AE97">
        <v>368</v>
      </c>
    </row>
    <row r="98" spans="1:31" x14ac:dyDescent="0.25">
      <c r="A98" t="s">
        <v>648</v>
      </c>
      <c r="B98" t="s">
        <v>649</v>
      </c>
      <c r="C98" s="1">
        <v>45004</v>
      </c>
      <c r="D98" s="1">
        <v>44016</v>
      </c>
      <c r="E98" t="s">
        <v>66</v>
      </c>
      <c r="F98" t="s">
        <v>78</v>
      </c>
      <c r="G98" t="s">
        <v>67</v>
      </c>
      <c r="H98" t="s">
        <v>116</v>
      </c>
      <c r="I98" t="s">
        <v>650</v>
      </c>
      <c r="J98" t="s">
        <v>96</v>
      </c>
      <c r="K98" t="s">
        <v>39</v>
      </c>
      <c r="L98" t="s">
        <v>651</v>
      </c>
      <c r="M98">
        <v>384.51</v>
      </c>
      <c r="N98">
        <v>4</v>
      </c>
      <c r="O98" t="s">
        <v>174</v>
      </c>
      <c r="P98" t="s">
        <v>59</v>
      </c>
      <c r="Q98" t="s">
        <v>529</v>
      </c>
      <c r="R98" t="s">
        <v>61</v>
      </c>
      <c r="S98" t="s">
        <v>45</v>
      </c>
      <c r="T98" t="s">
        <v>652</v>
      </c>
      <c r="U98">
        <v>3902</v>
      </c>
      <c r="V98">
        <v>428</v>
      </c>
      <c r="W98">
        <v>12</v>
      </c>
      <c r="X98">
        <v>1950.62</v>
      </c>
      <c r="Y98">
        <v>262.37</v>
      </c>
      <c r="Z98">
        <v>2212.9899999999998</v>
      </c>
      <c r="AA98" t="s">
        <v>47</v>
      </c>
      <c r="AB98">
        <v>5</v>
      </c>
      <c r="AC98">
        <v>86.75</v>
      </c>
      <c r="AD98">
        <v>241</v>
      </c>
      <c r="AE98">
        <v>281</v>
      </c>
    </row>
    <row r="99" spans="1:31" x14ac:dyDescent="0.25">
      <c r="A99" t="s">
        <v>653</v>
      </c>
      <c r="B99" t="s">
        <v>654</v>
      </c>
      <c r="C99" s="1">
        <v>44279</v>
      </c>
      <c r="D99" s="1">
        <v>45011</v>
      </c>
      <c r="E99" t="s">
        <v>66</v>
      </c>
      <c r="F99" t="s">
        <v>78</v>
      </c>
      <c r="G99" t="s">
        <v>115</v>
      </c>
      <c r="H99" t="s">
        <v>164</v>
      </c>
      <c r="I99" t="s">
        <v>655</v>
      </c>
      <c r="J99" t="s">
        <v>96</v>
      </c>
      <c r="K99" t="s">
        <v>83</v>
      </c>
      <c r="L99" t="s">
        <v>656</v>
      </c>
      <c r="M99">
        <v>257.55</v>
      </c>
      <c r="N99">
        <v>98</v>
      </c>
      <c r="O99" t="s">
        <v>657</v>
      </c>
      <c r="P99" t="s">
        <v>86</v>
      </c>
      <c r="Q99" t="s">
        <v>364</v>
      </c>
      <c r="R99" t="s">
        <v>153</v>
      </c>
      <c r="S99" t="s">
        <v>101</v>
      </c>
      <c r="T99" t="s">
        <v>121</v>
      </c>
      <c r="U99">
        <v>1335</v>
      </c>
      <c r="V99">
        <v>465</v>
      </c>
      <c r="W99">
        <v>17</v>
      </c>
      <c r="X99">
        <v>1186.31</v>
      </c>
      <c r="Y99">
        <v>225.66</v>
      </c>
      <c r="Z99">
        <v>1411.97</v>
      </c>
      <c r="AA99" t="s">
        <v>63</v>
      </c>
      <c r="AB99">
        <v>0</v>
      </c>
      <c r="AC99">
        <v>72.88</v>
      </c>
      <c r="AD99">
        <v>53</v>
      </c>
      <c r="AE99">
        <v>45</v>
      </c>
    </row>
    <row r="100" spans="1:31" x14ac:dyDescent="0.25">
      <c r="A100" t="s">
        <v>658</v>
      </c>
      <c r="B100" t="s">
        <v>659</v>
      </c>
      <c r="C100" s="1">
        <v>44070</v>
      </c>
      <c r="D100" s="1">
        <v>45566</v>
      </c>
      <c r="E100" t="s">
        <v>66</v>
      </c>
      <c r="F100" t="s">
        <v>78</v>
      </c>
      <c r="G100" t="s">
        <v>35</v>
      </c>
      <c r="H100" t="s">
        <v>68</v>
      </c>
      <c r="I100" t="s">
        <v>660</v>
      </c>
      <c r="J100" t="s">
        <v>55</v>
      </c>
      <c r="K100" t="s">
        <v>56</v>
      </c>
      <c r="L100" t="s">
        <v>661</v>
      </c>
      <c r="M100">
        <v>343.74</v>
      </c>
      <c r="N100">
        <v>80</v>
      </c>
      <c r="O100" t="s">
        <v>662</v>
      </c>
      <c r="P100" t="s">
        <v>59</v>
      </c>
      <c r="Q100" t="s">
        <v>322</v>
      </c>
      <c r="R100" t="s">
        <v>61</v>
      </c>
      <c r="S100" t="s">
        <v>74</v>
      </c>
      <c r="T100" t="s">
        <v>422</v>
      </c>
      <c r="U100">
        <v>3407</v>
      </c>
      <c r="V100">
        <v>254</v>
      </c>
      <c r="W100">
        <v>11</v>
      </c>
      <c r="X100">
        <v>1259.18</v>
      </c>
      <c r="Y100">
        <v>159.79</v>
      </c>
      <c r="Z100">
        <v>1418.97</v>
      </c>
      <c r="AA100" t="s">
        <v>63</v>
      </c>
      <c r="AB100">
        <v>0</v>
      </c>
      <c r="AC100">
        <v>83.31</v>
      </c>
      <c r="AD100">
        <v>127</v>
      </c>
      <c r="AE100">
        <v>137</v>
      </c>
    </row>
    <row r="101" spans="1:31" x14ac:dyDescent="0.25">
      <c r="A101" t="s">
        <v>663</v>
      </c>
      <c r="B101" t="s">
        <v>664</v>
      </c>
      <c r="C101" s="1">
        <v>45281</v>
      </c>
      <c r="D101" s="1">
        <v>43927</v>
      </c>
      <c r="E101" t="s">
        <v>50</v>
      </c>
      <c r="F101" t="s">
        <v>78</v>
      </c>
      <c r="G101" t="s">
        <v>35</v>
      </c>
      <c r="H101" t="s">
        <v>36</v>
      </c>
      <c r="I101" t="s">
        <v>665</v>
      </c>
      <c r="J101" t="s">
        <v>55</v>
      </c>
      <c r="K101" t="s">
        <v>83</v>
      </c>
      <c r="L101" t="s">
        <v>666</v>
      </c>
      <c r="M101">
        <v>49.63</v>
      </c>
      <c r="N101">
        <v>54</v>
      </c>
      <c r="O101" t="s">
        <v>667</v>
      </c>
      <c r="P101" t="s">
        <v>110</v>
      </c>
      <c r="Q101" t="s">
        <v>371</v>
      </c>
      <c r="R101" t="s">
        <v>61</v>
      </c>
      <c r="S101" t="s">
        <v>45</v>
      </c>
      <c r="T101" t="s">
        <v>297</v>
      </c>
      <c r="U101">
        <v>4208</v>
      </c>
      <c r="V101">
        <v>227</v>
      </c>
      <c r="W101">
        <v>8</v>
      </c>
      <c r="X101">
        <v>1611.64</v>
      </c>
      <c r="Y101">
        <v>298.77999999999997</v>
      </c>
      <c r="Z101">
        <v>1910.42</v>
      </c>
      <c r="AA101" t="s">
        <v>47</v>
      </c>
      <c r="AB101">
        <v>9</v>
      </c>
      <c r="AC101">
        <v>92.49</v>
      </c>
      <c r="AD101">
        <v>182</v>
      </c>
      <c r="AE101">
        <v>195</v>
      </c>
    </row>
    <row r="102" spans="1:31" x14ac:dyDescent="0.25">
      <c r="A102" t="s">
        <v>668</v>
      </c>
      <c r="B102" t="s">
        <v>669</v>
      </c>
      <c r="C102" s="1">
        <v>44703</v>
      </c>
      <c r="D102" s="1">
        <v>45112</v>
      </c>
      <c r="E102" t="s">
        <v>50</v>
      </c>
      <c r="F102" t="s">
        <v>147</v>
      </c>
      <c r="G102" t="s">
        <v>94</v>
      </c>
      <c r="H102" t="s">
        <v>68</v>
      </c>
      <c r="I102" t="s">
        <v>670</v>
      </c>
      <c r="J102" t="s">
        <v>38</v>
      </c>
      <c r="K102" t="s">
        <v>83</v>
      </c>
      <c r="L102" t="s">
        <v>671</v>
      </c>
      <c r="M102">
        <v>217.4</v>
      </c>
      <c r="N102">
        <v>52</v>
      </c>
      <c r="O102" t="s">
        <v>672</v>
      </c>
      <c r="P102" t="s">
        <v>110</v>
      </c>
      <c r="Q102" t="s">
        <v>234</v>
      </c>
      <c r="R102" t="s">
        <v>61</v>
      </c>
      <c r="S102" t="s">
        <v>101</v>
      </c>
      <c r="T102" t="s">
        <v>673</v>
      </c>
      <c r="U102">
        <v>3788</v>
      </c>
      <c r="V102">
        <v>271</v>
      </c>
      <c r="W102">
        <v>18</v>
      </c>
      <c r="X102">
        <v>142.26</v>
      </c>
      <c r="Y102">
        <v>414.86</v>
      </c>
      <c r="Z102">
        <v>557.12</v>
      </c>
      <c r="AA102" t="s">
        <v>63</v>
      </c>
      <c r="AB102">
        <v>0</v>
      </c>
      <c r="AC102">
        <v>70.540000000000006</v>
      </c>
      <c r="AD102">
        <v>488</v>
      </c>
      <c r="AE102">
        <v>516</v>
      </c>
    </row>
    <row r="103" spans="1:31" x14ac:dyDescent="0.25">
      <c r="A103" t="s">
        <v>674</v>
      </c>
      <c r="B103" t="s">
        <v>675</v>
      </c>
      <c r="C103" s="1">
        <v>43844</v>
      </c>
      <c r="D103" s="1">
        <v>44093</v>
      </c>
      <c r="E103" t="s">
        <v>50</v>
      </c>
      <c r="F103" t="s">
        <v>147</v>
      </c>
      <c r="G103" t="s">
        <v>94</v>
      </c>
      <c r="H103" t="s">
        <v>53</v>
      </c>
      <c r="I103" t="s">
        <v>676</v>
      </c>
      <c r="J103" t="s">
        <v>38</v>
      </c>
      <c r="K103" t="s">
        <v>97</v>
      </c>
      <c r="L103" t="s">
        <v>677</v>
      </c>
      <c r="M103">
        <v>156.72999999999999</v>
      </c>
      <c r="N103">
        <v>9</v>
      </c>
      <c r="O103" t="s">
        <v>678</v>
      </c>
      <c r="P103" t="s">
        <v>86</v>
      </c>
      <c r="Q103" t="s">
        <v>214</v>
      </c>
      <c r="R103" t="s">
        <v>153</v>
      </c>
      <c r="S103" t="s">
        <v>89</v>
      </c>
      <c r="T103" t="s">
        <v>316</v>
      </c>
      <c r="U103">
        <v>4586</v>
      </c>
      <c r="V103">
        <v>75</v>
      </c>
      <c r="W103">
        <v>15</v>
      </c>
      <c r="X103">
        <v>1947.99</v>
      </c>
      <c r="Y103">
        <v>369.69</v>
      </c>
      <c r="Z103">
        <v>2317.6799999999998</v>
      </c>
      <c r="AA103" t="s">
        <v>63</v>
      </c>
      <c r="AB103">
        <v>0</v>
      </c>
      <c r="AC103">
        <v>86.63</v>
      </c>
      <c r="AD103">
        <v>433</v>
      </c>
      <c r="AE103">
        <v>422</v>
      </c>
    </row>
    <row r="104" spans="1:31" x14ac:dyDescent="0.25">
      <c r="A104" t="s">
        <v>679</v>
      </c>
      <c r="B104" t="s">
        <v>680</v>
      </c>
      <c r="C104" s="1">
        <v>44641</v>
      </c>
      <c r="D104" s="1">
        <v>44413</v>
      </c>
      <c r="E104" t="s">
        <v>66</v>
      </c>
      <c r="F104" t="s">
        <v>147</v>
      </c>
      <c r="G104" t="s">
        <v>105</v>
      </c>
      <c r="H104" t="s">
        <v>164</v>
      </c>
      <c r="I104" t="s">
        <v>681</v>
      </c>
      <c r="J104" t="s">
        <v>55</v>
      </c>
      <c r="K104" t="s">
        <v>97</v>
      </c>
      <c r="L104" t="s">
        <v>682</v>
      </c>
      <c r="M104">
        <v>209.52</v>
      </c>
      <c r="N104">
        <v>89</v>
      </c>
      <c r="O104" t="s">
        <v>683</v>
      </c>
      <c r="P104" t="s">
        <v>59</v>
      </c>
      <c r="Q104" t="s">
        <v>684</v>
      </c>
      <c r="R104" t="s">
        <v>61</v>
      </c>
      <c r="S104" t="s">
        <v>89</v>
      </c>
      <c r="T104" t="s">
        <v>262</v>
      </c>
      <c r="U104">
        <v>3490</v>
      </c>
      <c r="V104">
        <v>147</v>
      </c>
      <c r="W104">
        <v>21</v>
      </c>
      <c r="X104">
        <v>279.87</v>
      </c>
      <c r="Y104">
        <v>299.02999999999997</v>
      </c>
      <c r="Z104">
        <v>578.9</v>
      </c>
      <c r="AA104" t="s">
        <v>63</v>
      </c>
      <c r="AB104">
        <v>0</v>
      </c>
      <c r="AC104">
        <v>71.27</v>
      </c>
      <c r="AD104">
        <v>497</v>
      </c>
      <c r="AE104">
        <v>517</v>
      </c>
    </row>
    <row r="105" spans="1:31" x14ac:dyDescent="0.25">
      <c r="A105" t="s">
        <v>685</v>
      </c>
      <c r="B105" t="s">
        <v>686</v>
      </c>
      <c r="C105" s="1">
        <v>44510</v>
      </c>
      <c r="D105" s="1">
        <v>44134</v>
      </c>
      <c r="E105" t="s">
        <v>50</v>
      </c>
      <c r="F105" t="s">
        <v>93</v>
      </c>
      <c r="G105" t="s">
        <v>67</v>
      </c>
      <c r="H105" t="s">
        <v>148</v>
      </c>
      <c r="I105" t="s">
        <v>687</v>
      </c>
      <c r="J105" t="s">
        <v>55</v>
      </c>
      <c r="K105" t="s">
        <v>56</v>
      </c>
      <c r="L105" t="s">
        <v>688</v>
      </c>
      <c r="M105">
        <v>104.74</v>
      </c>
      <c r="N105">
        <v>35</v>
      </c>
      <c r="O105" t="s">
        <v>689</v>
      </c>
      <c r="P105" t="s">
        <v>142</v>
      </c>
      <c r="Q105" t="s">
        <v>152</v>
      </c>
      <c r="R105" t="s">
        <v>44</v>
      </c>
      <c r="S105" t="s">
        <v>128</v>
      </c>
      <c r="T105" t="s">
        <v>353</v>
      </c>
      <c r="U105">
        <v>670</v>
      </c>
      <c r="V105">
        <v>115</v>
      </c>
      <c r="W105">
        <v>17</v>
      </c>
      <c r="X105">
        <v>1865.24</v>
      </c>
      <c r="Y105">
        <v>376.87</v>
      </c>
      <c r="Z105">
        <v>2242.11</v>
      </c>
      <c r="AA105" t="s">
        <v>47</v>
      </c>
      <c r="AB105">
        <v>11</v>
      </c>
      <c r="AC105">
        <v>96.13</v>
      </c>
      <c r="AD105">
        <v>106</v>
      </c>
      <c r="AE105">
        <v>112</v>
      </c>
    </row>
    <row r="106" spans="1:31" x14ac:dyDescent="0.25">
      <c r="A106" t="s">
        <v>690</v>
      </c>
      <c r="B106" t="s">
        <v>691</v>
      </c>
      <c r="C106" s="1">
        <v>44912</v>
      </c>
      <c r="D106" s="1">
        <v>44221</v>
      </c>
      <c r="E106" t="s">
        <v>50</v>
      </c>
      <c r="F106" t="s">
        <v>78</v>
      </c>
      <c r="G106" t="s">
        <v>67</v>
      </c>
      <c r="H106" t="s">
        <v>164</v>
      </c>
      <c r="I106" t="s">
        <v>692</v>
      </c>
      <c r="J106" t="s">
        <v>38</v>
      </c>
      <c r="K106" t="s">
        <v>83</v>
      </c>
      <c r="L106" t="s">
        <v>693</v>
      </c>
      <c r="M106">
        <v>390.23</v>
      </c>
      <c r="N106">
        <v>1</v>
      </c>
      <c r="O106" t="s">
        <v>694</v>
      </c>
      <c r="P106" t="s">
        <v>86</v>
      </c>
      <c r="Q106" t="s">
        <v>202</v>
      </c>
      <c r="R106" t="s">
        <v>153</v>
      </c>
      <c r="S106" t="s">
        <v>89</v>
      </c>
      <c r="T106" t="s">
        <v>353</v>
      </c>
      <c r="U106">
        <v>115</v>
      </c>
      <c r="V106">
        <v>255</v>
      </c>
      <c r="W106">
        <v>22</v>
      </c>
      <c r="X106">
        <v>178.97</v>
      </c>
      <c r="Y106">
        <v>485.39</v>
      </c>
      <c r="Z106">
        <v>664.36</v>
      </c>
      <c r="AA106" t="s">
        <v>63</v>
      </c>
      <c r="AB106">
        <v>0</v>
      </c>
      <c r="AC106">
        <v>70.25</v>
      </c>
      <c r="AD106">
        <v>381</v>
      </c>
      <c r="AE106">
        <v>343</v>
      </c>
    </row>
    <row r="107" spans="1:31" x14ac:dyDescent="0.25">
      <c r="A107" t="s">
        <v>695</v>
      </c>
      <c r="B107" t="s">
        <v>696</v>
      </c>
      <c r="C107" s="1">
        <v>44275</v>
      </c>
      <c r="D107" s="1">
        <v>44072</v>
      </c>
      <c r="E107" t="s">
        <v>50</v>
      </c>
      <c r="F107" t="s">
        <v>147</v>
      </c>
      <c r="G107" t="s">
        <v>94</v>
      </c>
      <c r="H107" t="s">
        <v>68</v>
      </c>
      <c r="I107" t="s">
        <v>697</v>
      </c>
      <c r="J107" t="s">
        <v>55</v>
      </c>
      <c r="K107" t="s">
        <v>56</v>
      </c>
      <c r="L107" t="s">
        <v>698</v>
      </c>
      <c r="M107">
        <v>344.38</v>
      </c>
      <c r="N107">
        <v>33</v>
      </c>
      <c r="O107" t="s">
        <v>699</v>
      </c>
      <c r="P107" t="s">
        <v>42</v>
      </c>
      <c r="Q107" t="s">
        <v>700</v>
      </c>
      <c r="R107" t="s">
        <v>88</v>
      </c>
      <c r="S107" t="s">
        <v>89</v>
      </c>
      <c r="T107" t="s">
        <v>329</v>
      </c>
      <c r="U107">
        <v>4476</v>
      </c>
      <c r="V107">
        <v>428</v>
      </c>
      <c r="W107">
        <v>25</v>
      </c>
      <c r="X107">
        <v>223.51</v>
      </c>
      <c r="Y107">
        <v>23.44</v>
      </c>
      <c r="Z107">
        <v>246.95</v>
      </c>
      <c r="AA107" t="s">
        <v>63</v>
      </c>
      <c r="AB107">
        <v>0</v>
      </c>
      <c r="AC107">
        <v>91.77</v>
      </c>
      <c r="AD107">
        <v>369</v>
      </c>
      <c r="AE107">
        <v>386</v>
      </c>
    </row>
    <row r="108" spans="1:31" x14ac:dyDescent="0.25">
      <c r="A108" t="s">
        <v>701</v>
      </c>
      <c r="B108" t="s">
        <v>702</v>
      </c>
      <c r="C108" s="1">
        <v>45009</v>
      </c>
      <c r="D108" s="1">
        <v>44205</v>
      </c>
      <c r="E108" t="s">
        <v>66</v>
      </c>
      <c r="F108" t="s">
        <v>147</v>
      </c>
      <c r="G108" t="s">
        <v>52</v>
      </c>
      <c r="H108" t="s">
        <v>218</v>
      </c>
      <c r="I108" t="s">
        <v>703</v>
      </c>
      <c r="J108" t="s">
        <v>55</v>
      </c>
      <c r="K108" t="s">
        <v>56</v>
      </c>
      <c r="L108" t="s">
        <v>704</v>
      </c>
      <c r="M108">
        <v>386.66</v>
      </c>
      <c r="N108">
        <v>15</v>
      </c>
      <c r="O108" t="s">
        <v>705</v>
      </c>
      <c r="P108" t="s">
        <v>142</v>
      </c>
      <c r="Q108" t="s">
        <v>706</v>
      </c>
      <c r="R108" t="s">
        <v>61</v>
      </c>
      <c r="S108" t="s">
        <v>128</v>
      </c>
      <c r="T108" t="s">
        <v>365</v>
      </c>
      <c r="U108">
        <v>247</v>
      </c>
      <c r="V108">
        <v>109</v>
      </c>
      <c r="W108">
        <v>27</v>
      </c>
      <c r="X108">
        <v>1838.77</v>
      </c>
      <c r="Y108">
        <v>322.49</v>
      </c>
      <c r="Z108">
        <v>2161.2600000000002</v>
      </c>
      <c r="AA108" t="s">
        <v>63</v>
      </c>
      <c r="AB108">
        <v>0</v>
      </c>
      <c r="AC108">
        <v>97.31</v>
      </c>
      <c r="AD108">
        <v>67</v>
      </c>
      <c r="AE108">
        <v>62</v>
      </c>
    </row>
    <row r="109" spans="1:31" x14ac:dyDescent="0.25">
      <c r="A109" t="s">
        <v>707</v>
      </c>
      <c r="B109" t="s">
        <v>708</v>
      </c>
      <c r="C109" s="1">
        <v>44643</v>
      </c>
      <c r="D109" s="1">
        <v>44101</v>
      </c>
      <c r="E109" t="s">
        <v>66</v>
      </c>
      <c r="F109" t="s">
        <v>51</v>
      </c>
      <c r="G109" t="s">
        <v>35</v>
      </c>
      <c r="H109" t="s">
        <v>116</v>
      </c>
      <c r="I109" t="s">
        <v>709</v>
      </c>
      <c r="J109" t="s">
        <v>55</v>
      </c>
      <c r="K109" t="s">
        <v>97</v>
      </c>
      <c r="L109" t="s">
        <v>710</v>
      </c>
      <c r="M109">
        <v>368.24</v>
      </c>
      <c r="N109">
        <v>71</v>
      </c>
      <c r="O109" t="s">
        <v>711</v>
      </c>
      <c r="P109" t="s">
        <v>86</v>
      </c>
      <c r="Q109" t="s">
        <v>461</v>
      </c>
      <c r="R109" t="s">
        <v>153</v>
      </c>
      <c r="S109" t="s">
        <v>101</v>
      </c>
      <c r="T109" t="s">
        <v>467</v>
      </c>
      <c r="U109">
        <v>4821</v>
      </c>
      <c r="V109">
        <v>406</v>
      </c>
      <c r="W109">
        <v>12</v>
      </c>
      <c r="X109">
        <v>638.46</v>
      </c>
      <c r="Y109">
        <v>439.14</v>
      </c>
      <c r="Z109">
        <v>1077.5999999999999</v>
      </c>
      <c r="AA109" t="s">
        <v>63</v>
      </c>
      <c r="AB109">
        <v>0</v>
      </c>
      <c r="AC109">
        <v>90.38</v>
      </c>
      <c r="AD109">
        <v>67</v>
      </c>
      <c r="AE109">
        <v>80</v>
      </c>
    </row>
    <row r="110" spans="1:31" x14ac:dyDescent="0.25">
      <c r="A110" t="s">
        <v>712</v>
      </c>
      <c r="B110" t="s">
        <v>713</v>
      </c>
      <c r="C110" s="1">
        <v>44419</v>
      </c>
      <c r="D110" s="1">
        <v>44345</v>
      </c>
      <c r="E110" t="s">
        <v>66</v>
      </c>
      <c r="F110" t="s">
        <v>34</v>
      </c>
      <c r="G110" t="s">
        <v>337</v>
      </c>
      <c r="H110" t="s">
        <v>218</v>
      </c>
      <c r="I110" t="s">
        <v>714</v>
      </c>
      <c r="J110" t="s">
        <v>82</v>
      </c>
      <c r="K110" t="s">
        <v>70</v>
      </c>
      <c r="L110" t="s">
        <v>715</v>
      </c>
      <c r="M110">
        <v>90.27</v>
      </c>
      <c r="N110">
        <v>98</v>
      </c>
      <c r="O110" t="s">
        <v>716</v>
      </c>
      <c r="P110" t="s">
        <v>142</v>
      </c>
      <c r="Q110" t="s">
        <v>120</v>
      </c>
      <c r="R110" t="s">
        <v>61</v>
      </c>
      <c r="S110" t="s">
        <v>45</v>
      </c>
      <c r="T110" t="s">
        <v>422</v>
      </c>
      <c r="U110">
        <v>2529</v>
      </c>
      <c r="V110">
        <v>370</v>
      </c>
      <c r="W110">
        <v>9</v>
      </c>
      <c r="X110">
        <v>1532.54</v>
      </c>
      <c r="Y110">
        <v>326.29000000000002</v>
      </c>
      <c r="Z110">
        <v>1858.83</v>
      </c>
      <c r="AA110" t="s">
        <v>63</v>
      </c>
      <c r="AB110">
        <v>0</v>
      </c>
      <c r="AC110">
        <v>83.69</v>
      </c>
      <c r="AD110">
        <v>157</v>
      </c>
      <c r="AE110">
        <v>153</v>
      </c>
    </row>
    <row r="111" spans="1:31" x14ac:dyDescent="0.25">
      <c r="A111" t="s">
        <v>717</v>
      </c>
      <c r="B111" t="s">
        <v>718</v>
      </c>
      <c r="C111" s="1">
        <v>45511</v>
      </c>
      <c r="D111" s="1">
        <v>45017</v>
      </c>
      <c r="E111" t="s">
        <v>66</v>
      </c>
      <c r="F111" t="s">
        <v>34</v>
      </c>
      <c r="G111" t="s">
        <v>94</v>
      </c>
      <c r="H111" t="s">
        <v>68</v>
      </c>
      <c r="I111" t="s">
        <v>719</v>
      </c>
      <c r="J111" t="s">
        <v>38</v>
      </c>
      <c r="K111" t="s">
        <v>97</v>
      </c>
      <c r="L111" t="s">
        <v>720</v>
      </c>
      <c r="M111">
        <v>61.83</v>
      </c>
      <c r="N111">
        <v>60</v>
      </c>
      <c r="O111" t="s">
        <v>393</v>
      </c>
      <c r="P111" t="s">
        <v>59</v>
      </c>
      <c r="Q111" t="s">
        <v>175</v>
      </c>
      <c r="R111" t="s">
        <v>153</v>
      </c>
      <c r="S111" t="s">
        <v>101</v>
      </c>
      <c r="T111" t="s">
        <v>721</v>
      </c>
      <c r="U111">
        <v>804</v>
      </c>
      <c r="V111">
        <v>137</v>
      </c>
      <c r="W111">
        <v>11</v>
      </c>
      <c r="X111">
        <v>1239.28</v>
      </c>
      <c r="Y111">
        <v>59.25</v>
      </c>
      <c r="Z111">
        <v>1298.53</v>
      </c>
      <c r="AA111" t="s">
        <v>63</v>
      </c>
      <c r="AB111">
        <v>0</v>
      </c>
      <c r="AC111">
        <v>84.49</v>
      </c>
      <c r="AD111">
        <v>348</v>
      </c>
      <c r="AE111">
        <v>390</v>
      </c>
    </row>
    <row r="112" spans="1:31" x14ac:dyDescent="0.25">
      <c r="A112" t="s">
        <v>722</v>
      </c>
      <c r="B112" t="s">
        <v>723</v>
      </c>
      <c r="C112" s="1">
        <v>44529</v>
      </c>
      <c r="D112" s="1">
        <v>44965</v>
      </c>
      <c r="E112" t="s">
        <v>50</v>
      </c>
      <c r="F112" t="s">
        <v>78</v>
      </c>
      <c r="G112" t="s">
        <v>115</v>
      </c>
      <c r="H112" t="s">
        <v>148</v>
      </c>
      <c r="I112" t="s">
        <v>724</v>
      </c>
      <c r="J112" t="s">
        <v>38</v>
      </c>
      <c r="K112" t="s">
        <v>97</v>
      </c>
      <c r="L112" t="s">
        <v>725</v>
      </c>
      <c r="M112">
        <v>310.95</v>
      </c>
      <c r="N112">
        <v>46</v>
      </c>
      <c r="O112" t="s">
        <v>726</v>
      </c>
      <c r="P112" t="s">
        <v>110</v>
      </c>
      <c r="Q112" t="s">
        <v>488</v>
      </c>
      <c r="R112" t="s">
        <v>153</v>
      </c>
      <c r="S112" t="s">
        <v>89</v>
      </c>
      <c r="T112" t="s">
        <v>90</v>
      </c>
      <c r="U112">
        <v>1733</v>
      </c>
      <c r="V112">
        <v>315</v>
      </c>
      <c r="W112">
        <v>5</v>
      </c>
      <c r="X112">
        <v>927.3</v>
      </c>
      <c r="Y112">
        <v>161.94</v>
      </c>
      <c r="Z112">
        <v>1089.24</v>
      </c>
      <c r="AA112" t="s">
        <v>63</v>
      </c>
      <c r="AB112">
        <v>0</v>
      </c>
      <c r="AC112">
        <v>79.069999999999993</v>
      </c>
      <c r="AD112">
        <v>104</v>
      </c>
      <c r="AE112">
        <v>91</v>
      </c>
    </row>
    <row r="113" spans="1:31" x14ac:dyDescent="0.25">
      <c r="A113" t="s">
        <v>727</v>
      </c>
      <c r="B113" t="s">
        <v>728</v>
      </c>
      <c r="C113" s="1">
        <v>45286</v>
      </c>
      <c r="D113" s="1">
        <v>44234</v>
      </c>
      <c r="E113" t="s">
        <v>66</v>
      </c>
      <c r="F113" t="s">
        <v>93</v>
      </c>
      <c r="G113" t="s">
        <v>79</v>
      </c>
      <c r="H113" t="s">
        <v>68</v>
      </c>
      <c r="I113" t="s">
        <v>729</v>
      </c>
      <c r="J113" t="s">
        <v>107</v>
      </c>
      <c r="K113" t="s">
        <v>56</v>
      </c>
      <c r="L113" t="s">
        <v>730</v>
      </c>
      <c r="M113">
        <v>258.52999999999997</v>
      </c>
      <c r="N113">
        <v>53</v>
      </c>
      <c r="O113" t="s">
        <v>731</v>
      </c>
      <c r="P113" t="s">
        <v>59</v>
      </c>
      <c r="Q113" t="s">
        <v>261</v>
      </c>
      <c r="R113" t="s">
        <v>88</v>
      </c>
      <c r="S113" t="s">
        <v>128</v>
      </c>
      <c r="T113" t="s">
        <v>46</v>
      </c>
      <c r="U113">
        <v>2630</v>
      </c>
      <c r="V113">
        <v>320</v>
      </c>
      <c r="W113">
        <v>8</v>
      </c>
      <c r="X113">
        <v>663.06</v>
      </c>
      <c r="Y113">
        <v>41.62</v>
      </c>
      <c r="Z113">
        <v>704.68</v>
      </c>
      <c r="AA113" t="s">
        <v>63</v>
      </c>
      <c r="AB113">
        <v>0</v>
      </c>
      <c r="AC113">
        <v>86.41</v>
      </c>
      <c r="AD113">
        <v>162</v>
      </c>
      <c r="AE113">
        <v>166</v>
      </c>
    </row>
    <row r="114" spans="1:31" x14ac:dyDescent="0.25">
      <c r="A114" t="s">
        <v>732</v>
      </c>
      <c r="B114" t="s">
        <v>733</v>
      </c>
      <c r="C114" s="1">
        <v>45173</v>
      </c>
      <c r="D114" s="1">
        <v>43935</v>
      </c>
      <c r="E114" t="s">
        <v>50</v>
      </c>
      <c r="F114" t="s">
        <v>34</v>
      </c>
      <c r="G114" t="s">
        <v>115</v>
      </c>
      <c r="H114" t="s">
        <v>116</v>
      </c>
      <c r="I114" t="s">
        <v>734</v>
      </c>
      <c r="J114" t="s">
        <v>107</v>
      </c>
      <c r="K114" t="s">
        <v>83</v>
      </c>
      <c r="L114" t="s">
        <v>735</v>
      </c>
      <c r="M114">
        <v>476.17</v>
      </c>
      <c r="N114">
        <v>46</v>
      </c>
      <c r="O114" t="s">
        <v>736</v>
      </c>
      <c r="P114" t="s">
        <v>86</v>
      </c>
      <c r="Q114" t="s">
        <v>514</v>
      </c>
      <c r="R114" t="s">
        <v>61</v>
      </c>
      <c r="S114" t="s">
        <v>101</v>
      </c>
      <c r="T114" t="s">
        <v>737</v>
      </c>
      <c r="U114">
        <v>661</v>
      </c>
      <c r="V114">
        <v>447</v>
      </c>
      <c r="W114">
        <v>29</v>
      </c>
      <c r="X114">
        <v>1143.97</v>
      </c>
      <c r="Y114">
        <v>304.23</v>
      </c>
      <c r="Z114">
        <v>1448.2</v>
      </c>
      <c r="AA114" t="s">
        <v>63</v>
      </c>
      <c r="AB114">
        <v>0</v>
      </c>
      <c r="AC114">
        <v>97.79</v>
      </c>
      <c r="AD114">
        <v>386</v>
      </c>
      <c r="AE114">
        <v>344</v>
      </c>
    </row>
    <row r="115" spans="1:31" x14ac:dyDescent="0.25">
      <c r="A115" t="s">
        <v>738</v>
      </c>
      <c r="B115" t="s">
        <v>739</v>
      </c>
      <c r="C115" s="1">
        <v>44526</v>
      </c>
      <c r="D115" s="1">
        <v>44388</v>
      </c>
      <c r="E115" t="s">
        <v>66</v>
      </c>
      <c r="F115" t="s">
        <v>78</v>
      </c>
      <c r="G115" t="s">
        <v>115</v>
      </c>
      <c r="H115" t="s">
        <v>36</v>
      </c>
      <c r="I115" t="s">
        <v>740</v>
      </c>
      <c r="J115" t="s">
        <v>55</v>
      </c>
      <c r="K115" t="s">
        <v>39</v>
      </c>
      <c r="L115" t="s">
        <v>741</v>
      </c>
      <c r="M115">
        <v>148.63999999999999</v>
      </c>
      <c r="N115">
        <v>30</v>
      </c>
      <c r="O115" t="s">
        <v>742</v>
      </c>
      <c r="P115" t="s">
        <v>42</v>
      </c>
      <c r="Q115" t="s">
        <v>700</v>
      </c>
      <c r="R115" t="s">
        <v>88</v>
      </c>
      <c r="S115" t="s">
        <v>128</v>
      </c>
      <c r="T115" t="s">
        <v>112</v>
      </c>
      <c r="U115">
        <v>3938</v>
      </c>
      <c r="V115">
        <v>284</v>
      </c>
      <c r="W115">
        <v>20</v>
      </c>
      <c r="X115">
        <v>1829.71</v>
      </c>
      <c r="Y115">
        <v>454.91</v>
      </c>
      <c r="Z115">
        <v>2284.62</v>
      </c>
      <c r="AA115" t="s">
        <v>47</v>
      </c>
      <c r="AB115">
        <v>14</v>
      </c>
      <c r="AC115">
        <v>80.959999999999994</v>
      </c>
      <c r="AD115">
        <v>409</v>
      </c>
      <c r="AE115">
        <v>361</v>
      </c>
    </row>
    <row r="116" spans="1:31" x14ac:dyDescent="0.25">
      <c r="A116" t="s">
        <v>743</v>
      </c>
      <c r="B116" t="s">
        <v>744</v>
      </c>
      <c r="C116" s="1">
        <v>43852</v>
      </c>
      <c r="D116" s="1">
        <v>43999</v>
      </c>
      <c r="E116" t="s">
        <v>66</v>
      </c>
      <c r="F116" t="s">
        <v>147</v>
      </c>
      <c r="G116" t="s">
        <v>115</v>
      </c>
      <c r="H116" t="s">
        <v>68</v>
      </c>
      <c r="I116" t="s">
        <v>745</v>
      </c>
      <c r="J116" t="s">
        <v>82</v>
      </c>
      <c r="K116" t="s">
        <v>56</v>
      </c>
      <c r="L116" t="s">
        <v>746</v>
      </c>
      <c r="M116">
        <v>488.97</v>
      </c>
      <c r="N116">
        <v>47</v>
      </c>
      <c r="O116" t="s">
        <v>747</v>
      </c>
      <c r="P116" t="s">
        <v>42</v>
      </c>
      <c r="Q116" t="s">
        <v>558</v>
      </c>
      <c r="R116" t="s">
        <v>44</v>
      </c>
      <c r="S116" t="s">
        <v>128</v>
      </c>
      <c r="T116" t="s">
        <v>215</v>
      </c>
      <c r="U116">
        <v>853</v>
      </c>
      <c r="V116">
        <v>104</v>
      </c>
      <c r="W116">
        <v>8</v>
      </c>
      <c r="X116">
        <v>378</v>
      </c>
      <c r="Y116">
        <v>301.51</v>
      </c>
      <c r="Z116">
        <v>679.51</v>
      </c>
      <c r="AA116" t="s">
        <v>63</v>
      </c>
      <c r="AB116">
        <v>0</v>
      </c>
      <c r="AC116">
        <v>96.02</v>
      </c>
      <c r="AD116">
        <v>80</v>
      </c>
      <c r="AE116">
        <v>73</v>
      </c>
    </row>
    <row r="117" spans="1:31" x14ac:dyDescent="0.25">
      <c r="A117" t="s">
        <v>748</v>
      </c>
      <c r="B117" t="s">
        <v>749</v>
      </c>
      <c r="C117" s="1">
        <v>45400</v>
      </c>
      <c r="D117" s="1">
        <v>45256</v>
      </c>
      <c r="E117" t="s">
        <v>66</v>
      </c>
      <c r="F117" t="s">
        <v>34</v>
      </c>
      <c r="G117" t="s">
        <v>35</v>
      </c>
      <c r="H117" t="s">
        <v>80</v>
      </c>
      <c r="I117" t="s">
        <v>750</v>
      </c>
      <c r="J117" t="s">
        <v>107</v>
      </c>
      <c r="K117" t="s">
        <v>97</v>
      </c>
      <c r="L117" t="s">
        <v>751</v>
      </c>
      <c r="M117">
        <v>135.5</v>
      </c>
      <c r="N117">
        <v>83</v>
      </c>
      <c r="O117" t="s">
        <v>188</v>
      </c>
      <c r="P117" t="s">
        <v>59</v>
      </c>
      <c r="Q117" t="s">
        <v>541</v>
      </c>
      <c r="R117" t="s">
        <v>61</v>
      </c>
      <c r="S117" t="s">
        <v>101</v>
      </c>
      <c r="T117" t="s">
        <v>62</v>
      </c>
      <c r="U117">
        <v>1583</v>
      </c>
      <c r="V117">
        <v>189</v>
      </c>
      <c r="W117">
        <v>24</v>
      </c>
      <c r="X117">
        <v>731.71</v>
      </c>
      <c r="Y117">
        <v>472.48</v>
      </c>
      <c r="Z117">
        <v>1204.19</v>
      </c>
      <c r="AA117" t="s">
        <v>63</v>
      </c>
      <c r="AB117">
        <v>0</v>
      </c>
      <c r="AC117">
        <v>80.03</v>
      </c>
      <c r="AD117">
        <v>154</v>
      </c>
      <c r="AE117">
        <v>189</v>
      </c>
    </row>
    <row r="118" spans="1:31" x14ac:dyDescent="0.25">
      <c r="A118" t="s">
        <v>752</v>
      </c>
      <c r="B118" t="s">
        <v>753</v>
      </c>
      <c r="C118" s="1">
        <v>44076</v>
      </c>
      <c r="D118" s="1">
        <v>43918</v>
      </c>
      <c r="E118" t="s">
        <v>66</v>
      </c>
      <c r="F118" t="s">
        <v>147</v>
      </c>
      <c r="G118" t="s">
        <v>115</v>
      </c>
      <c r="H118" t="s">
        <v>218</v>
      </c>
      <c r="I118" t="s">
        <v>754</v>
      </c>
      <c r="J118" t="s">
        <v>82</v>
      </c>
      <c r="K118" t="s">
        <v>70</v>
      </c>
      <c r="L118" t="s">
        <v>755</v>
      </c>
      <c r="M118">
        <v>367.64</v>
      </c>
      <c r="N118">
        <v>11</v>
      </c>
      <c r="O118" t="s">
        <v>756</v>
      </c>
      <c r="P118" t="s">
        <v>42</v>
      </c>
      <c r="Q118" t="s">
        <v>160</v>
      </c>
      <c r="R118" t="s">
        <v>88</v>
      </c>
      <c r="S118" t="s">
        <v>45</v>
      </c>
      <c r="T118" t="s">
        <v>62</v>
      </c>
      <c r="U118">
        <v>2987</v>
      </c>
      <c r="V118">
        <v>178</v>
      </c>
      <c r="W118">
        <v>10</v>
      </c>
      <c r="X118">
        <v>571.88</v>
      </c>
      <c r="Y118">
        <v>241.84</v>
      </c>
      <c r="Z118">
        <v>813.72</v>
      </c>
      <c r="AA118" t="s">
        <v>63</v>
      </c>
      <c r="AB118">
        <v>0</v>
      </c>
      <c r="AC118">
        <v>85.19</v>
      </c>
      <c r="AD118">
        <v>445</v>
      </c>
      <c r="AE118">
        <v>480</v>
      </c>
    </row>
    <row r="119" spans="1:31" x14ac:dyDescent="0.25">
      <c r="A119" t="s">
        <v>757</v>
      </c>
      <c r="B119" t="s">
        <v>758</v>
      </c>
      <c r="C119" s="1">
        <v>45391</v>
      </c>
      <c r="D119" s="1">
        <v>44575</v>
      </c>
      <c r="E119" t="s">
        <v>66</v>
      </c>
      <c r="F119" t="s">
        <v>51</v>
      </c>
      <c r="G119" t="s">
        <v>115</v>
      </c>
      <c r="H119" t="s">
        <v>80</v>
      </c>
      <c r="I119" t="s">
        <v>759</v>
      </c>
      <c r="J119" t="s">
        <v>96</v>
      </c>
      <c r="K119" t="s">
        <v>97</v>
      </c>
      <c r="L119" t="s">
        <v>760</v>
      </c>
      <c r="M119">
        <v>112.02</v>
      </c>
      <c r="N119">
        <v>37</v>
      </c>
      <c r="O119" t="s">
        <v>761</v>
      </c>
      <c r="P119" t="s">
        <v>110</v>
      </c>
      <c r="Q119" t="s">
        <v>290</v>
      </c>
      <c r="R119" t="s">
        <v>88</v>
      </c>
      <c r="S119" t="s">
        <v>74</v>
      </c>
      <c r="T119" t="s">
        <v>249</v>
      </c>
      <c r="U119">
        <v>1785</v>
      </c>
      <c r="V119">
        <v>118</v>
      </c>
      <c r="W119">
        <v>15</v>
      </c>
      <c r="X119">
        <v>1334.92</v>
      </c>
      <c r="Y119">
        <v>206.15</v>
      </c>
      <c r="Z119">
        <v>1541.07</v>
      </c>
      <c r="AA119" t="s">
        <v>63</v>
      </c>
      <c r="AB119">
        <v>0</v>
      </c>
      <c r="AC119">
        <v>97.83</v>
      </c>
      <c r="AD119">
        <v>91</v>
      </c>
      <c r="AE119">
        <v>54</v>
      </c>
    </row>
    <row r="120" spans="1:31" x14ac:dyDescent="0.25">
      <c r="A120" t="s">
        <v>762</v>
      </c>
      <c r="B120" t="s">
        <v>763</v>
      </c>
      <c r="C120" s="1">
        <v>44282</v>
      </c>
      <c r="D120" s="1">
        <v>44539</v>
      </c>
      <c r="E120" t="s">
        <v>66</v>
      </c>
      <c r="F120" t="s">
        <v>78</v>
      </c>
      <c r="G120" t="s">
        <v>105</v>
      </c>
      <c r="H120" t="s">
        <v>148</v>
      </c>
      <c r="I120" t="s">
        <v>764</v>
      </c>
      <c r="J120" t="s">
        <v>38</v>
      </c>
      <c r="K120" t="s">
        <v>56</v>
      </c>
      <c r="L120" t="s">
        <v>765</v>
      </c>
      <c r="M120">
        <v>347.75</v>
      </c>
      <c r="N120">
        <v>82</v>
      </c>
      <c r="O120" t="s">
        <v>603</v>
      </c>
      <c r="P120" t="s">
        <v>42</v>
      </c>
      <c r="Q120" t="s">
        <v>529</v>
      </c>
      <c r="R120" t="s">
        <v>61</v>
      </c>
      <c r="S120" t="s">
        <v>45</v>
      </c>
      <c r="T120" t="s">
        <v>62</v>
      </c>
      <c r="U120">
        <v>1340</v>
      </c>
      <c r="V120">
        <v>435</v>
      </c>
      <c r="W120">
        <v>1</v>
      </c>
      <c r="X120">
        <v>1468.85</v>
      </c>
      <c r="Y120">
        <v>48.82</v>
      </c>
      <c r="Z120">
        <v>1517.67</v>
      </c>
      <c r="AA120" t="s">
        <v>63</v>
      </c>
      <c r="AB120">
        <v>0</v>
      </c>
      <c r="AC120">
        <v>97.01</v>
      </c>
      <c r="AD120">
        <v>469</v>
      </c>
      <c r="AE120">
        <v>512</v>
      </c>
    </row>
    <row r="121" spans="1:31" x14ac:dyDescent="0.25">
      <c r="A121" t="s">
        <v>766</v>
      </c>
      <c r="B121" t="s">
        <v>767</v>
      </c>
      <c r="C121" s="1">
        <v>44507</v>
      </c>
      <c r="D121" s="1">
        <v>45191</v>
      </c>
      <c r="E121" t="s">
        <v>66</v>
      </c>
      <c r="F121" t="s">
        <v>147</v>
      </c>
      <c r="G121" t="s">
        <v>79</v>
      </c>
      <c r="H121" t="s">
        <v>53</v>
      </c>
      <c r="I121" t="s">
        <v>768</v>
      </c>
      <c r="J121" t="s">
        <v>107</v>
      </c>
      <c r="K121" t="s">
        <v>97</v>
      </c>
      <c r="L121" t="s">
        <v>769</v>
      </c>
      <c r="M121">
        <v>119.91</v>
      </c>
      <c r="N121">
        <v>96</v>
      </c>
      <c r="O121" t="s">
        <v>770</v>
      </c>
      <c r="P121" t="s">
        <v>110</v>
      </c>
      <c r="Q121" t="s">
        <v>241</v>
      </c>
      <c r="R121" t="s">
        <v>88</v>
      </c>
      <c r="S121" t="s">
        <v>89</v>
      </c>
      <c r="T121" t="s">
        <v>559</v>
      </c>
      <c r="U121">
        <v>541</v>
      </c>
      <c r="V121">
        <v>477</v>
      </c>
      <c r="W121">
        <v>17</v>
      </c>
      <c r="X121">
        <v>327.96</v>
      </c>
      <c r="Y121">
        <v>136.38</v>
      </c>
      <c r="Z121">
        <v>464.34</v>
      </c>
      <c r="AA121" t="s">
        <v>47</v>
      </c>
      <c r="AB121">
        <v>7</v>
      </c>
      <c r="AC121">
        <v>81.98</v>
      </c>
      <c r="AD121">
        <v>114</v>
      </c>
      <c r="AE121">
        <v>118</v>
      </c>
    </row>
    <row r="122" spans="1:31" x14ac:dyDescent="0.25">
      <c r="A122" t="s">
        <v>771</v>
      </c>
      <c r="B122" t="s">
        <v>772</v>
      </c>
      <c r="C122" s="1">
        <v>45128</v>
      </c>
      <c r="D122" s="1">
        <v>43964</v>
      </c>
      <c r="E122" t="s">
        <v>50</v>
      </c>
      <c r="F122" t="s">
        <v>34</v>
      </c>
      <c r="G122" t="s">
        <v>67</v>
      </c>
      <c r="H122" t="s">
        <v>116</v>
      </c>
      <c r="I122" t="s">
        <v>773</v>
      </c>
      <c r="J122" t="s">
        <v>82</v>
      </c>
      <c r="K122" t="s">
        <v>83</v>
      </c>
      <c r="L122" t="s">
        <v>774</v>
      </c>
      <c r="M122">
        <v>96.03</v>
      </c>
      <c r="N122">
        <v>30</v>
      </c>
      <c r="O122" t="s">
        <v>775</v>
      </c>
      <c r="P122" t="s">
        <v>110</v>
      </c>
      <c r="Q122" t="s">
        <v>514</v>
      </c>
      <c r="R122" t="s">
        <v>88</v>
      </c>
      <c r="S122" t="s">
        <v>89</v>
      </c>
      <c r="T122" t="s">
        <v>242</v>
      </c>
      <c r="U122">
        <v>1217</v>
      </c>
      <c r="V122">
        <v>275</v>
      </c>
      <c r="W122">
        <v>11</v>
      </c>
      <c r="X122">
        <v>1462.65</v>
      </c>
      <c r="Y122">
        <v>137.94999999999999</v>
      </c>
      <c r="Z122">
        <v>1600.6</v>
      </c>
      <c r="AA122" t="s">
        <v>63</v>
      </c>
      <c r="AB122">
        <v>0</v>
      </c>
      <c r="AC122">
        <v>85.19</v>
      </c>
      <c r="AD122">
        <v>132</v>
      </c>
      <c r="AE122">
        <v>117</v>
      </c>
    </row>
    <row r="123" spans="1:31" x14ac:dyDescent="0.25">
      <c r="A123" t="s">
        <v>776</v>
      </c>
      <c r="B123" t="s">
        <v>777</v>
      </c>
      <c r="C123" s="1">
        <v>44686</v>
      </c>
      <c r="D123" s="1">
        <v>45653</v>
      </c>
      <c r="E123" t="s">
        <v>66</v>
      </c>
      <c r="F123" t="s">
        <v>78</v>
      </c>
      <c r="G123" t="s">
        <v>79</v>
      </c>
      <c r="H123" t="s">
        <v>80</v>
      </c>
      <c r="I123" t="s">
        <v>778</v>
      </c>
      <c r="J123" t="s">
        <v>96</v>
      </c>
      <c r="K123" t="s">
        <v>83</v>
      </c>
      <c r="L123" t="s">
        <v>779</v>
      </c>
      <c r="M123">
        <v>74.5</v>
      </c>
      <c r="N123">
        <v>5</v>
      </c>
      <c r="O123" t="s">
        <v>780</v>
      </c>
      <c r="P123" t="s">
        <v>42</v>
      </c>
      <c r="Q123" t="s">
        <v>706</v>
      </c>
      <c r="R123" t="s">
        <v>44</v>
      </c>
      <c r="S123" t="s">
        <v>101</v>
      </c>
      <c r="T123" t="s">
        <v>508</v>
      </c>
      <c r="U123">
        <v>1121</v>
      </c>
      <c r="V123">
        <v>54</v>
      </c>
      <c r="W123">
        <v>15</v>
      </c>
      <c r="X123">
        <v>635.11</v>
      </c>
      <c r="Y123">
        <v>435.32</v>
      </c>
      <c r="Z123">
        <v>1070.43</v>
      </c>
      <c r="AA123" t="s">
        <v>63</v>
      </c>
      <c r="AB123">
        <v>0</v>
      </c>
      <c r="AC123">
        <v>73.02</v>
      </c>
      <c r="AD123">
        <v>431</v>
      </c>
      <c r="AE123">
        <v>438</v>
      </c>
    </row>
    <row r="124" spans="1:31" x14ac:dyDescent="0.25">
      <c r="A124" t="s">
        <v>781</v>
      </c>
      <c r="B124" t="s">
        <v>782</v>
      </c>
      <c r="C124" s="1">
        <v>44792</v>
      </c>
      <c r="D124" s="1">
        <v>45359</v>
      </c>
      <c r="E124" t="s">
        <v>50</v>
      </c>
      <c r="F124" t="s">
        <v>34</v>
      </c>
      <c r="G124" t="s">
        <v>94</v>
      </c>
      <c r="H124" t="s">
        <v>148</v>
      </c>
      <c r="I124" t="s">
        <v>783</v>
      </c>
      <c r="J124" t="s">
        <v>82</v>
      </c>
      <c r="K124" t="s">
        <v>97</v>
      </c>
      <c r="L124" t="s">
        <v>784</v>
      </c>
      <c r="M124">
        <v>449.82</v>
      </c>
      <c r="N124">
        <v>47</v>
      </c>
      <c r="O124" t="s">
        <v>785</v>
      </c>
      <c r="P124" t="s">
        <v>59</v>
      </c>
      <c r="Q124" t="s">
        <v>234</v>
      </c>
      <c r="R124" t="s">
        <v>61</v>
      </c>
      <c r="S124" t="s">
        <v>128</v>
      </c>
      <c r="T124" t="s">
        <v>316</v>
      </c>
      <c r="U124">
        <v>123</v>
      </c>
      <c r="V124">
        <v>138</v>
      </c>
      <c r="W124">
        <v>1</v>
      </c>
      <c r="X124">
        <v>1618.62</v>
      </c>
      <c r="Y124">
        <v>297.57</v>
      </c>
      <c r="Z124">
        <v>1916.19</v>
      </c>
      <c r="AA124" t="s">
        <v>63</v>
      </c>
      <c r="AB124">
        <v>0</v>
      </c>
      <c r="AC124">
        <v>81.95</v>
      </c>
      <c r="AD124">
        <v>59</v>
      </c>
      <c r="AE124">
        <v>14</v>
      </c>
    </row>
    <row r="125" spans="1:31" x14ac:dyDescent="0.25">
      <c r="A125" t="s">
        <v>786</v>
      </c>
      <c r="B125" t="s">
        <v>787</v>
      </c>
      <c r="C125" s="1">
        <v>44333</v>
      </c>
      <c r="D125" s="1">
        <v>43846</v>
      </c>
      <c r="E125" t="s">
        <v>50</v>
      </c>
      <c r="F125" t="s">
        <v>34</v>
      </c>
      <c r="G125" t="s">
        <v>35</v>
      </c>
      <c r="H125" t="s">
        <v>68</v>
      </c>
      <c r="I125" t="s">
        <v>788</v>
      </c>
      <c r="J125" t="s">
        <v>55</v>
      </c>
      <c r="K125" t="s">
        <v>97</v>
      </c>
      <c r="L125" t="s">
        <v>789</v>
      </c>
      <c r="M125">
        <v>290.57</v>
      </c>
      <c r="N125">
        <v>61</v>
      </c>
      <c r="O125" t="s">
        <v>790</v>
      </c>
      <c r="P125" t="s">
        <v>86</v>
      </c>
      <c r="Q125" t="s">
        <v>347</v>
      </c>
      <c r="R125" t="s">
        <v>61</v>
      </c>
      <c r="S125" t="s">
        <v>101</v>
      </c>
      <c r="T125" t="s">
        <v>102</v>
      </c>
      <c r="U125">
        <v>4275</v>
      </c>
      <c r="V125">
        <v>418</v>
      </c>
      <c r="W125">
        <v>27</v>
      </c>
      <c r="X125">
        <v>382.13</v>
      </c>
      <c r="Y125">
        <v>378.99</v>
      </c>
      <c r="Z125">
        <v>761.12</v>
      </c>
      <c r="AA125" t="s">
        <v>63</v>
      </c>
      <c r="AB125">
        <v>0</v>
      </c>
      <c r="AC125">
        <v>95.09</v>
      </c>
      <c r="AD125">
        <v>110</v>
      </c>
      <c r="AE125">
        <v>91</v>
      </c>
    </row>
    <row r="126" spans="1:31" x14ac:dyDescent="0.25">
      <c r="A126" t="s">
        <v>791</v>
      </c>
      <c r="B126" t="s">
        <v>792</v>
      </c>
      <c r="C126" s="1">
        <v>45554</v>
      </c>
      <c r="D126" s="1">
        <v>45428</v>
      </c>
      <c r="E126" t="s">
        <v>66</v>
      </c>
      <c r="F126" t="s">
        <v>147</v>
      </c>
      <c r="G126" t="s">
        <v>35</v>
      </c>
      <c r="H126" t="s">
        <v>148</v>
      </c>
      <c r="I126" t="s">
        <v>793</v>
      </c>
      <c r="J126" t="s">
        <v>82</v>
      </c>
      <c r="K126" t="s">
        <v>39</v>
      </c>
      <c r="L126" t="s">
        <v>794</v>
      </c>
      <c r="M126">
        <v>236.09</v>
      </c>
      <c r="N126">
        <v>91</v>
      </c>
      <c r="O126" t="s">
        <v>747</v>
      </c>
      <c r="P126" t="s">
        <v>59</v>
      </c>
      <c r="Q126" t="s">
        <v>60</v>
      </c>
      <c r="R126" t="s">
        <v>153</v>
      </c>
      <c r="S126" t="s">
        <v>74</v>
      </c>
      <c r="T126" t="s">
        <v>415</v>
      </c>
      <c r="U126">
        <v>4999</v>
      </c>
      <c r="V126">
        <v>453</v>
      </c>
      <c r="W126">
        <v>23</v>
      </c>
      <c r="X126">
        <v>1216.17</v>
      </c>
      <c r="Y126">
        <v>152.24</v>
      </c>
      <c r="Z126">
        <v>1368.41</v>
      </c>
      <c r="AA126" t="s">
        <v>63</v>
      </c>
      <c r="AB126">
        <v>0</v>
      </c>
      <c r="AC126">
        <v>88.91</v>
      </c>
      <c r="AD126">
        <v>157</v>
      </c>
      <c r="AE126">
        <v>135</v>
      </c>
    </row>
    <row r="127" spans="1:31" x14ac:dyDescent="0.25">
      <c r="A127" t="s">
        <v>795</v>
      </c>
      <c r="B127" t="s">
        <v>796</v>
      </c>
      <c r="C127" s="1">
        <v>45354</v>
      </c>
      <c r="D127" s="1">
        <v>44380</v>
      </c>
      <c r="E127" t="s">
        <v>33</v>
      </c>
      <c r="F127" t="s">
        <v>34</v>
      </c>
      <c r="G127" t="s">
        <v>94</v>
      </c>
      <c r="H127" t="s">
        <v>164</v>
      </c>
      <c r="I127" t="s">
        <v>797</v>
      </c>
      <c r="J127" t="s">
        <v>55</v>
      </c>
      <c r="K127" t="s">
        <v>39</v>
      </c>
      <c r="L127" t="s">
        <v>798</v>
      </c>
      <c r="M127">
        <v>109.91</v>
      </c>
      <c r="N127">
        <v>60</v>
      </c>
      <c r="O127" t="s">
        <v>799</v>
      </c>
      <c r="P127" t="s">
        <v>110</v>
      </c>
      <c r="Q127" t="s">
        <v>100</v>
      </c>
      <c r="R127" t="s">
        <v>153</v>
      </c>
      <c r="S127" t="s">
        <v>128</v>
      </c>
      <c r="T127" t="s">
        <v>559</v>
      </c>
      <c r="U127">
        <v>1759</v>
      </c>
      <c r="V127">
        <v>473</v>
      </c>
      <c r="W127">
        <v>12</v>
      </c>
      <c r="X127">
        <v>194.23</v>
      </c>
      <c r="Y127">
        <v>326.69</v>
      </c>
      <c r="Z127">
        <v>520.91999999999996</v>
      </c>
      <c r="AA127" t="s">
        <v>63</v>
      </c>
      <c r="AB127">
        <v>0</v>
      </c>
      <c r="AC127">
        <v>83.49</v>
      </c>
      <c r="AD127">
        <v>318</v>
      </c>
      <c r="AE127">
        <v>357</v>
      </c>
    </row>
    <row r="128" spans="1:31" x14ac:dyDescent="0.25">
      <c r="A128" t="s">
        <v>800</v>
      </c>
      <c r="B128" t="s">
        <v>801</v>
      </c>
      <c r="C128" s="1">
        <v>45222</v>
      </c>
      <c r="D128" s="1">
        <v>45021</v>
      </c>
      <c r="E128" t="s">
        <v>66</v>
      </c>
      <c r="F128" t="s">
        <v>34</v>
      </c>
      <c r="G128" t="s">
        <v>52</v>
      </c>
      <c r="H128" t="s">
        <v>36</v>
      </c>
      <c r="I128" t="s">
        <v>802</v>
      </c>
      <c r="J128" t="s">
        <v>38</v>
      </c>
      <c r="K128" t="s">
        <v>39</v>
      </c>
      <c r="L128" t="s">
        <v>803</v>
      </c>
      <c r="M128">
        <v>84</v>
      </c>
      <c r="N128">
        <v>82</v>
      </c>
      <c r="O128" t="s">
        <v>804</v>
      </c>
      <c r="P128" t="s">
        <v>142</v>
      </c>
      <c r="Q128" t="s">
        <v>248</v>
      </c>
      <c r="R128" t="s">
        <v>44</v>
      </c>
      <c r="S128" t="s">
        <v>101</v>
      </c>
      <c r="T128" t="s">
        <v>297</v>
      </c>
      <c r="U128">
        <v>4775</v>
      </c>
      <c r="V128">
        <v>161</v>
      </c>
      <c r="W128">
        <v>26</v>
      </c>
      <c r="X128">
        <v>626.12</v>
      </c>
      <c r="Y128">
        <v>457.98</v>
      </c>
      <c r="Z128">
        <v>1084.0999999999999</v>
      </c>
      <c r="AA128" t="s">
        <v>63</v>
      </c>
      <c r="AB128">
        <v>0</v>
      </c>
      <c r="AC128">
        <v>84.38</v>
      </c>
      <c r="AD128">
        <v>304</v>
      </c>
      <c r="AE128">
        <v>286</v>
      </c>
    </row>
    <row r="129" spans="1:31" x14ac:dyDescent="0.25">
      <c r="A129" t="s">
        <v>805</v>
      </c>
      <c r="B129" t="s">
        <v>806</v>
      </c>
      <c r="C129" s="1">
        <v>44919</v>
      </c>
      <c r="D129" s="1">
        <v>44969</v>
      </c>
      <c r="E129" t="s">
        <v>33</v>
      </c>
      <c r="F129" t="s">
        <v>147</v>
      </c>
      <c r="G129" t="s">
        <v>115</v>
      </c>
      <c r="H129" t="s">
        <v>80</v>
      </c>
      <c r="I129" t="s">
        <v>807</v>
      </c>
      <c r="J129" t="s">
        <v>55</v>
      </c>
      <c r="K129" t="s">
        <v>39</v>
      </c>
      <c r="L129" t="s">
        <v>808</v>
      </c>
      <c r="M129">
        <v>405.48</v>
      </c>
      <c r="N129">
        <v>68</v>
      </c>
      <c r="O129" t="s">
        <v>809</v>
      </c>
      <c r="P129" t="s">
        <v>142</v>
      </c>
      <c r="Q129" t="s">
        <v>182</v>
      </c>
      <c r="R129" t="s">
        <v>153</v>
      </c>
      <c r="S129" t="s">
        <v>74</v>
      </c>
      <c r="T129" t="s">
        <v>508</v>
      </c>
      <c r="U129">
        <v>4156</v>
      </c>
      <c r="V129">
        <v>196</v>
      </c>
      <c r="W129">
        <v>22</v>
      </c>
      <c r="X129">
        <v>1465.45</v>
      </c>
      <c r="Y129">
        <v>399.02</v>
      </c>
      <c r="Z129">
        <v>1864.47</v>
      </c>
      <c r="AA129" t="s">
        <v>63</v>
      </c>
      <c r="AB129">
        <v>0</v>
      </c>
      <c r="AC129">
        <v>93.84</v>
      </c>
      <c r="AD129">
        <v>179</v>
      </c>
      <c r="AE129">
        <v>221</v>
      </c>
    </row>
    <row r="130" spans="1:31" x14ac:dyDescent="0.25">
      <c r="A130" t="s">
        <v>810</v>
      </c>
      <c r="B130" t="s">
        <v>811</v>
      </c>
      <c r="C130" s="1">
        <v>43911</v>
      </c>
      <c r="D130" s="1">
        <v>44557</v>
      </c>
      <c r="E130" t="s">
        <v>50</v>
      </c>
      <c r="F130" t="s">
        <v>147</v>
      </c>
      <c r="G130" t="s">
        <v>115</v>
      </c>
      <c r="H130" t="s">
        <v>116</v>
      </c>
      <c r="I130" t="s">
        <v>812</v>
      </c>
      <c r="J130" t="s">
        <v>38</v>
      </c>
      <c r="K130" t="s">
        <v>56</v>
      </c>
      <c r="L130" t="s">
        <v>813</v>
      </c>
      <c r="M130">
        <v>174.3</v>
      </c>
      <c r="N130">
        <v>44</v>
      </c>
      <c r="O130" t="s">
        <v>814</v>
      </c>
      <c r="P130" t="s">
        <v>42</v>
      </c>
      <c r="Q130" t="s">
        <v>609</v>
      </c>
      <c r="R130" t="s">
        <v>153</v>
      </c>
      <c r="S130" t="s">
        <v>45</v>
      </c>
      <c r="T130" t="s">
        <v>815</v>
      </c>
      <c r="U130">
        <v>3843</v>
      </c>
      <c r="V130">
        <v>143</v>
      </c>
      <c r="W130">
        <v>12</v>
      </c>
      <c r="X130">
        <v>511.53</v>
      </c>
      <c r="Y130">
        <v>444.71</v>
      </c>
      <c r="Z130">
        <v>956.24</v>
      </c>
      <c r="AA130" t="s">
        <v>63</v>
      </c>
      <c r="AB130">
        <v>0</v>
      </c>
      <c r="AC130">
        <v>71.31</v>
      </c>
      <c r="AD130">
        <v>276</v>
      </c>
      <c r="AE130">
        <v>293</v>
      </c>
    </row>
    <row r="131" spans="1:31" x14ac:dyDescent="0.25">
      <c r="A131" t="s">
        <v>816</v>
      </c>
      <c r="B131" t="s">
        <v>817</v>
      </c>
      <c r="C131" s="1">
        <v>44761</v>
      </c>
      <c r="D131" s="1">
        <v>45191</v>
      </c>
      <c r="E131" t="s">
        <v>33</v>
      </c>
      <c r="F131" t="s">
        <v>78</v>
      </c>
      <c r="G131" t="s">
        <v>337</v>
      </c>
      <c r="H131" t="s">
        <v>116</v>
      </c>
      <c r="I131" t="s">
        <v>818</v>
      </c>
      <c r="J131" t="s">
        <v>82</v>
      </c>
      <c r="K131" t="s">
        <v>97</v>
      </c>
      <c r="L131" t="s">
        <v>819</v>
      </c>
      <c r="M131">
        <v>433.76</v>
      </c>
      <c r="N131">
        <v>77</v>
      </c>
      <c r="O131" t="s">
        <v>820</v>
      </c>
      <c r="P131" t="s">
        <v>142</v>
      </c>
      <c r="Q131" t="s">
        <v>541</v>
      </c>
      <c r="R131" t="s">
        <v>88</v>
      </c>
      <c r="S131" t="s">
        <v>89</v>
      </c>
      <c r="T131" t="s">
        <v>365</v>
      </c>
      <c r="U131">
        <v>2214</v>
      </c>
      <c r="V131">
        <v>80</v>
      </c>
      <c r="W131">
        <v>18</v>
      </c>
      <c r="X131">
        <v>124.32</v>
      </c>
      <c r="Y131">
        <v>181.16</v>
      </c>
      <c r="Z131">
        <v>305.48</v>
      </c>
      <c r="AA131" t="s">
        <v>63</v>
      </c>
      <c r="AB131">
        <v>0</v>
      </c>
      <c r="AC131">
        <v>87.48</v>
      </c>
      <c r="AD131">
        <v>397</v>
      </c>
      <c r="AE131">
        <v>363</v>
      </c>
    </row>
    <row r="132" spans="1:31" x14ac:dyDescent="0.25">
      <c r="A132" t="s">
        <v>821</v>
      </c>
      <c r="B132" t="s">
        <v>822</v>
      </c>
      <c r="C132" s="1">
        <v>45500</v>
      </c>
      <c r="D132" s="1">
        <v>43875</v>
      </c>
      <c r="E132" t="s">
        <v>66</v>
      </c>
      <c r="F132" t="s">
        <v>147</v>
      </c>
      <c r="G132" t="s">
        <v>115</v>
      </c>
      <c r="H132" t="s">
        <v>36</v>
      </c>
      <c r="I132" t="s">
        <v>823</v>
      </c>
      <c r="J132" t="s">
        <v>55</v>
      </c>
      <c r="K132" t="s">
        <v>39</v>
      </c>
      <c r="L132" t="s">
        <v>824</v>
      </c>
      <c r="M132">
        <v>162.28</v>
      </c>
      <c r="N132">
        <v>18</v>
      </c>
      <c r="O132" t="s">
        <v>825</v>
      </c>
      <c r="P132" t="s">
        <v>42</v>
      </c>
      <c r="Q132" t="s">
        <v>609</v>
      </c>
      <c r="R132" t="s">
        <v>44</v>
      </c>
      <c r="S132" t="s">
        <v>45</v>
      </c>
      <c r="T132" t="s">
        <v>652</v>
      </c>
      <c r="U132">
        <v>2264</v>
      </c>
      <c r="V132">
        <v>327</v>
      </c>
      <c r="W132">
        <v>8</v>
      </c>
      <c r="X132">
        <v>1549.07</v>
      </c>
      <c r="Y132">
        <v>362.81</v>
      </c>
      <c r="Z132">
        <v>1911.88</v>
      </c>
      <c r="AA132" t="s">
        <v>63</v>
      </c>
      <c r="AB132">
        <v>0</v>
      </c>
      <c r="AC132">
        <v>98.42</v>
      </c>
      <c r="AD132">
        <v>206</v>
      </c>
      <c r="AE132">
        <v>192</v>
      </c>
    </row>
    <row r="133" spans="1:31" x14ac:dyDescent="0.25">
      <c r="A133" t="s">
        <v>826</v>
      </c>
      <c r="B133" t="s">
        <v>827</v>
      </c>
      <c r="C133" s="1">
        <v>45475</v>
      </c>
      <c r="D133" s="1">
        <v>44238</v>
      </c>
      <c r="E133" t="s">
        <v>33</v>
      </c>
      <c r="F133" t="s">
        <v>78</v>
      </c>
      <c r="G133" t="s">
        <v>115</v>
      </c>
      <c r="H133" t="s">
        <v>68</v>
      </c>
      <c r="I133" t="s">
        <v>828</v>
      </c>
      <c r="J133" t="s">
        <v>55</v>
      </c>
      <c r="K133" t="s">
        <v>70</v>
      </c>
      <c r="L133" t="s">
        <v>829</v>
      </c>
      <c r="M133">
        <v>459.38</v>
      </c>
      <c r="N133">
        <v>76</v>
      </c>
      <c r="O133" t="s">
        <v>761</v>
      </c>
      <c r="P133" t="s">
        <v>110</v>
      </c>
      <c r="Q133" t="s">
        <v>168</v>
      </c>
      <c r="R133" t="s">
        <v>44</v>
      </c>
      <c r="S133" t="s">
        <v>101</v>
      </c>
      <c r="T133" t="s">
        <v>467</v>
      </c>
      <c r="U133">
        <v>3027</v>
      </c>
      <c r="V133">
        <v>260</v>
      </c>
      <c r="W133">
        <v>3</v>
      </c>
      <c r="X133">
        <v>1250.55</v>
      </c>
      <c r="Y133">
        <v>208.57</v>
      </c>
      <c r="Z133">
        <v>1459.12</v>
      </c>
      <c r="AA133" t="s">
        <v>63</v>
      </c>
      <c r="AB133">
        <v>0</v>
      </c>
      <c r="AC133">
        <v>75.989999999999995</v>
      </c>
      <c r="AD133">
        <v>289</v>
      </c>
      <c r="AE133">
        <v>281</v>
      </c>
    </row>
    <row r="134" spans="1:31" x14ac:dyDescent="0.25">
      <c r="A134" t="s">
        <v>830</v>
      </c>
      <c r="B134" t="s">
        <v>831</v>
      </c>
      <c r="C134" s="1">
        <v>45184</v>
      </c>
      <c r="D134" s="1">
        <v>44324</v>
      </c>
      <c r="E134" t="s">
        <v>50</v>
      </c>
      <c r="F134" t="s">
        <v>147</v>
      </c>
      <c r="G134" t="s">
        <v>79</v>
      </c>
      <c r="H134" t="s">
        <v>218</v>
      </c>
      <c r="I134" t="s">
        <v>832</v>
      </c>
      <c r="J134" t="s">
        <v>38</v>
      </c>
      <c r="K134" t="s">
        <v>97</v>
      </c>
      <c r="L134" t="s">
        <v>833</v>
      </c>
      <c r="M134">
        <v>412.6</v>
      </c>
      <c r="N134">
        <v>49</v>
      </c>
      <c r="O134" t="s">
        <v>834</v>
      </c>
      <c r="P134" t="s">
        <v>42</v>
      </c>
      <c r="Q134" t="s">
        <v>43</v>
      </c>
      <c r="R134" t="s">
        <v>153</v>
      </c>
      <c r="S134" t="s">
        <v>45</v>
      </c>
      <c r="T134" t="s">
        <v>467</v>
      </c>
      <c r="U134">
        <v>271</v>
      </c>
      <c r="V134">
        <v>273</v>
      </c>
      <c r="W134">
        <v>10</v>
      </c>
      <c r="X134">
        <v>1395.59</v>
      </c>
      <c r="Y134">
        <v>186.98</v>
      </c>
      <c r="Z134">
        <v>1582.57</v>
      </c>
      <c r="AA134" t="s">
        <v>63</v>
      </c>
      <c r="AB134">
        <v>0</v>
      </c>
      <c r="AC134">
        <v>85.41</v>
      </c>
      <c r="AD134">
        <v>245</v>
      </c>
      <c r="AE134">
        <v>221</v>
      </c>
    </row>
    <row r="135" spans="1:31" x14ac:dyDescent="0.25">
      <c r="A135" t="s">
        <v>835</v>
      </c>
      <c r="B135" t="s">
        <v>836</v>
      </c>
      <c r="C135" s="1">
        <v>44568</v>
      </c>
      <c r="D135" s="1">
        <v>44896</v>
      </c>
      <c r="E135" t="s">
        <v>50</v>
      </c>
      <c r="F135" t="s">
        <v>51</v>
      </c>
      <c r="G135" t="s">
        <v>337</v>
      </c>
      <c r="H135" t="s">
        <v>80</v>
      </c>
      <c r="I135" t="s">
        <v>837</v>
      </c>
      <c r="J135" t="s">
        <v>82</v>
      </c>
      <c r="K135" t="s">
        <v>70</v>
      </c>
      <c r="L135" t="s">
        <v>838</v>
      </c>
      <c r="M135">
        <v>375.05</v>
      </c>
      <c r="N135">
        <v>11</v>
      </c>
      <c r="O135" t="s">
        <v>839</v>
      </c>
      <c r="P135" t="s">
        <v>86</v>
      </c>
      <c r="Q135" t="s">
        <v>175</v>
      </c>
      <c r="R135" t="s">
        <v>44</v>
      </c>
      <c r="S135" t="s">
        <v>89</v>
      </c>
      <c r="T135" t="s">
        <v>642</v>
      </c>
      <c r="U135">
        <v>259</v>
      </c>
      <c r="V135">
        <v>493</v>
      </c>
      <c r="W135">
        <v>4</v>
      </c>
      <c r="X135">
        <v>735.12</v>
      </c>
      <c r="Y135">
        <v>149.18</v>
      </c>
      <c r="Z135">
        <v>884.3</v>
      </c>
      <c r="AA135" t="s">
        <v>63</v>
      </c>
      <c r="AB135">
        <v>0</v>
      </c>
      <c r="AC135">
        <v>89.08</v>
      </c>
      <c r="AD135">
        <v>90</v>
      </c>
      <c r="AE135">
        <v>66</v>
      </c>
    </row>
    <row r="136" spans="1:31" x14ac:dyDescent="0.25">
      <c r="A136" t="s">
        <v>840</v>
      </c>
      <c r="B136" t="s">
        <v>841</v>
      </c>
      <c r="C136" s="1">
        <v>44559</v>
      </c>
      <c r="D136" s="1">
        <v>43992</v>
      </c>
      <c r="E136" t="s">
        <v>50</v>
      </c>
      <c r="F136" t="s">
        <v>147</v>
      </c>
      <c r="G136" t="s">
        <v>67</v>
      </c>
      <c r="H136" t="s">
        <v>36</v>
      </c>
      <c r="I136" t="s">
        <v>842</v>
      </c>
      <c r="J136" t="s">
        <v>55</v>
      </c>
      <c r="K136" t="s">
        <v>83</v>
      </c>
      <c r="L136" t="s">
        <v>843</v>
      </c>
      <c r="M136">
        <v>370.23</v>
      </c>
      <c r="N136">
        <v>60</v>
      </c>
      <c r="O136" t="s">
        <v>844</v>
      </c>
      <c r="P136" t="s">
        <v>142</v>
      </c>
      <c r="Q136" t="s">
        <v>241</v>
      </c>
      <c r="R136" t="s">
        <v>44</v>
      </c>
      <c r="S136" t="s">
        <v>101</v>
      </c>
      <c r="T136" t="s">
        <v>144</v>
      </c>
      <c r="U136">
        <v>2944</v>
      </c>
      <c r="V136">
        <v>443</v>
      </c>
      <c r="W136">
        <v>7</v>
      </c>
      <c r="X136">
        <v>782.81</v>
      </c>
      <c r="Y136">
        <v>455.08</v>
      </c>
      <c r="Z136">
        <v>1237.8900000000001</v>
      </c>
      <c r="AA136" t="s">
        <v>63</v>
      </c>
      <c r="AB136">
        <v>0</v>
      </c>
      <c r="AC136">
        <v>95.67</v>
      </c>
      <c r="AD136">
        <v>443</v>
      </c>
      <c r="AE136">
        <v>490</v>
      </c>
    </row>
    <row r="137" spans="1:31" x14ac:dyDescent="0.25">
      <c r="A137" t="s">
        <v>845</v>
      </c>
      <c r="B137" t="s">
        <v>846</v>
      </c>
      <c r="C137" s="1">
        <v>44683</v>
      </c>
      <c r="D137" s="1">
        <v>43868</v>
      </c>
      <c r="E137" t="s">
        <v>66</v>
      </c>
      <c r="F137" t="s">
        <v>78</v>
      </c>
      <c r="G137" t="s">
        <v>67</v>
      </c>
      <c r="H137" t="s">
        <v>164</v>
      </c>
      <c r="I137" t="s">
        <v>847</v>
      </c>
      <c r="J137" t="s">
        <v>55</v>
      </c>
      <c r="K137" t="s">
        <v>56</v>
      </c>
      <c r="L137" t="s">
        <v>848</v>
      </c>
      <c r="M137">
        <v>160.32</v>
      </c>
      <c r="N137">
        <v>64</v>
      </c>
      <c r="O137" t="s">
        <v>849</v>
      </c>
      <c r="P137" t="s">
        <v>42</v>
      </c>
      <c r="Q137" t="s">
        <v>404</v>
      </c>
      <c r="R137" t="s">
        <v>61</v>
      </c>
      <c r="S137" t="s">
        <v>128</v>
      </c>
      <c r="T137" t="s">
        <v>422</v>
      </c>
      <c r="U137">
        <v>4730</v>
      </c>
      <c r="V137">
        <v>308</v>
      </c>
      <c r="W137">
        <v>7</v>
      </c>
      <c r="X137">
        <v>1498.63</v>
      </c>
      <c r="Y137">
        <v>346.9</v>
      </c>
      <c r="Z137">
        <v>1845.53</v>
      </c>
      <c r="AA137" t="s">
        <v>63</v>
      </c>
      <c r="AB137">
        <v>0</v>
      </c>
      <c r="AC137">
        <v>72.98</v>
      </c>
      <c r="AD137">
        <v>141</v>
      </c>
      <c r="AE137">
        <v>93</v>
      </c>
    </row>
    <row r="138" spans="1:31" x14ac:dyDescent="0.25">
      <c r="A138" t="s">
        <v>850</v>
      </c>
      <c r="B138" t="s">
        <v>851</v>
      </c>
      <c r="C138" s="1">
        <v>44677</v>
      </c>
      <c r="D138" s="1">
        <v>44181</v>
      </c>
      <c r="E138" t="s">
        <v>50</v>
      </c>
      <c r="F138" t="s">
        <v>34</v>
      </c>
      <c r="G138" t="s">
        <v>52</v>
      </c>
      <c r="H138" t="s">
        <v>116</v>
      </c>
      <c r="I138" t="s">
        <v>852</v>
      </c>
      <c r="J138" t="s">
        <v>38</v>
      </c>
      <c r="K138" t="s">
        <v>39</v>
      </c>
      <c r="L138" t="s">
        <v>853</v>
      </c>
      <c r="M138">
        <v>65.790000000000006</v>
      </c>
      <c r="N138">
        <v>75</v>
      </c>
      <c r="O138" t="s">
        <v>854</v>
      </c>
      <c r="P138" t="s">
        <v>59</v>
      </c>
      <c r="Q138" t="s">
        <v>461</v>
      </c>
      <c r="R138" t="s">
        <v>61</v>
      </c>
      <c r="S138" t="s">
        <v>101</v>
      </c>
      <c r="T138" t="s">
        <v>262</v>
      </c>
      <c r="U138">
        <v>125</v>
      </c>
      <c r="V138">
        <v>337</v>
      </c>
      <c r="W138">
        <v>25</v>
      </c>
      <c r="X138">
        <v>1257.97</v>
      </c>
      <c r="Y138">
        <v>119.74</v>
      </c>
      <c r="Z138">
        <v>1377.71</v>
      </c>
      <c r="AA138" t="s">
        <v>63</v>
      </c>
      <c r="AB138">
        <v>0</v>
      </c>
      <c r="AC138">
        <v>77.739999999999995</v>
      </c>
      <c r="AD138">
        <v>138</v>
      </c>
      <c r="AE138">
        <v>117</v>
      </c>
    </row>
    <row r="139" spans="1:31" x14ac:dyDescent="0.25">
      <c r="A139" t="s">
        <v>855</v>
      </c>
      <c r="B139" t="s">
        <v>856</v>
      </c>
      <c r="C139" s="1">
        <v>45628</v>
      </c>
      <c r="D139" s="1">
        <v>44154</v>
      </c>
      <c r="E139" t="s">
        <v>50</v>
      </c>
      <c r="F139" t="s">
        <v>93</v>
      </c>
      <c r="G139" t="s">
        <v>115</v>
      </c>
      <c r="H139" t="s">
        <v>116</v>
      </c>
      <c r="I139" t="s">
        <v>857</v>
      </c>
      <c r="J139" t="s">
        <v>38</v>
      </c>
      <c r="K139" t="s">
        <v>56</v>
      </c>
      <c r="L139" t="s">
        <v>858</v>
      </c>
      <c r="M139">
        <v>192.94</v>
      </c>
      <c r="N139">
        <v>20</v>
      </c>
      <c r="O139" t="s">
        <v>859</v>
      </c>
      <c r="P139" t="s">
        <v>59</v>
      </c>
      <c r="Q139" t="s">
        <v>189</v>
      </c>
      <c r="R139" t="s">
        <v>153</v>
      </c>
      <c r="S139" t="s">
        <v>89</v>
      </c>
      <c r="T139" t="s">
        <v>303</v>
      </c>
      <c r="U139">
        <v>1084</v>
      </c>
      <c r="V139">
        <v>90</v>
      </c>
      <c r="W139">
        <v>10</v>
      </c>
      <c r="X139">
        <v>1206.45</v>
      </c>
      <c r="Y139">
        <v>218.17</v>
      </c>
      <c r="Z139">
        <v>1424.62</v>
      </c>
      <c r="AA139" t="s">
        <v>63</v>
      </c>
      <c r="AB139">
        <v>0</v>
      </c>
      <c r="AC139">
        <v>75.22</v>
      </c>
      <c r="AD139">
        <v>440</v>
      </c>
      <c r="AE139">
        <v>478</v>
      </c>
    </row>
    <row r="140" spans="1:31" x14ac:dyDescent="0.25">
      <c r="A140" t="s">
        <v>860</v>
      </c>
      <c r="B140" t="s">
        <v>861</v>
      </c>
      <c r="C140" s="1">
        <v>45372</v>
      </c>
      <c r="D140" s="1">
        <v>45131</v>
      </c>
      <c r="E140" t="s">
        <v>66</v>
      </c>
      <c r="F140" t="s">
        <v>147</v>
      </c>
      <c r="G140" t="s">
        <v>337</v>
      </c>
      <c r="H140" t="s">
        <v>148</v>
      </c>
      <c r="I140" t="s">
        <v>862</v>
      </c>
      <c r="J140" t="s">
        <v>38</v>
      </c>
      <c r="K140" t="s">
        <v>70</v>
      </c>
      <c r="L140" t="s">
        <v>863</v>
      </c>
      <c r="M140">
        <v>427</v>
      </c>
      <c r="N140">
        <v>34</v>
      </c>
      <c r="O140" t="s">
        <v>864</v>
      </c>
      <c r="P140" t="s">
        <v>110</v>
      </c>
      <c r="Q140" t="s">
        <v>60</v>
      </c>
      <c r="R140" t="s">
        <v>44</v>
      </c>
      <c r="S140" t="s">
        <v>45</v>
      </c>
      <c r="T140" t="s">
        <v>255</v>
      </c>
      <c r="U140">
        <v>274</v>
      </c>
      <c r="V140">
        <v>386</v>
      </c>
      <c r="W140">
        <v>19</v>
      </c>
      <c r="X140">
        <v>606.52</v>
      </c>
      <c r="Y140">
        <v>196.42</v>
      </c>
      <c r="Z140">
        <v>802.93999999999994</v>
      </c>
      <c r="AA140" t="s">
        <v>63</v>
      </c>
      <c r="AB140">
        <v>0</v>
      </c>
      <c r="AC140">
        <v>76.52</v>
      </c>
      <c r="AD140">
        <v>61</v>
      </c>
      <c r="AE140">
        <v>83</v>
      </c>
    </row>
    <row r="141" spans="1:31" x14ac:dyDescent="0.25">
      <c r="A141" t="s">
        <v>865</v>
      </c>
      <c r="B141" t="s">
        <v>866</v>
      </c>
      <c r="C141" s="1">
        <v>44002</v>
      </c>
      <c r="D141" s="1">
        <v>43861</v>
      </c>
      <c r="E141" t="s">
        <v>66</v>
      </c>
      <c r="F141" t="s">
        <v>51</v>
      </c>
      <c r="G141" t="s">
        <v>94</v>
      </c>
      <c r="H141" t="s">
        <v>116</v>
      </c>
      <c r="I141" t="s">
        <v>867</v>
      </c>
      <c r="J141" t="s">
        <v>107</v>
      </c>
      <c r="K141" t="s">
        <v>56</v>
      </c>
      <c r="L141" t="s">
        <v>868</v>
      </c>
      <c r="M141">
        <v>43.02</v>
      </c>
      <c r="N141">
        <v>95</v>
      </c>
      <c r="O141" t="s">
        <v>619</v>
      </c>
      <c r="P141" t="s">
        <v>86</v>
      </c>
      <c r="Q141" t="s">
        <v>529</v>
      </c>
      <c r="R141" t="s">
        <v>88</v>
      </c>
      <c r="S141" t="s">
        <v>89</v>
      </c>
      <c r="T141" t="s">
        <v>303</v>
      </c>
      <c r="U141">
        <v>471</v>
      </c>
      <c r="V141">
        <v>439</v>
      </c>
      <c r="W141">
        <v>13</v>
      </c>
      <c r="X141">
        <v>1716.32</v>
      </c>
      <c r="Y141">
        <v>170.88</v>
      </c>
      <c r="Z141">
        <v>1887.2</v>
      </c>
      <c r="AA141" t="s">
        <v>63</v>
      </c>
      <c r="AB141">
        <v>0</v>
      </c>
      <c r="AC141">
        <v>99.86</v>
      </c>
      <c r="AD141">
        <v>98</v>
      </c>
      <c r="AE141">
        <v>110</v>
      </c>
    </row>
    <row r="142" spans="1:31" x14ac:dyDescent="0.25">
      <c r="A142" t="s">
        <v>869</v>
      </c>
      <c r="B142" t="s">
        <v>870</v>
      </c>
      <c r="C142" s="1">
        <v>44765</v>
      </c>
      <c r="D142" s="1">
        <v>44370</v>
      </c>
      <c r="E142" t="s">
        <v>50</v>
      </c>
      <c r="F142" t="s">
        <v>78</v>
      </c>
      <c r="G142" t="s">
        <v>52</v>
      </c>
      <c r="H142" t="s">
        <v>164</v>
      </c>
      <c r="I142" t="s">
        <v>871</v>
      </c>
      <c r="J142" t="s">
        <v>82</v>
      </c>
      <c r="K142" t="s">
        <v>97</v>
      </c>
      <c r="L142" t="s">
        <v>872</v>
      </c>
      <c r="M142">
        <v>188.39</v>
      </c>
      <c r="N142">
        <v>42</v>
      </c>
      <c r="O142" t="s">
        <v>873</v>
      </c>
      <c r="P142" t="s">
        <v>110</v>
      </c>
      <c r="Q142" t="s">
        <v>315</v>
      </c>
      <c r="R142" t="s">
        <v>153</v>
      </c>
      <c r="S142" t="s">
        <v>74</v>
      </c>
      <c r="T142" t="s">
        <v>102</v>
      </c>
      <c r="U142">
        <v>3381</v>
      </c>
      <c r="V142">
        <v>456</v>
      </c>
      <c r="W142">
        <v>26</v>
      </c>
      <c r="X142">
        <v>148.61000000000001</v>
      </c>
      <c r="Y142">
        <v>155.62</v>
      </c>
      <c r="Z142">
        <v>304.23</v>
      </c>
      <c r="AA142" t="s">
        <v>63</v>
      </c>
      <c r="AB142">
        <v>0</v>
      </c>
      <c r="AC142">
        <v>70.540000000000006</v>
      </c>
      <c r="AD142">
        <v>167</v>
      </c>
      <c r="AE142">
        <v>177</v>
      </c>
    </row>
    <row r="143" spans="1:31" x14ac:dyDescent="0.25">
      <c r="A143" t="s">
        <v>874</v>
      </c>
      <c r="B143" t="s">
        <v>875</v>
      </c>
      <c r="C143" s="1">
        <v>43955</v>
      </c>
      <c r="D143" s="1">
        <v>43879</v>
      </c>
      <c r="E143" t="s">
        <v>66</v>
      </c>
      <c r="F143" t="s">
        <v>34</v>
      </c>
      <c r="G143" t="s">
        <v>52</v>
      </c>
      <c r="H143" t="s">
        <v>116</v>
      </c>
      <c r="I143" t="s">
        <v>876</v>
      </c>
      <c r="J143" t="s">
        <v>82</v>
      </c>
      <c r="K143" t="s">
        <v>39</v>
      </c>
      <c r="L143" t="s">
        <v>877</v>
      </c>
      <c r="M143">
        <v>389.94</v>
      </c>
      <c r="N143">
        <v>22</v>
      </c>
      <c r="O143" t="s">
        <v>878</v>
      </c>
      <c r="P143" t="s">
        <v>142</v>
      </c>
      <c r="Q143" t="s">
        <v>175</v>
      </c>
      <c r="R143" t="s">
        <v>44</v>
      </c>
      <c r="S143" t="s">
        <v>74</v>
      </c>
      <c r="T143" t="s">
        <v>405</v>
      </c>
      <c r="U143">
        <v>204</v>
      </c>
      <c r="V143">
        <v>182</v>
      </c>
      <c r="W143">
        <v>25</v>
      </c>
      <c r="X143">
        <v>1817.67</v>
      </c>
      <c r="Y143">
        <v>458.36</v>
      </c>
      <c r="Z143">
        <v>2276.0300000000002</v>
      </c>
      <c r="AA143" t="s">
        <v>63</v>
      </c>
      <c r="AB143">
        <v>0</v>
      </c>
      <c r="AC143">
        <v>79.989999999999995</v>
      </c>
      <c r="AD143">
        <v>305</v>
      </c>
      <c r="AE143">
        <v>259</v>
      </c>
    </row>
    <row r="144" spans="1:31" x14ac:dyDescent="0.25">
      <c r="A144" t="s">
        <v>879</v>
      </c>
      <c r="B144" t="s">
        <v>880</v>
      </c>
      <c r="C144" s="1">
        <v>45242</v>
      </c>
      <c r="D144" s="1">
        <v>45637</v>
      </c>
      <c r="E144" t="s">
        <v>33</v>
      </c>
      <c r="F144" t="s">
        <v>93</v>
      </c>
      <c r="G144" t="s">
        <v>67</v>
      </c>
      <c r="H144" t="s">
        <v>164</v>
      </c>
      <c r="I144" t="s">
        <v>881</v>
      </c>
      <c r="J144" t="s">
        <v>96</v>
      </c>
      <c r="K144" t="s">
        <v>39</v>
      </c>
      <c r="L144" t="s">
        <v>882</v>
      </c>
      <c r="M144">
        <v>477.85</v>
      </c>
      <c r="N144">
        <v>55</v>
      </c>
      <c r="O144" t="s">
        <v>883</v>
      </c>
      <c r="P144" t="s">
        <v>110</v>
      </c>
      <c r="Q144" t="s">
        <v>404</v>
      </c>
      <c r="R144" t="s">
        <v>44</v>
      </c>
      <c r="S144" t="s">
        <v>101</v>
      </c>
      <c r="T144" t="s">
        <v>642</v>
      </c>
      <c r="U144">
        <v>1234</v>
      </c>
      <c r="V144">
        <v>317</v>
      </c>
      <c r="W144">
        <v>26</v>
      </c>
      <c r="X144">
        <v>1766.82</v>
      </c>
      <c r="Y144">
        <v>294.64</v>
      </c>
      <c r="Z144">
        <v>2061.46</v>
      </c>
      <c r="AA144" t="s">
        <v>63</v>
      </c>
      <c r="AB144">
        <v>0</v>
      </c>
      <c r="AC144">
        <v>98.62</v>
      </c>
      <c r="AD144">
        <v>265</v>
      </c>
      <c r="AE144">
        <v>262</v>
      </c>
    </row>
    <row r="145" spans="1:31" x14ac:dyDescent="0.25">
      <c r="A145" t="s">
        <v>884</v>
      </c>
      <c r="B145" t="s">
        <v>885</v>
      </c>
      <c r="C145" s="1">
        <v>45653</v>
      </c>
      <c r="D145" s="1">
        <v>44599</v>
      </c>
      <c r="E145" t="s">
        <v>66</v>
      </c>
      <c r="F145" t="s">
        <v>93</v>
      </c>
      <c r="G145" t="s">
        <v>94</v>
      </c>
      <c r="H145" t="s">
        <v>148</v>
      </c>
      <c r="I145" t="s">
        <v>886</v>
      </c>
      <c r="J145" t="s">
        <v>55</v>
      </c>
      <c r="K145" t="s">
        <v>83</v>
      </c>
      <c r="L145" t="s">
        <v>887</v>
      </c>
      <c r="M145">
        <v>270.39999999999998</v>
      </c>
      <c r="N145">
        <v>2</v>
      </c>
      <c r="O145" t="s">
        <v>888</v>
      </c>
      <c r="P145" t="s">
        <v>59</v>
      </c>
      <c r="Q145" t="s">
        <v>529</v>
      </c>
      <c r="R145" t="s">
        <v>44</v>
      </c>
      <c r="S145" t="s">
        <v>45</v>
      </c>
      <c r="T145" t="s">
        <v>329</v>
      </c>
      <c r="U145">
        <v>4892</v>
      </c>
      <c r="V145">
        <v>93</v>
      </c>
      <c r="W145">
        <v>15</v>
      </c>
      <c r="X145">
        <v>1441.47</v>
      </c>
      <c r="Y145">
        <v>468.77</v>
      </c>
      <c r="Z145">
        <v>1910.24</v>
      </c>
      <c r="AA145" t="s">
        <v>63</v>
      </c>
      <c r="AB145">
        <v>0</v>
      </c>
      <c r="AC145">
        <v>83.11</v>
      </c>
      <c r="AD145">
        <v>433</v>
      </c>
      <c r="AE145">
        <v>395</v>
      </c>
    </row>
    <row r="146" spans="1:31" x14ac:dyDescent="0.25">
      <c r="A146" t="s">
        <v>889</v>
      </c>
      <c r="B146" t="s">
        <v>890</v>
      </c>
      <c r="C146" s="1">
        <v>44880</v>
      </c>
      <c r="D146" s="1">
        <v>45020</v>
      </c>
      <c r="E146" t="s">
        <v>50</v>
      </c>
      <c r="F146" t="s">
        <v>93</v>
      </c>
      <c r="G146" t="s">
        <v>79</v>
      </c>
      <c r="H146" t="s">
        <v>80</v>
      </c>
      <c r="I146" t="s">
        <v>891</v>
      </c>
      <c r="J146" t="s">
        <v>107</v>
      </c>
      <c r="K146" t="s">
        <v>97</v>
      </c>
      <c r="L146" t="s">
        <v>892</v>
      </c>
      <c r="M146">
        <v>118.65</v>
      </c>
      <c r="N146">
        <v>24</v>
      </c>
      <c r="O146" t="s">
        <v>694</v>
      </c>
      <c r="P146" t="s">
        <v>110</v>
      </c>
      <c r="Q146" t="s">
        <v>248</v>
      </c>
      <c r="R146" t="s">
        <v>88</v>
      </c>
      <c r="S146" t="s">
        <v>74</v>
      </c>
      <c r="T146" t="s">
        <v>102</v>
      </c>
      <c r="U146">
        <v>2532</v>
      </c>
      <c r="V146">
        <v>228</v>
      </c>
      <c r="W146">
        <v>13</v>
      </c>
      <c r="X146">
        <v>1737.78</v>
      </c>
      <c r="Y146">
        <v>398.6</v>
      </c>
      <c r="Z146">
        <v>2136.38</v>
      </c>
      <c r="AA146" t="s">
        <v>63</v>
      </c>
      <c r="AB146">
        <v>0</v>
      </c>
      <c r="AC146">
        <v>93.95</v>
      </c>
      <c r="AD146">
        <v>185</v>
      </c>
      <c r="AE146">
        <v>212</v>
      </c>
    </row>
    <row r="147" spans="1:31" x14ac:dyDescent="0.25">
      <c r="A147" t="s">
        <v>893</v>
      </c>
      <c r="B147" t="s">
        <v>894</v>
      </c>
      <c r="C147" s="1">
        <v>45441</v>
      </c>
      <c r="D147" s="1">
        <v>45057</v>
      </c>
      <c r="E147" t="s">
        <v>50</v>
      </c>
      <c r="F147" t="s">
        <v>51</v>
      </c>
      <c r="G147" t="s">
        <v>94</v>
      </c>
      <c r="H147" t="s">
        <v>164</v>
      </c>
      <c r="I147" t="s">
        <v>895</v>
      </c>
      <c r="J147" t="s">
        <v>96</v>
      </c>
      <c r="K147" t="s">
        <v>56</v>
      </c>
      <c r="L147" t="s">
        <v>896</v>
      </c>
      <c r="M147">
        <v>104.63</v>
      </c>
      <c r="N147">
        <v>48</v>
      </c>
      <c r="O147" t="s">
        <v>897</v>
      </c>
      <c r="P147" t="s">
        <v>42</v>
      </c>
      <c r="Q147" t="s">
        <v>135</v>
      </c>
      <c r="R147" t="s">
        <v>44</v>
      </c>
      <c r="S147" t="s">
        <v>101</v>
      </c>
      <c r="T147" t="s">
        <v>508</v>
      </c>
      <c r="U147">
        <v>3923</v>
      </c>
      <c r="V147">
        <v>378</v>
      </c>
      <c r="W147">
        <v>7</v>
      </c>
      <c r="X147">
        <v>58.27</v>
      </c>
      <c r="Y147">
        <v>190.39</v>
      </c>
      <c r="Z147">
        <v>248.66</v>
      </c>
      <c r="AA147" t="s">
        <v>63</v>
      </c>
      <c r="AB147">
        <v>0</v>
      </c>
      <c r="AC147">
        <v>82.04</v>
      </c>
      <c r="AD147">
        <v>414</v>
      </c>
      <c r="AE147">
        <v>364</v>
      </c>
    </row>
    <row r="148" spans="1:31" x14ac:dyDescent="0.25">
      <c r="A148" t="s">
        <v>898</v>
      </c>
      <c r="B148" t="s">
        <v>899</v>
      </c>
      <c r="C148" s="1">
        <v>43896</v>
      </c>
      <c r="D148" s="1">
        <v>44590</v>
      </c>
      <c r="E148" t="s">
        <v>66</v>
      </c>
      <c r="F148" t="s">
        <v>93</v>
      </c>
      <c r="G148" t="s">
        <v>337</v>
      </c>
      <c r="H148" t="s">
        <v>116</v>
      </c>
      <c r="I148" t="s">
        <v>900</v>
      </c>
      <c r="J148" t="s">
        <v>96</v>
      </c>
      <c r="K148" t="s">
        <v>83</v>
      </c>
      <c r="L148" t="s">
        <v>901</v>
      </c>
      <c r="M148">
        <v>19.82</v>
      </c>
      <c r="N148">
        <v>73</v>
      </c>
      <c r="O148" t="s">
        <v>902</v>
      </c>
      <c r="P148" t="s">
        <v>86</v>
      </c>
      <c r="Q148" t="s">
        <v>328</v>
      </c>
      <c r="R148" t="s">
        <v>61</v>
      </c>
      <c r="S148" t="s">
        <v>101</v>
      </c>
      <c r="T148" t="s">
        <v>353</v>
      </c>
      <c r="U148">
        <v>3177</v>
      </c>
      <c r="V148">
        <v>53</v>
      </c>
      <c r="W148">
        <v>12</v>
      </c>
      <c r="X148">
        <v>1884.99</v>
      </c>
      <c r="Y148">
        <v>406.51</v>
      </c>
      <c r="Z148">
        <v>2291.5</v>
      </c>
      <c r="AA148" t="s">
        <v>63</v>
      </c>
      <c r="AB148">
        <v>0</v>
      </c>
      <c r="AC148">
        <v>84.2</v>
      </c>
      <c r="AD148">
        <v>135</v>
      </c>
      <c r="AE148">
        <v>137</v>
      </c>
    </row>
    <row r="149" spans="1:31" x14ac:dyDescent="0.25">
      <c r="A149" t="s">
        <v>903</v>
      </c>
      <c r="B149" t="s">
        <v>904</v>
      </c>
      <c r="C149" s="1">
        <v>44324</v>
      </c>
      <c r="D149" s="1">
        <v>44623</v>
      </c>
      <c r="E149" t="s">
        <v>66</v>
      </c>
      <c r="F149" t="s">
        <v>34</v>
      </c>
      <c r="G149" t="s">
        <v>52</v>
      </c>
      <c r="H149" t="s">
        <v>53</v>
      </c>
      <c r="I149" t="s">
        <v>905</v>
      </c>
      <c r="J149" t="s">
        <v>82</v>
      </c>
      <c r="K149" t="s">
        <v>56</v>
      </c>
      <c r="L149" t="s">
        <v>906</v>
      </c>
      <c r="M149">
        <v>281.52</v>
      </c>
      <c r="N149">
        <v>73</v>
      </c>
      <c r="O149" t="s">
        <v>382</v>
      </c>
      <c r="P149" t="s">
        <v>142</v>
      </c>
      <c r="Q149" t="s">
        <v>202</v>
      </c>
      <c r="R149" t="s">
        <v>44</v>
      </c>
      <c r="S149" t="s">
        <v>74</v>
      </c>
      <c r="T149" t="s">
        <v>341</v>
      </c>
      <c r="U149">
        <v>1547</v>
      </c>
      <c r="V149">
        <v>143</v>
      </c>
      <c r="W149">
        <v>5</v>
      </c>
      <c r="X149">
        <v>638.04</v>
      </c>
      <c r="Y149">
        <v>474.56</v>
      </c>
      <c r="Z149">
        <v>1112.5999999999999</v>
      </c>
      <c r="AA149" t="s">
        <v>63</v>
      </c>
      <c r="AB149">
        <v>0</v>
      </c>
      <c r="AC149">
        <v>85.54</v>
      </c>
      <c r="AD149">
        <v>310</v>
      </c>
      <c r="AE149">
        <v>333</v>
      </c>
    </row>
    <row r="150" spans="1:31" x14ac:dyDescent="0.25">
      <c r="A150" t="s">
        <v>907</v>
      </c>
      <c r="B150" t="s">
        <v>908</v>
      </c>
      <c r="C150" s="1">
        <v>45303</v>
      </c>
      <c r="D150" s="1">
        <v>44890</v>
      </c>
      <c r="E150" t="s">
        <v>66</v>
      </c>
      <c r="F150" t="s">
        <v>34</v>
      </c>
      <c r="G150" t="s">
        <v>94</v>
      </c>
      <c r="H150" t="s">
        <v>116</v>
      </c>
      <c r="I150" t="s">
        <v>909</v>
      </c>
      <c r="J150" t="s">
        <v>38</v>
      </c>
      <c r="K150" t="s">
        <v>97</v>
      </c>
      <c r="L150" t="s">
        <v>910</v>
      </c>
      <c r="M150">
        <v>272.89999999999998</v>
      </c>
      <c r="N150">
        <v>40</v>
      </c>
      <c r="O150" t="s">
        <v>911</v>
      </c>
      <c r="P150" t="s">
        <v>142</v>
      </c>
      <c r="Q150" t="s">
        <v>87</v>
      </c>
      <c r="R150" t="s">
        <v>88</v>
      </c>
      <c r="S150" t="s">
        <v>45</v>
      </c>
      <c r="T150" t="s">
        <v>90</v>
      </c>
      <c r="U150">
        <v>4885</v>
      </c>
      <c r="V150">
        <v>93</v>
      </c>
      <c r="W150">
        <v>23</v>
      </c>
      <c r="X150">
        <v>1901.1</v>
      </c>
      <c r="Y150">
        <v>422.31</v>
      </c>
      <c r="Z150">
        <v>2323.41</v>
      </c>
      <c r="AA150" t="s">
        <v>63</v>
      </c>
      <c r="AB150">
        <v>0</v>
      </c>
      <c r="AC150">
        <v>92.05</v>
      </c>
      <c r="AD150">
        <v>479</v>
      </c>
      <c r="AE150">
        <v>502</v>
      </c>
    </row>
    <row r="151" spans="1:31" x14ac:dyDescent="0.25">
      <c r="A151" t="s">
        <v>912</v>
      </c>
      <c r="B151" t="s">
        <v>913</v>
      </c>
      <c r="C151" s="1">
        <v>44684</v>
      </c>
      <c r="D151" s="1">
        <v>45067</v>
      </c>
      <c r="E151" t="s">
        <v>66</v>
      </c>
      <c r="F151" t="s">
        <v>93</v>
      </c>
      <c r="G151" t="s">
        <v>79</v>
      </c>
      <c r="H151" t="s">
        <v>164</v>
      </c>
      <c r="I151" t="s">
        <v>914</v>
      </c>
      <c r="J151" t="s">
        <v>82</v>
      </c>
      <c r="K151" t="s">
        <v>70</v>
      </c>
      <c r="L151" t="s">
        <v>915</v>
      </c>
      <c r="M151">
        <v>376.25</v>
      </c>
      <c r="N151">
        <v>92</v>
      </c>
      <c r="O151" t="s">
        <v>583</v>
      </c>
      <c r="P151" t="s">
        <v>110</v>
      </c>
      <c r="Q151" t="s">
        <v>706</v>
      </c>
      <c r="R151" t="s">
        <v>88</v>
      </c>
      <c r="S151" t="s">
        <v>101</v>
      </c>
      <c r="T151" t="s">
        <v>652</v>
      </c>
      <c r="U151">
        <v>1362</v>
      </c>
      <c r="V151">
        <v>57</v>
      </c>
      <c r="W151">
        <v>19</v>
      </c>
      <c r="X151">
        <v>220.9</v>
      </c>
      <c r="Y151">
        <v>221.26</v>
      </c>
      <c r="Z151">
        <v>442.16</v>
      </c>
      <c r="AA151" t="s">
        <v>63</v>
      </c>
      <c r="AB151">
        <v>0</v>
      </c>
      <c r="AC151">
        <v>74.87</v>
      </c>
      <c r="AD151">
        <v>269</v>
      </c>
      <c r="AE151">
        <v>248</v>
      </c>
    </row>
    <row r="152" spans="1:31" x14ac:dyDescent="0.25">
      <c r="A152" t="s">
        <v>916</v>
      </c>
      <c r="B152" t="s">
        <v>917</v>
      </c>
      <c r="C152" s="1">
        <v>43965</v>
      </c>
      <c r="D152" s="1">
        <v>44447</v>
      </c>
      <c r="E152" t="s">
        <v>50</v>
      </c>
      <c r="F152" t="s">
        <v>78</v>
      </c>
      <c r="G152" t="s">
        <v>79</v>
      </c>
      <c r="H152" t="s">
        <v>36</v>
      </c>
      <c r="I152" t="s">
        <v>918</v>
      </c>
      <c r="J152" t="s">
        <v>55</v>
      </c>
      <c r="K152" t="s">
        <v>39</v>
      </c>
      <c r="L152" t="s">
        <v>919</v>
      </c>
      <c r="M152">
        <v>109.06</v>
      </c>
      <c r="N152">
        <v>36</v>
      </c>
      <c r="O152" t="s">
        <v>920</v>
      </c>
      <c r="P152" t="s">
        <v>42</v>
      </c>
      <c r="Q152" t="s">
        <v>60</v>
      </c>
      <c r="R152" t="s">
        <v>44</v>
      </c>
      <c r="S152" t="s">
        <v>128</v>
      </c>
      <c r="T152" t="s">
        <v>196</v>
      </c>
      <c r="U152">
        <v>1921</v>
      </c>
      <c r="V152">
        <v>89</v>
      </c>
      <c r="W152">
        <v>16</v>
      </c>
      <c r="X152">
        <v>1125.45</v>
      </c>
      <c r="Y152">
        <v>296.18</v>
      </c>
      <c r="Z152">
        <v>1421.63</v>
      </c>
      <c r="AA152" t="s">
        <v>63</v>
      </c>
      <c r="AB152">
        <v>0</v>
      </c>
      <c r="AC152">
        <v>70.88</v>
      </c>
      <c r="AD152">
        <v>100</v>
      </c>
      <c r="AE152">
        <v>112</v>
      </c>
    </row>
    <row r="153" spans="1:31" x14ac:dyDescent="0.25">
      <c r="A153" t="s">
        <v>921</v>
      </c>
      <c r="B153" t="s">
        <v>922</v>
      </c>
      <c r="C153" s="1">
        <v>44133</v>
      </c>
      <c r="D153" s="1">
        <v>43882</v>
      </c>
      <c r="E153" t="s">
        <v>66</v>
      </c>
      <c r="F153" t="s">
        <v>147</v>
      </c>
      <c r="G153" t="s">
        <v>337</v>
      </c>
      <c r="H153" t="s">
        <v>164</v>
      </c>
      <c r="I153" t="s">
        <v>923</v>
      </c>
      <c r="J153" t="s">
        <v>38</v>
      </c>
      <c r="K153" t="s">
        <v>39</v>
      </c>
      <c r="L153" t="s">
        <v>924</v>
      </c>
      <c r="M153">
        <v>367.78</v>
      </c>
      <c r="N153">
        <v>87</v>
      </c>
      <c r="O153" t="s">
        <v>925</v>
      </c>
      <c r="P153" t="s">
        <v>110</v>
      </c>
      <c r="Q153" t="s">
        <v>926</v>
      </c>
      <c r="R153" t="s">
        <v>44</v>
      </c>
      <c r="S153" t="s">
        <v>128</v>
      </c>
      <c r="T153" t="s">
        <v>927</v>
      </c>
      <c r="U153">
        <v>504</v>
      </c>
      <c r="V153">
        <v>483</v>
      </c>
      <c r="W153">
        <v>6</v>
      </c>
      <c r="X153">
        <v>825.61</v>
      </c>
      <c r="Y153">
        <v>423.33</v>
      </c>
      <c r="Z153">
        <v>1248.94</v>
      </c>
      <c r="AA153" t="s">
        <v>47</v>
      </c>
      <c r="AB153">
        <v>9</v>
      </c>
      <c r="AC153">
        <v>73.63</v>
      </c>
      <c r="AD153">
        <v>181</v>
      </c>
      <c r="AE153">
        <v>151</v>
      </c>
    </row>
    <row r="154" spans="1:31" x14ac:dyDescent="0.25">
      <c r="A154" t="s">
        <v>928</v>
      </c>
      <c r="B154" t="s">
        <v>929</v>
      </c>
      <c r="C154" s="1">
        <v>44654</v>
      </c>
      <c r="D154" s="1">
        <v>45450</v>
      </c>
      <c r="E154" t="s">
        <v>66</v>
      </c>
      <c r="F154" t="s">
        <v>34</v>
      </c>
      <c r="G154" t="s">
        <v>337</v>
      </c>
      <c r="H154" t="s">
        <v>218</v>
      </c>
      <c r="I154" t="s">
        <v>930</v>
      </c>
      <c r="J154" t="s">
        <v>55</v>
      </c>
      <c r="K154" t="s">
        <v>83</v>
      </c>
      <c r="L154" t="s">
        <v>931</v>
      </c>
      <c r="M154">
        <v>397.33</v>
      </c>
      <c r="N154">
        <v>11</v>
      </c>
      <c r="O154" t="s">
        <v>932</v>
      </c>
      <c r="P154" t="s">
        <v>42</v>
      </c>
      <c r="Q154" t="s">
        <v>202</v>
      </c>
      <c r="R154" t="s">
        <v>88</v>
      </c>
      <c r="S154" t="s">
        <v>74</v>
      </c>
      <c r="T154" t="s">
        <v>933</v>
      </c>
      <c r="U154">
        <v>4998</v>
      </c>
      <c r="V154">
        <v>96</v>
      </c>
      <c r="W154">
        <v>14</v>
      </c>
      <c r="X154">
        <v>1520.25</v>
      </c>
      <c r="Y154">
        <v>434.54</v>
      </c>
      <c r="Z154">
        <v>1954.79</v>
      </c>
      <c r="AA154" t="s">
        <v>63</v>
      </c>
      <c r="AB154">
        <v>0</v>
      </c>
      <c r="AC154">
        <v>85.45</v>
      </c>
      <c r="AD154">
        <v>487</v>
      </c>
      <c r="AE154">
        <v>481</v>
      </c>
    </row>
    <row r="155" spans="1:31" x14ac:dyDescent="0.25">
      <c r="A155" t="s">
        <v>934</v>
      </c>
      <c r="B155" t="s">
        <v>935</v>
      </c>
      <c r="C155" s="1">
        <v>44857</v>
      </c>
      <c r="D155" s="1">
        <v>45278</v>
      </c>
      <c r="E155" t="s">
        <v>33</v>
      </c>
      <c r="F155" t="s">
        <v>78</v>
      </c>
      <c r="G155" t="s">
        <v>52</v>
      </c>
      <c r="H155" t="s">
        <v>116</v>
      </c>
      <c r="I155" t="s">
        <v>936</v>
      </c>
      <c r="J155" t="s">
        <v>107</v>
      </c>
      <c r="K155" t="s">
        <v>70</v>
      </c>
      <c r="L155" t="s">
        <v>937</v>
      </c>
      <c r="M155">
        <v>425.45</v>
      </c>
      <c r="N155">
        <v>63</v>
      </c>
      <c r="O155" t="s">
        <v>938</v>
      </c>
      <c r="P155" t="s">
        <v>42</v>
      </c>
      <c r="Q155" t="s">
        <v>87</v>
      </c>
      <c r="R155" t="s">
        <v>153</v>
      </c>
      <c r="S155" t="s">
        <v>128</v>
      </c>
      <c r="T155" t="s">
        <v>939</v>
      </c>
      <c r="U155">
        <v>1367</v>
      </c>
      <c r="V155">
        <v>484</v>
      </c>
      <c r="W155">
        <v>1</v>
      </c>
      <c r="X155">
        <v>811.9</v>
      </c>
      <c r="Y155">
        <v>313.57</v>
      </c>
      <c r="Z155">
        <v>1125.47</v>
      </c>
      <c r="AA155" t="s">
        <v>63</v>
      </c>
      <c r="AB155">
        <v>0</v>
      </c>
      <c r="AC155">
        <v>78.47</v>
      </c>
      <c r="AD155">
        <v>127</v>
      </c>
      <c r="AE155">
        <v>162</v>
      </c>
    </row>
    <row r="156" spans="1:31" x14ac:dyDescent="0.25">
      <c r="A156" t="s">
        <v>940</v>
      </c>
      <c r="B156" t="s">
        <v>941</v>
      </c>
      <c r="C156" s="1">
        <v>44056</v>
      </c>
      <c r="D156" s="1">
        <v>44843</v>
      </c>
      <c r="E156" t="s">
        <v>66</v>
      </c>
      <c r="F156" t="s">
        <v>78</v>
      </c>
      <c r="G156" t="s">
        <v>79</v>
      </c>
      <c r="H156" t="s">
        <v>80</v>
      </c>
      <c r="I156" t="s">
        <v>942</v>
      </c>
      <c r="J156" t="s">
        <v>96</v>
      </c>
      <c r="K156" t="s">
        <v>56</v>
      </c>
      <c r="L156" t="s">
        <v>943</v>
      </c>
      <c r="M156">
        <v>11.06</v>
      </c>
      <c r="N156">
        <v>69</v>
      </c>
      <c r="O156" t="s">
        <v>427</v>
      </c>
      <c r="P156" t="s">
        <v>59</v>
      </c>
      <c r="Q156" t="s">
        <v>383</v>
      </c>
      <c r="R156" t="s">
        <v>153</v>
      </c>
      <c r="S156" t="s">
        <v>89</v>
      </c>
      <c r="T156" t="s">
        <v>353</v>
      </c>
      <c r="U156">
        <v>1723</v>
      </c>
      <c r="V156">
        <v>67</v>
      </c>
      <c r="W156">
        <v>19</v>
      </c>
      <c r="X156">
        <v>473.9</v>
      </c>
      <c r="Y156">
        <v>205.95</v>
      </c>
      <c r="Z156">
        <v>679.84999999999991</v>
      </c>
      <c r="AA156" t="s">
        <v>63</v>
      </c>
      <c r="AB156">
        <v>0</v>
      </c>
      <c r="AC156">
        <v>88.11</v>
      </c>
      <c r="AD156">
        <v>156</v>
      </c>
      <c r="AE156">
        <v>173</v>
      </c>
    </row>
    <row r="157" spans="1:31" x14ac:dyDescent="0.25">
      <c r="A157" t="s">
        <v>944</v>
      </c>
      <c r="B157" t="s">
        <v>945</v>
      </c>
      <c r="C157" s="1">
        <v>44440</v>
      </c>
      <c r="D157" s="1">
        <v>45624</v>
      </c>
      <c r="E157" t="s">
        <v>50</v>
      </c>
      <c r="F157" t="s">
        <v>93</v>
      </c>
      <c r="G157" t="s">
        <v>79</v>
      </c>
      <c r="H157" t="s">
        <v>36</v>
      </c>
      <c r="I157" t="s">
        <v>946</v>
      </c>
      <c r="J157" t="s">
        <v>55</v>
      </c>
      <c r="K157" t="s">
        <v>56</v>
      </c>
      <c r="L157" t="s">
        <v>947</v>
      </c>
      <c r="M157">
        <v>227.9</v>
      </c>
      <c r="N157">
        <v>67</v>
      </c>
      <c r="O157" t="s">
        <v>948</v>
      </c>
      <c r="P157" t="s">
        <v>142</v>
      </c>
      <c r="Q157" t="s">
        <v>290</v>
      </c>
      <c r="R157" t="s">
        <v>153</v>
      </c>
      <c r="S157" t="s">
        <v>101</v>
      </c>
      <c r="T157" t="s">
        <v>242</v>
      </c>
      <c r="U157">
        <v>3821</v>
      </c>
      <c r="V157">
        <v>462</v>
      </c>
      <c r="W157">
        <v>4</v>
      </c>
      <c r="X157">
        <v>542.05999999999995</v>
      </c>
      <c r="Y157">
        <v>471.5</v>
      </c>
      <c r="Z157">
        <v>1013.56</v>
      </c>
      <c r="AA157" t="s">
        <v>63</v>
      </c>
      <c r="AB157">
        <v>0</v>
      </c>
      <c r="AC157">
        <v>86.41</v>
      </c>
      <c r="AD157">
        <v>118</v>
      </c>
      <c r="AE157">
        <v>162</v>
      </c>
    </row>
    <row r="158" spans="1:31" x14ac:dyDescent="0.25">
      <c r="A158" t="s">
        <v>949</v>
      </c>
      <c r="B158" t="s">
        <v>950</v>
      </c>
      <c r="C158" s="1">
        <v>43875</v>
      </c>
      <c r="D158" s="1">
        <v>43982</v>
      </c>
      <c r="E158" t="s">
        <v>50</v>
      </c>
      <c r="F158" t="s">
        <v>93</v>
      </c>
      <c r="G158" t="s">
        <v>337</v>
      </c>
      <c r="H158" t="s">
        <v>36</v>
      </c>
      <c r="I158" t="s">
        <v>951</v>
      </c>
      <c r="J158" t="s">
        <v>38</v>
      </c>
      <c r="K158" t="s">
        <v>83</v>
      </c>
      <c r="L158" t="s">
        <v>952</v>
      </c>
      <c r="M158">
        <v>267.14999999999998</v>
      </c>
      <c r="N158">
        <v>54</v>
      </c>
      <c r="O158" t="s">
        <v>839</v>
      </c>
      <c r="P158" t="s">
        <v>86</v>
      </c>
      <c r="Q158" t="s">
        <v>529</v>
      </c>
      <c r="R158" t="s">
        <v>88</v>
      </c>
      <c r="S158" t="s">
        <v>128</v>
      </c>
      <c r="T158" t="s">
        <v>222</v>
      </c>
      <c r="U158">
        <v>1056</v>
      </c>
      <c r="V158">
        <v>272</v>
      </c>
      <c r="W158">
        <v>2</v>
      </c>
      <c r="X158">
        <v>1422.62</v>
      </c>
      <c r="Y158">
        <v>328.64</v>
      </c>
      <c r="Z158">
        <v>1751.26</v>
      </c>
      <c r="AA158" t="s">
        <v>63</v>
      </c>
      <c r="AB158">
        <v>0</v>
      </c>
      <c r="AC158">
        <v>77.41</v>
      </c>
      <c r="AD158">
        <v>79</v>
      </c>
      <c r="AE158">
        <v>105</v>
      </c>
    </row>
    <row r="159" spans="1:31" x14ac:dyDescent="0.25">
      <c r="A159" t="s">
        <v>953</v>
      </c>
      <c r="B159" t="s">
        <v>954</v>
      </c>
      <c r="C159" s="1">
        <v>44970</v>
      </c>
      <c r="D159" s="1">
        <v>44443</v>
      </c>
      <c r="E159" t="s">
        <v>66</v>
      </c>
      <c r="F159" t="s">
        <v>51</v>
      </c>
      <c r="G159" t="s">
        <v>94</v>
      </c>
      <c r="H159" t="s">
        <v>53</v>
      </c>
      <c r="I159" t="s">
        <v>955</v>
      </c>
      <c r="J159" t="s">
        <v>55</v>
      </c>
      <c r="K159" t="s">
        <v>83</v>
      </c>
      <c r="L159" t="s">
        <v>956</v>
      </c>
      <c r="M159">
        <v>475.2</v>
      </c>
      <c r="N159">
        <v>45</v>
      </c>
      <c r="O159" t="s">
        <v>957</v>
      </c>
      <c r="P159" t="s">
        <v>59</v>
      </c>
      <c r="Q159" t="s">
        <v>383</v>
      </c>
      <c r="R159" t="s">
        <v>153</v>
      </c>
      <c r="S159" t="s">
        <v>128</v>
      </c>
      <c r="T159" t="s">
        <v>636</v>
      </c>
      <c r="U159">
        <v>4548</v>
      </c>
      <c r="V159">
        <v>188</v>
      </c>
      <c r="W159">
        <v>6</v>
      </c>
      <c r="X159">
        <v>645.46</v>
      </c>
      <c r="Y159">
        <v>175.29</v>
      </c>
      <c r="Z159">
        <v>820.75</v>
      </c>
      <c r="AA159" t="s">
        <v>63</v>
      </c>
      <c r="AB159">
        <v>0</v>
      </c>
      <c r="AC159">
        <v>87.62</v>
      </c>
      <c r="AD159">
        <v>386</v>
      </c>
      <c r="AE159">
        <v>386</v>
      </c>
    </row>
    <row r="160" spans="1:31" x14ac:dyDescent="0.25">
      <c r="A160" t="s">
        <v>958</v>
      </c>
      <c r="B160" t="s">
        <v>959</v>
      </c>
      <c r="C160" s="1">
        <v>45634</v>
      </c>
      <c r="D160" s="1">
        <v>45638</v>
      </c>
      <c r="E160" t="s">
        <v>33</v>
      </c>
      <c r="F160" t="s">
        <v>51</v>
      </c>
      <c r="G160" t="s">
        <v>337</v>
      </c>
      <c r="H160" t="s">
        <v>218</v>
      </c>
      <c r="I160" t="s">
        <v>960</v>
      </c>
      <c r="J160" t="s">
        <v>96</v>
      </c>
      <c r="K160" t="s">
        <v>70</v>
      </c>
      <c r="L160" t="s">
        <v>961</v>
      </c>
      <c r="M160">
        <v>13.71</v>
      </c>
      <c r="N160">
        <v>84</v>
      </c>
      <c r="O160" t="s">
        <v>962</v>
      </c>
      <c r="P160" t="s">
        <v>86</v>
      </c>
      <c r="Q160" t="s">
        <v>340</v>
      </c>
      <c r="R160" t="s">
        <v>153</v>
      </c>
      <c r="S160" t="s">
        <v>45</v>
      </c>
      <c r="T160" t="s">
        <v>242</v>
      </c>
      <c r="U160">
        <v>1288</v>
      </c>
      <c r="V160">
        <v>63</v>
      </c>
      <c r="W160">
        <v>18</v>
      </c>
      <c r="X160">
        <v>1513.45</v>
      </c>
      <c r="Y160">
        <v>29.72</v>
      </c>
      <c r="Z160">
        <v>1543.17</v>
      </c>
      <c r="AA160" t="s">
        <v>63</v>
      </c>
      <c r="AB160">
        <v>0</v>
      </c>
      <c r="AC160">
        <v>86.61</v>
      </c>
      <c r="AD160">
        <v>106</v>
      </c>
      <c r="AE160">
        <v>147</v>
      </c>
    </row>
    <row r="161" spans="1:31" x14ac:dyDescent="0.25">
      <c r="A161" t="s">
        <v>963</v>
      </c>
      <c r="B161" t="s">
        <v>964</v>
      </c>
      <c r="C161" s="1">
        <v>45004</v>
      </c>
      <c r="D161" s="1">
        <v>43939</v>
      </c>
      <c r="E161" t="s">
        <v>66</v>
      </c>
      <c r="F161" t="s">
        <v>78</v>
      </c>
      <c r="G161" t="s">
        <v>52</v>
      </c>
      <c r="H161" t="s">
        <v>80</v>
      </c>
      <c r="I161" t="s">
        <v>965</v>
      </c>
      <c r="J161" t="s">
        <v>38</v>
      </c>
      <c r="K161" t="s">
        <v>97</v>
      </c>
      <c r="L161" t="s">
        <v>966</v>
      </c>
      <c r="M161">
        <v>423.74</v>
      </c>
      <c r="N161">
        <v>8</v>
      </c>
      <c r="O161" t="s">
        <v>967</v>
      </c>
      <c r="P161" t="s">
        <v>110</v>
      </c>
      <c r="Q161" t="s">
        <v>609</v>
      </c>
      <c r="R161" t="s">
        <v>88</v>
      </c>
      <c r="S161" t="s">
        <v>128</v>
      </c>
      <c r="T161" t="s">
        <v>102</v>
      </c>
      <c r="U161">
        <v>298</v>
      </c>
      <c r="V161">
        <v>99</v>
      </c>
      <c r="W161">
        <v>27</v>
      </c>
      <c r="X161">
        <v>846.04</v>
      </c>
      <c r="Y161">
        <v>326.02999999999997</v>
      </c>
      <c r="Z161">
        <v>1172.07</v>
      </c>
      <c r="AA161" t="s">
        <v>63</v>
      </c>
      <c r="AB161">
        <v>0</v>
      </c>
      <c r="AC161">
        <v>81.16</v>
      </c>
      <c r="AD161">
        <v>77</v>
      </c>
      <c r="AE161">
        <v>125</v>
      </c>
    </row>
    <row r="162" spans="1:31" x14ac:dyDescent="0.25">
      <c r="A162" t="s">
        <v>968</v>
      </c>
      <c r="B162" t="s">
        <v>969</v>
      </c>
      <c r="C162" s="1">
        <v>45118</v>
      </c>
      <c r="D162" s="1">
        <v>45567</v>
      </c>
      <c r="E162" t="s">
        <v>50</v>
      </c>
      <c r="F162" t="s">
        <v>34</v>
      </c>
      <c r="G162" t="s">
        <v>52</v>
      </c>
      <c r="H162" t="s">
        <v>68</v>
      </c>
      <c r="I162" t="s">
        <v>970</v>
      </c>
      <c r="J162" t="s">
        <v>107</v>
      </c>
      <c r="K162" t="s">
        <v>83</v>
      </c>
      <c r="L162" t="s">
        <v>971</v>
      </c>
      <c r="M162">
        <v>356.96</v>
      </c>
      <c r="N162">
        <v>81</v>
      </c>
      <c r="O162" t="s">
        <v>972</v>
      </c>
      <c r="P162" t="s">
        <v>59</v>
      </c>
      <c r="Q162" t="s">
        <v>684</v>
      </c>
      <c r="R162" t="s">
        <v>61</v>
      </c>
      <c r="S162" t="s">
        <v>45</v>
      </c>
      <c r="T162" t="s">
        <v>262</v>
      </c>
      <c r="U162">
        <v>3175</v>
      </c>
      <c r="V162">
        <v>315</v>
      </c>
      <c r="W162">
        <v>9</v>
      </c>
      <c r="X162">
        <v>1959.56</v>
      </c>
      <c r="Y162">
        <v>449.28</v>
      </c>
      <c r="Z162">
        <v>2408.84</v>
      </c>
      <c r="AA162" t="s">
        <v>63</v>
      </c>
      <c r="AB162">
        <v>0</v>
      </c>
      <c r="AC162">
        <v>88.84</v>
      </c>
      <c r="AD162">
        <v>432</v>
      </c>
      <c r="AE162">
        <v>428</v>
      </c>
    </row>
    <row r="163" spans="1:31" x14ac:dyDescent="0.25">
      <c r="A163" t="s">
        <v>973</v>
      </c>
      <c r="B163" t="s">
        <v>974</v>
      </c>
      <c r="C163" s="1">
        <v>44832</v>
      </c>
      <c r="D163" s="1">
        <v>45108</v>
      </c>
      <c r="E163" t="s">
        <v>33</v>
      </c>
      <c r="F163" t="s">
        <v>147</v>
      </c>
      <c r="G163" t="s">
        <v>115</v>
      </c>
      <c r="H163" t="s">
        <v>68</v>
      </c>
      <c r="I163" t="s">
        <v>975</v>
      </c>
      <c r="J163" t="s">
        <v>38</v>
      </c>
      <c r="K163" t="s">
        <v>56</v>
      </c>
      <c r="L163" t="s">
        <v>976</v>
      </c>
      <c r="M163">
        <v>193.29</v>
      </c>
      <c r="N163">
        <v>24</v>
      </c>
      <c r="O163" t="s">
        <v>977</v>
      </c>
      <c r="P163" t="s">
        <v>86</v>
      </c>
      <c r="Q163" t="s">
        <v>541</v>
      </c>
      <c r="R163" t="s">
        <v>44</v>
      </c>
      <c r="S163" t="s">
        <v>74</v>
      </c>
      <c r="T163" t="s">
        <v>508</v>
      </c>
      <c r="U163">
        <v>966</v>
      </c>
      <c r="V163">
        <v>369</v>
      </c>
      <c r="W163">
        <v>7</v>
      </c>
      <c r="X163">
        <v>1912.28</v>
      </c>
      <c r="Y163">
        <v>363.88</v>
      </c>
      <c r="Z163">
        <v>2276.16</v>
      </c>
      <c r="AA163" t="s">
        <v>63</v>
      </c>
      <c r="AB163">
        <v>0</v>
      </c>
      <c r="AC163">
        <v>90.84</v>
      </c>
      <c r="AD163">
        <v>349</v>
      </c>
      <c r="AE163">
        <v>329</v>
      </c>
    </row>
    <row r="164" spans="1:31" x14ac:dyDescent="0.25">
      <c r="A164" t="s">
        <v>978</v>
      </c>
      <c r="B164" t="s">
        <v>979</v>
      </c>
      <c r="C164" s="1">
        <v>45557</v>
      </c>
      <c r="D164" s="1">
        <v>44459</v>
      </c>
      <c r="E164" t="s">
        <v>66</v>
      </c>
      <c r="F164" t="s">
        <v>34</v>
      </c>
      <c r="G164" t="s">
        <v>337</v>
      </c>
      <c r="H164" t="s">
        <v>148</v>
      </c>
      <c r="I164" t="s">
        <v>980</v>
      </c>
      <c r="J164" t="s">
        <v>107</v>
      </c>
      <c r="K164" t="s">
        <v>39</v>
      </c>
      <c r="L164" t="s">
        <v>981</v>
      </c>
      <c r="M164">
        <v>202.8</v>
      </c>
      <c r="N164">
        <v>15</v>
      </c>
      <c r="O164" t="s">
        <v>982</v>
      </c>
      <c r="P164" t="s">
        <v>110</v>
      </c>
      <c r="Q164" t="s">
        <v>488</v>
      </c>
      <c r="R164" t="s">
        <v>88</v>
      </c>
      <c r="S164" t="s">
        <v>89</v>
      </c>
      <c r="T164" t="s">
        <v>75</v>
      </c>
      <c r="U164">
        <v>4545</v>
      </c>
      <c r="V164">
        <v>416</v>
      </c>
      <c r="W164">
        <v>24</v>
      </c>
      <c r="X164">
        <v>1244.1500000000001</v>
      </c>
      <c r="Y164">
        <v>378.14</v>
      </c>
      <c r="Z164">
        <v>1622.29</v>
      </c>
      <c r="AA164" t="s">
        <v>63</v>
      </c>
      <c r="AB164">
        <v>0</v>
      </c>
      <c r="AC164">
        <v>73.16</v>
      </c>
      <c r="AD164">
        <v>62</v>
      </c>
      <c r="AE164">
        <v>58</v>
      </c>
    </row>
    <row r="165" spans="1:31" x14ac:dyDescent="0.25">
      <c r="A165" t="s">
        <v>983</v>
      </c>
      <c r="B165" t="s">
        <v>984</v>
      </c>
      <c r="C165" s="1">
        <v>45137</v>
      </c>
      <c r="D165" s="1">
        <v>44992</v>
      </c>
      <c r="E165" t="s">
        <v>66</v>
      </c>
      <c r="F165" t="s">
        <v>93</v>
      </c>
      <c r="G165" t="s">
        <v>52</v>
      </c>
      <c r="H165" t="s">
        <v>116</v>
      </c>
      <c r="I165" t="s">
        <v>985</v>
      </c>
      <c r="J165" t="s">
        <v>96</v>
      </c>
      <c r="K165" t="s">
        <v>70</v>
      </c>
      <c r="L165" t="s">
        <v>986</v>
      </c>
      <c r="M165">
        <v>360.9</v>
      </c>
      <c r="N165">
        <v>89</v>
      </c>
      <c r="O165" t="s">
        <v>987</v>
      </c>
      <c r="P165" t="s">
        <v>86</v>
      </c>
      <c r="Q165" t="s">
        <v>488</v>
      </c>
      <c r="R165" t="s">
        <v>153</v>
      </c>
      <c r="S165" t="s">
        <v>128</v>
      </c>
      <c r="T165" t="s">
        <v>121</v>
      </c>
      <c r="U165">
        <v>2577</v>
      </c>
      <c r="V165">
        <v>466</v>
      </c>
      <c r="W165">
        <v>21</v>
      </c>
      <c r="X165">
        <v>716.53</v>
      </c>
      <c r="Y165">
        <v>80.22</v>
      </c>
      <c r="Z165">
        <v>796.75</v>
      </c>
      <c r="AA165" t="s">
        <v>63</v>
      </c>
      <c r="AB165">
        <v>0</v>
      </c>
      <c r="AC165">
        <v>93.14</v>
      </c>
      <c r="AD165">
        <v>140</v>
      </c>
      <c r="AE165">
        <v>144</v>
      </c>
    </row>
    <row r="166" spans="1:31" x14ac:dyDescent="0.25">
      <c r="A166" t="s">
        <v>988</v>
      </c>
      <c r="B166" t="s">
        <v>989</v>
      </c>
      <c r="C166" s="1">
        <v>45235</v>
      </c>
      <c r="D166" s="1">
        <v>45403</v>
      </c>
      <c r="E166" t="s">
        <v>50</v>
      </c>
      <c r="F166" t="s">
        <v>34</v>
      </c>
      <c r="G166" t="s">
        <v>35</v>
      </c>
      <c r="H166" t="s">
        <v>218</v>
      </c>
      <c r="I166" t="s">
        <v>990</v>
      </c>
      <c r="J166" t="s">
        <v>82</v>
      </c>
      <c r="K166" t="s">
        <v>70</v>
      </c>
      <c r="L166" t="s">
        <v>991</v>
      </c>
      <c r="M166">
        <v>5.81</v>
      </c>
      <c r="N166">
        <v>36</v>
      </c>
      <c r="O166" t="s">
        <v>583</v>
      </c>
      <c r="P166" t="s">
        <v>59</v>
      </c>
      <c r="Q166" t="s">
        <v>558</v>
      </c>
      <c r="R166" t="s">
        <v>61</v>
      </c>
      <c r="S166" t="s">
        <v>74</v>
      </c>
      <c r="T166" t="s">
        <v>636</v>
      </c>
      <c r="U166">
        <v>2802</v>
      </c>
      <c r="V166">
        <v>413</v>
      </c>
      <c r="W166">
        <v>4</v>
      </c>
      <c r="X166">
        <v>926.35</v>
      </c>
      <c r="Y166">
        <v>370.86</v>
      </c>
      <c r="Z166">
        <v>1297.21</v>
      </c>
      <c r="AA166" t="s">
        <v>63</v>
      </c>
      <c r="AB166">
        <v>0</v>
      </c>
      <c r="AC166">
        <v>86.63</v>
      </c>
      <c r="AD166">
        <v>457</v>
      </c>
      <c r="AE166">
        <v>482</v>
      </c>
    </row>
    <row r="167" spans="1:31" x14ac:dyDescent="0.25">
      <c r="A167" t="s">
        <v>992</v>
      </c>
      <c r="B167" t="s">
        <v>993</v>
      </c>
      <c r="C167" s="1">
        <v>44282</v>
      </c>
      <c r="D167" s="1">
        <v>44384</v>
      </c>
      <c r="E167" t="s">
        <v>50</v>
      </c>
      <c r="F167" t="s">
        <v>78</v>
      </c>
      <c r="G167" t="s">
        <v>337</v>
      </c>
      <c r="H167" t="s">
        <v>53</v>
      </c>
      <c r="I167" t="s">
        <v>994</v>
      </c>
      <c r="J167" t="s">
        <v>55</v>
      </c>
      <c r="K167" t="s">
        <v>39</v>
      </c>
      <c r="L167" t="s">
        <v>995</v>
      </c>
      <c r="M167">
        <v>169.28</v>
      </c>
      <c r="N167">
        <v>8</v>
      </c>
      <c r="O167" t="s">
        <v>996</v>
      </c>
      <c r="P167" t="s">
        <v>42</v>
      </c>
      <c r="Q167" t="s">
        <v>997</v>
      </c>
      <c r="R167" t="s">
        <v>61</v>
      </c>
      <c r="S167" t="s">
        <v>101</v>
      </c>
      <c r="T167" t="s">
        <v>933</v>
      </c>
      <c r="U167">
        <v>808</v>
      </c>
      <c r="V167">
        <v>432</v>
      </c>
      <c r="W167">
        <v>11</v>
      </c>
      <c r="X167">
        <v>859.81</v>
      </c>
      <c r="Y167">
        <v>455.17</v>
      </c>
      <c r="Z167">
        <v>1314.98</v>
      </c>
      <c r="AA167" t="s">
        <v>63</v>
      </c>
      <c r="AB167">
        <v>0</v>
      </c>
      <c r="AC167">
        <v>75.900000000000006</v>
      </c>
      <c r="AD167">
        <v>194</v>
      </c>
      <c r="AE167">
        <v>239</v>
      </c>
    </row>
    <row r="168" spans="1:31" x14ac:dyDescent="0.25">
      <c r="A168" t="s">
        <v>998</v>
      </c>
      <c r="B168" t="s">
        <v>999</v>
      </c>
      <c r="C168" s="1">
        <v>44738</v>
      </c>
      <c r="D168" s="1">
        <v>44428</v>
      </c>
      <c r="E168" t="s">
        <v>50</v>
      </c>
      <c r="F168" t="s">
        <v>51</v>
      </c>
      <c r="G168" t="s">
        <v>337</v>
      </c>
      <c r="H168" t="s">
        <v>36</v>
      </c>
      <c r="I168" t="s">
        <v>1000</v>
      </c>
      <c r="J168" t="s">
        <v>96</v>
      </c>
      <c r="K168" t="s">
        <v>70</v>
      </c>
      <c r="L168" t="s">
        <v>1001</v>
      </c>
      <c r="M168">
        <v>267.14</v>
      </c>
      <c r="N168">
        <v>93</v>
      </c>
      <c r="O168" t="s">
        <v>1002</v>
      </c>
      <c r="P168" t="s">
        <v>42</v>
      </c>
      <c r="Q168" t="s">
        <v>455</v>
      </c>
      <c r="R168" t="s">
        <v>88</v>
      </c>
      <c r="S168" t="s">
        <v>101</v>
      </c>
      <c r="T168" t="s">
        <v>129</v>
      </c>
      <c r="U168">
        <v>4090</v>
      </c>
      <c r="V168">
        <v>457</v>
      </c>
      <c r="W168">
        <v>21</v>
      </c>
      <c r="X168">
        <v>913.85</v>
      </c>
      <c r="Y168">
        <v>166.26</v>
      </c>
      <c r="Z168">
        <v>1080.1099999999999</v>
      </c>
      <c r="AA168" t="s">
        <v>63</v>
      </c>
      <c r="AB168">
        <v>0</v>
      </c>
      <c r="AC168">
        <v>94.98</v>
      </c>
      <c r="AD168">
        <v>107</v>
      </c>
      <c r="AE168">
        <v>148</v>
      </c>
    </row>
    <row r="169" spans="1:31" x14ac:dyDescent="0.25">
      <c r="A169" t="s">
        <v>1003</v>
      </c>
      <c r="B169" t="s">
        <v>1004</v>
      </c>
      <c r="C169" s="1">
        <v>44220</v>
      </c>
      <c r="D169" s="1">
        <v>44583</v>
      </c>
      <c r="E169" t="s">
        <v>50</v>
      </c>
      <c r="F169" t="s">
        <v>93</v>
      </c>
      <c r="G169" t="s">
        <v>337</v>
      </c>
      <c r="H169" t="s">
        <v>68</v>
      </c>
      <c r="I169" t="s">
        <v>1005</v>
      </c>
      <c r="J169" t="s">
        <v>82</v>
      </c>
      <c r="K169" t="s">
        <v>97</v>
      </c>
      <c r="L169" t="s">
        <v>1006</v>
      </c>
      <c r="M169">
        <v>297.36</v>
      </c>
      <c r="N169">
        <v>38</v>
      </c>
      <c r="O169" t="s">
        <v>1007</v>
      </c>
      <c r="P169" t="s">
        <v>59</v>
      </c>
      <c r="Q169" t="s">
        <v>202</v>
      </c>
      <c r="R169" t="s">
        <v>44</v>
      </c>
      <c r="S169" t="s">
        <v>45</v>
      </c>
      <c r="T169" t="s">
        <v>467</v>
      </c>
      <c r="U169">
        <v>1311</v>
      </c>
      <c r="V169">
        <v>387</v>
      </c>
      <c r="W169">
        <v>12</v>
      </c>
      <c r="X169">
        <v>869.18</v>
      </c>
      <c r="Y169">
        <v>62.51</v>
      </c>
      <c r="Z169">
        <v>931.68999999999994</v>
      </c>
      <c r="AA169" t="s">
        <v>63</v>
      </c>
      <c r="AB169">
        <v>0</v>
      </c>
      <c r="AC169">
        <v>97.71</v>
      </c>
      <c r="AD169">
        <v>346</v>
      </c>
      <c r="AE169">
        <v>339</v>
      </c>
    </row>
    <row r="170" spans="1:31" x14ac:dyDescent="0.25">
      <c r="A170" t="s">
        <v>1008</v>
      </c>
      <c r="B170" t="s">
        <v>1009</v>
      </c>
      <c r="C170" s="1">
        <v>44563</v>
      </c>
      <c r="D170" s="1">
        <v>44502</v>
      </c>
      <c r="E170" t="s">
        <v>50</v>
      </c>
      <c r="F170" t="s">
        <v>51</v>
      </c>
      <c r="G170" t="s">
        <v>67</v>
      </c>
      <c r="H170" t="s">
        <v>68</v>
      </c>
      <c r="I170" t="s">
        <v>1010</v>
      </c>
      <c r="J170" t="s">
        <v>38</v>
      </c>
      <c r="K170" t="s">
        <v>39</v>
      </c>
      <c r="L170" t="s">
        <v>1011</v>
      </c>
      <c r="M170">
        <v>217</v>
      </c>
      <c r="N170">
        <v>20</v>
      </c>
      <c r="O170" t="s">
        <v>1012</v>
      </c>
      <c r="P170" t="s">
        <v>110</v>
      </c>
      <c r="Q170" t="s">
        <v>202</v>
      </c>
      <c r="R170" t="s">
        <v>88</v>
      </c>
      <c r="S170" t="s">
        <v>128</v>
      </c>
      <c r="T170" t="s">
        <v>405</v>
      </c>
      <c r="U170">
        <v>4118</v>
      </c>
      <c r="V170">
        <v>133</v>
      </c>
      <c r="W170">
        <v>17</v>
      </c>
      <c r="X170">
        <v>801.16</v>
      </c>
      <c r="Y170">
        <v>295.33</v>
      </c>
      <c r="Z170">
        <v>1096.49</v>
      </c>
      <c r="AA170" t="s">
        <v>63</v>
      </c>
      <c r="AB170">
        <v>0</v>
      </c>
      <c r="AC170">
        <v>86.5</v>
      </c>
      <c r="AD170">
        <v>360</v>
      </c>
      <c r="AE170">
        <v>390</v>
      </c>
    </row>
    <row r="171" spans="1:31" x14ac:dyDescent="0.25">
      <c r="A171" t="s">
        <v>1013</v>
      </c>
      <c r="B171" t="s">
        <v>1014</v>
      </c>
      <c r="C171" s="1">
        <v>44097</v>
      </c>
      <c r="D171" s="1">
        <v>44744</v>
      </c>
      <c r="E171" t="s">
        <v>66</v>
      </c>
      <c r="F171" t="s">
        <v>93</v>
      </c>
      <c r="G171" t="s">
        <v>79</v>
      </c>
      <c r="H171" t="s">
        <v>164</v>
      </c>
      <c r="I171" t="s">
        <v>1015</v>
      </c>
      <c r="J171" t="s">
        <v>55</v>
      </c>
      <c r="K171" t="s">
        <v>83</v>
      </c>
      <c r="L171" t="s">
        <v>1016</v>
      </c>
      <c r="M171">
        <v>188.09</v>
      </c>
      <c r="N171">
        <v>67</v>
      </c>
      <c r="O171" t="s">
        <v>1017</v>
      </c>
      <c r="P171" t="s">
        <v>59</v>
      </c>
      <c r="Q171" t="s">
        <v>541</v>
      </c>
      <c r="R171" t="s">
        <v>153</v>
      </c>
      <c r="S171" t="s">
        <v>128</v>
      </c>
      <c r="T171" t="s">
        <v>112</v>
      </c>
      <c r="U171">
        <v>2569</v>
      </c>
      <c r="V171">
        <v>283</v>
      </c>
      <c r="W171">
        <v>4</v>
      </c>
      <c r="X171">
        <v>773.39</v>
      </c>
      <c r="Y171">
        <v>107.53</v>
      </c>
      <c r="Z171">
        <v>880.92</v>
      </c>
      <c r="AA171" t="s">
        <v>63</v>
      </c>
      <c r="AB171">
        <v>0</v>
      </c>
      <c r="AC171">
        <v>85.12</v>
      </c>
      <c r="AD171">
        <v>225</v>
      </c>
      <c r="AE171">
        <v>211</v>
      </c>
    </row>
    <row r="172" spans="1:31" x14ac:dyDescent="0.25">
      <c r="A172" t="s">
        <v>1018</v>
      </c>
      <c r="B172" t="s">
        <v>1019</v>
      </c>
      <c r="C172" s="1">
        <v>45053</v>
      </c>
      <c r="D172" s="1">
        <v>44130</v>
      </c>
      <c r="E172" t="s">
        <v>33</v>
      </c>
      <c r="F172" t="s">
        <v>147</v>
      </c>
      <c r="G172" t="s">
        <v>67</v>
      </c>
      <c r="H172" t="s">
        <v>53</v>
      </c>
      <c r="I172" t="s">
        <v>1020</v>
      </c>
      <c r="J172" t="s">
        <v>55</v>
      </c>
      <c r="K172" t="s">
        <v>56</v>
      </c>
      <c r="L172" t="s">
        <v>1021</v>
      </c>
      <c r="M172">
        <v>15.31</v>
      </c>
      <c r="N172">
        <v>85</v>
      </c>
      <c r="O172" t="s">
        <v>1022</v>
      </c>
      <c r="P172" t="s">
        <v>59</v>
      </c>
      <c r="Q172" t="s">
        <v>248</v>
      </c>
      <c r="R172" t="s">
        <v>88</v>
      </c>
      <c r="S172" t="s">
        <v>101</v>
      </c>
      <c r="T172" t="s">
        <v>1023</v>
      </c>
      <c r="U172">
        <v>3755</v>
      </c>
      <c r="V172">
        <v>177</v>
      </c>
      <c r="W172">
        <v>1</v>
      </c>
      <c r="X172">
        <v>656.07</v>
      </c>
      <c r="Y172">
        <v>90.06</v>
      </c>
      <c r="Z172">
        <v>746.13000000000011</v>
      </c>
      <c r="AA172" t="s">
        <v>63</v>
      </c>
      <c r="AB172">
        <v>0</v>
      </c>
      <c r="AC172">
        <v>73.400000000000006</v>
      </c>
      <c r="AD172">
        <v>377</v>
      </c>
      <c r="AE172">
        <v>337</v>
      </c>
    </row>
    <row r="173" spans="1:31" x14ac:dyDescent="0.25">
      <c r="A173" t="s">
        <v>1024</v>
      </c>
      <c r="B173" t="s">
        <v>1025</v>
      </c>
      <c r="C173" s="1">
        <v>43888</v>
      </c>
      <c r="D173" s="1">
        <v>45420</v>
      </c>
      <c r="E173" t="s">
        <v>66</v>
      </c>
      <c r="F173" t="s">
        <v>93</v>
      </c>
      <c r="G173" t="s">
        <v>79</v>
      </c>
      <c r="H173" t="s">
        <v>53</v>
      </c>
      <c r="I173" t="s">
        <v>1026</v>
      </c>
      <c r="J173" t="s">
        <v>96</v>
      </c>
      <c r="K173" t="s">
        <v>39</v>
      </c>
      <c r="L173" t="s">
        <v>1027</v>
      </c>
      <c r="M173">
        <v>131.93</v>
      </c>
      <c r="N173">
        <v>5</v>
      </c>
      <c r="O173" t="s">
        <v>1028</v>
      </c>
      <c r="P173" t="s">
        <v>142</v>
      </c>
      <c r="Q173" t="s">
        <v>322</v>
      </c>
      <c r="R173" t="s">
        <v>88</v>
      </c>
      <c r="S173" t="s">
        <v>89</v>
      </c>
      <c r="T173" t="s">
        <v>815</v>
      </c>
      <c r="U173">
        <v>1641</v>
      </c>
      <c r="V173">
        <v>339</v>
      </c>
      <c r="W173">
        <v>23</v>
      </c>
      <c r="X173">
        <v>923.34</v>
      </c>
      <c r="Y173">
        <v>439.24</v>
      </c>
      <c r="Z173">
        <v>1362.58</v>
      </c>
      <c r="AA173" t="s">
        <v>63</v>
      </c>
      <c r="AB173">
        <v>0</v>
      </c>
      <c r="AC173">
        <v>83.93</v>
      </c>
      <c r="AD173">
        <v>130</v>
      </c>
      <c r="AE173">
        <v>142</v>
      </c>
    </row>
    <row r="174" spans="1:31" x14ac:dyDescent="0.25">
      <c r="A174" t="s">
        <v>1029</v>
      </c>
      <c r="B174" t="s">
        <v>1030</v>
      </c>
      <c r="C174" s="1">
        <v>44146</v>
      </c>
      <c r="D174" s="1">
        <v>44566</v>
      </c>
      <c r="E174" t="s">
        <v>66</v>
      </c>
      <c r="F174" t="s">
        <v>147</v>
      </c>
      <c r="G174" t="s">
        <v>52</v>
      </c>
      <c r="H174" t="s">
        <v>36</v>
      </c>
      <c r="I174" t="s">
        <v>1031</v>
      </c>
      <c r="J174" t="s">
        <v>55</v>
      </c>
      <c r="K174" t="s">
        <v>56</v>
      </c>
      <c r="L174" t="s">
        <v>1032</v>
      </c>
      <c r="M174">
        <v>32.549999999999997</v>
      </c>
      <c r="N174">
        <v>52</v>
      </c>
      <c r="O174" t="s">
        <v>1033</v>
      </c>
      <c r="P174" t="s">
        <v>42</v>
      </c>
      <c r="Q174" t="s">
        <v>514</v>
      </c>
      <c r="R174" t="s">
        <v>153</v>
      </c>
      <c r="S174" t="s">
        <v>128</v>
      </c>
      <c r="T174" t="s">
        <v>144</v>
      </c>
      <c r="U174">
        <v>2143</v>
      </c>
      <c r="V174">
        <v>106</v>
      </c>
      <c r="W174">
        <v>11</v>
      </c>
      <c r="X174">
        <v>691.88</v>
      </c>
      <c r="Y174">
        <v>88.57</v>
      </c>
      <c r="Z174">
        <v>780.45</v>
      </c>
      <c r="AA174" t="s">
        <v>63</v>
      </c>
      <c r="AB174">
        <v>0</v>
      </c>
      <c r="AC174">
        <v>92.31</v>
      </c>
      <c r="AD174">
        <v>283</v>
      </c>
      <c r="AE174">
        <v>270</v>
      </c>
    </row>
    <row r="175" spans="1:31" x14ac:dyDescent="0.25">
      <c r="A175" t="s">
        <v>1034</v>
      </c>
      <c r="B175" t="s">
        <v>1035</v>
      </c>
      <c r="C175" s="1">
        <v>45096</v>
      </c>
      <c r="D175" s="1">
        <v>45069</v>
      </c>
      <c r="E175" t="s">
        <v>66</v>
      </c>
      <c r="F175" t="s">
        <v>51</v>
      </c>
      <c r="G175" t="s">
        <v>52</v>
      </c>
      <c r="H175" t="s">
        <v>164</v>
      </c>
      <c r="I175" t="s">
        <v>1036</v>
      </c>
      <c r="J175" t="s">
        <v>55</v>
      </c>
      <c r="K175" t="s">
        <v>39</v>
      </c>
      <c r="L175" t="s">
        <v>1037</v>
      </c>
      <c r="M175">
        <v>43.69</v>
      </c>
      <c r="N175">
        <v>92</v>
      </c>
      <c r="O175" t="s">
        <v>1038</v>
      </c>
      <c r="P175" t="s">
        <v>42</v>
      </c>
      <c r="Q175" t="s">
        <v>100</v>
      </c>
      <c r="R175" t="s">
        <v>153</v>
      </c>
      <c r="S175" t="s">
        <v>128</v>
      </c>
      <c r="T175" t="s">
        <v>154</v>
      </c>
      <c r="U175">
        <v>765</v>
      </c>
      <c r="V175">
        <v>321</v>
      </c>
      <c r="W175">
        <v>14</v>
      </c>
      <c r="X175">
        <v>293.19</v>
      </c>
      <c r="Y175">
        <v>229.29</v>
      </c>
      <c r="Z175">
        <v>522.48</v>
      </c>
      <c r="AA175" t="s">
        <v>63</v>
      </c>
      <c r="AB175">
        <v>0</v>
      </c>
      <c r="AC175">
        <v>94.1</v>
      </c>
      <c r="AD175">
        <v>434</v>
      </c>
      <c r="AE175">
        <v>439</v>
      </c>
    </row>
    <row r="176" spans="1:31" x14ac:dyDescent="0.25">
      <c r="A176" t="s">
        <v>1039</v>
      </c>
      <c r="B176" t="s">
        <v>1040</v>
      </c>
      <c r="C176" s="1">
        <v>44290</v>
      </c>
      <c r="D176" s="1">
        <v>45335</v>
      </c>
      <c r="E176" t="s">
        <v>66</v>
      </c>
      <c r="F176" t="s">
        <v>147</v>
      </c>
      <c r="G176" t="s">
        <v>105</v>
      </c>
      <c r="H176" t="s">
        <v>116</v>
      </c>
      <c r="I176" t="s">
        <v>1041</v>
      </c>
      <c r="J176" t="s">
        <v>107</v>
      </c>
      <c r="K176" t="s">
        <v>39</v>
      </c>
      <c r="L176" t="s">
        <v>1042</v>
      </c>
      <c r="M176">
        <v>170.57</v>
      </c>
      <c r="N176">
        <v>8</v>
      </c>
      <c r="O176" t="s">
        <v>1043</v>
      </c>
      <c r="P176" t="s">
        <v>142</v>
      </c>
      <c r="Q176" t="s">
        <v>383</v>
      </c>
      <c r="R176" t="s">
        <v>44</v>
      </c>
      <c r="S176" t="s">
        <v>128</v>
      </c>
      <c r="T176" t="s">
        <v>444</v>
      </c>
      <c r="U176">
        <v>1948</v>
      </c>
      <c r="V176">
        <v>150</v>
      </c>
      <c r="W176">
        <v>9</v>
      </c>
      <c r="X176">
        <v>1362.85</v>
      </c>
      <c r="Y176">
        <v>111.53</v>
      </c>
      <c r="Z176">
        <v>1474.38</v>
      </c>
      <c r="AA176" t="s">
        <v>63</v>
      </c>
      <c r="AB176">
        <v>0</v>
      </c>
      <c r="AC176">
        <v>90.95</v>
      </c>
      <c r="AD176">
        <v>453</v>
      </c>
      <c r="AE176">
        <v>473</v>
      </c>
    </row>
    <row r="177" spans="1:31" x14ac:dyDescent="0.25">
      <c r="A177" t="s">
        <v>1044</v>
      </c>
      <c r="B177" t="s">
        <v>1045</v>
      </c>
      <c r="C177" s="1">
        <v>44810</v>
      </c>
      <c r="D177" s="1">
        <v>45619</v>
      </c>
      <c r="E177" t="s">
        <v>66</v>
      </c>
      <c r="F177" t="s">
        <v>34</v>
      </c>
      <c r="G177" t="s">
        <v>67</v>
      </c>
      <c r="H177" t="s">
        <v>53</v>
      </c>
      <c r="I177" t="s">
        <v>1046</v>
      </c>
      <c r="J177" t="s">
        <v>96</v>
      </c>
      <c r="K177" t="s">
        <v>56</v>
      </c>
      <c r="L177" t="s">
        <v>1047</v>
      </c>
      <c r="M177">
        <v>170.17</v>
      </c>
      <c r="N177">
        <v>34</v>
      </c>
      <c r="O177" t="s">
        <v>1048</v>
      </c>
      <c r="P177" t="s">
        <v>142</v>
      </c>
      <c r="Q177" t="s">
        <v>202</v>
      </c>
      <c r="R177" t="s">
        <v>88</v>
      </c>
      <c r="S177" t="s">
        <v>74</v>
      </c>
      <c r="T177" t="s">
        <v>434</v>
      </c>
      <c r="U177">
        <v>2435</v>
      </c>
      <c r="V177">
        <v>469</v>
      </c>
      <c r="W177">
        <v>5</v>
      </c>
      <c r="X177">
        <v>1947.25</v>
      </c>
      <c r="Y177">
        <v>243.05</v>
      </c>
      <c r="Z177">
        <v>2190.3000000000002</v>
      </c>
      <c r="AA177" t="s">
        <v>63</v>
      </c>
      <c r="AB177">
        <v>0</v>
      </c>
      <c r="AC177">
        <v>75.459999999999994</v>
      </c>
      <c r="AD177">
        <v>100</v>
      </c>
      <c r="AE177">
        <v>147</v>
      </c>
    </row>
    <row r="178" spans="1:31" x14ac:dyDescent="0.25">
      <c r="A178" t="s">
        <v>1049</v>
      </c>
      <c r="B178" t="s">
        <v>1050</v>
      </c>
      <c r="C178" s="1">
        <v>45091</v>
      </c>
      <c r="D178" s="1">
        <v>45315</v>
      </c>
      <c r="E178" t="s">
        <v>66</v>
      </c>
      <c r="F178" t="s">
        <v>34</v>
      </c>
      <c r="G178" t="s">
        <v>105</v>
      </c>
      <c r="H178" t="s">
        <v>68</v>
      </c>
      <c r="I178" t="s">
        <v>1051</v>
      </c>
      <c r="J178" t="s">
        <v>82</v>
      </c>
      <c r="K178" t="s">
        <v>39</v>
      </c>
      <c r="L178" t="s">
        <v>1052</v>
      </c>
      <c r="M178">
        <v>107.39</v>
      </c>
      <c r="N178">
        <v>79</v>
      </c>
      <c r="O178" t="s">
        <v>1053</v>
      </c>
      <c r="P178" t="s">
        <v>42</v>
      </c>
      <c r="Q178" t="s">
        <v>315</v>
      </c>
      <c r="R178" t="s">
        <v>61</v>
      </c>
      <c r="S178" t="s">
        <v>89</v>
      </c>
      <c r="T178" t="s">
        <v>673</v>
      </c>
      <c r="U178">
        <v>4983</v>
      </c>
      <c r="V178">
        <v>489</v>
      </c>
      <c r="W178">
        <v>2</v>
      </c>
      <c r="X178">
        <v>1799.84</v>
      </c>
      <c r="Y178">
        <v>482.22</v>
      </c>
      <c r="Z178">
        <v>2282.06</v>
      </c>
      <c r="AA178" t="s">
        <v>63</v>
      </c>
      <c r="AB178">
        <v>0</v>
      </c>
      <c r="AC178">
        <v>80.64</v>
      </c>
      <c r="AD178">
        <v>304</v>
      </c>
      <c r="AE178">
        <v>349</v>
      </c>
    </row>
    <row r="179" spans="1:31" x14ac:dyDescent="0.25">
      <c r="A179" t="s">
        <v>1054</v>
      </c>
      <c r="B179" t="s">
        <v>1055</v>
      </c>
      <c r="C179" s="1">
        <v>45382</v>
      </c>
      <c r="D179" s="1">
        <v>44950</v>
      </c>
      <c r="E179" t="s">
        <v>66</v>
      </c>
      <c r="F179" t="s">
        <v>51</v>
      </c>
      <c r="G179" t="s">
        <v>105</v>
      </c>
      <c r="H179" t="s">
        <v>68</v>
      </c>
      <c r="I179" t="s">
        <v>1056</v>
      </c>
      <c r="J179" t="s">
        <v>55</v>
      </c>
      <c r="K179" t="s">
        <v>83</v>
      </c>
      <c r="L179" t="s">
        <v>1057</v>
      </c>
      <c r="M179">
        <v>106.12</v>
      </c>
      <c r="N179">
        <v>4</v>
      </c>
      <c r="O179" t="s">
        <v>1058</v>
      </c>
      <c r="P179" t="s">
        <v>42</v>
      </c>
      <c r="Q179" t="s">
        <v>461</v>
      </c>
      <c r="R179" t="s">
        <v>153</v>
      </c>
      <c r="S179" t="s">
        <v>45</v>
      </c>
      <c r="T179" t="s">
        <v>1059</v>
      </c>
      <c r="U179">
        <v>2817</v>
      </c>
      <c r="V179">
        <v>415</v>
      </c>
      <c r="W179">
        <v>19</v>
      </c>
      <c r="X179">
        <v>1739.72</v>
      </c>
      <c r="Y179">
        <v>391.17</v>
      </c>
      <c r="Z179">
        <v>2130.89</v>
      </c>
      <c r="AA179" t="s">
        <v>63</v>
      </c>
      <c r="AB179">
        <v>0</v>
      </c>
      <c r="AC179">
        <v>93.97</v>
      </c>
      <c r="AD179">
        <v>246</v>
      </c>
      <c r="AE179">
        <v>198</v>
      </c>
    </row>
    <row r="180" spans="1:31" x14ac:dyDescent="0.25">
      <c r="A180" t="s">
        <v>1060</v>
      </c>
      <c r="B180" t="s">
        <v>580</v>
      </c>
      <c r="C180" s="1">
        <v>44770</v>
      </c>
      <c r="D180" s="1">
        <v>45469</v>
      </c>
      <c r="E180" t="s">
        <v>66</v>
      </c>
      <c r="F180" t="s">
        <v>34</v>
      </c>
      <c r="G180" t="s">
        <v>337</v>
      </c>
      <c r="H180" t="s">
        <v>148</v>
      </c>
      <c r="I180" t="s">
        <v>1061</v>
      </c>
      <c r="J180" t="s">
        <v>82</v>
      </c>
      <c r="K180" t="s">
        <v>39</v>
      </c>
      <c r="L180" t="s">
        <v>1062</v>
      </c>
      <c r="M180">
        <v>81.86</v>
      </c>
      <c r="N180">
        <v>42</v>
      </c>
      <c r="O180" t="s">
        <v>1063</v>
      </c>
      <c r="P180" t="s">
        <v>142</v>
      </c>
      <c r="Q180" t="s">
        <v>364</v>
      </c>
      <c r="R180" t="s">
        <v>44</v>
      </c>
      <c r="S180" t="s">
        <v>128</v>
      </c>
      <c r="T180" t="s">
        <v>183</v>
      </c>
      <c r="U180">
        <v>3025</v>
      </c>
      <c r="V180">
        <v>452</v>
      </c>
      <c r="W180">
        <v>11</v>
      </c>
      <c r="X180">
        <v>1629.07</v>
      </c>
      <c r="Y180">
        <v>309.37</v>
      </c>
      <c r="Z180">
        <v>1938.44</v>
      </c>
      <c r="AA180" t="s">
        <v>63</v>
      </c>
      <c r="AB180">
        <v>0</v>
      </c>
      <c r="AC180">
        <v>90.97</v>
      </c>
      <c r="AD180">
        <v>468</v>
      </c>
      <c r="AE180">
        <v>467</v>
      </c>
    </row>
    <row r="181" spans="1:31" x14ac:dyDescent="0.25">
      <c r="A181" t="s">
        <v>1064</v>
      </c>
      <c r="B181" t="s">
        <v>1065</v>
      </c>
      <c r="C181" s="1">
        <v>44675</v>
      </c>
      <c r="D181" s="1">
        <v>44974</v>
      </c>
      <c r="E181" t="s">
        <v>66</v>
      </c>
      <c r="F181" t="s">
        <v>93</v>
      </c>
      <c r="G181" t="s">
        <v>52</v>
      </c>
      <c r="H181" t="s">
        <v>53</v>
      </c>
      <c r="I181" t="s">
        <v>1066</v>
      </c>
      <c r="J181" t="s">
        <v>96</v>
      </c>
      <c r="K181" t="s">
        <v>56</v>
      </c>
      <c r="L181" t="s">
        <v>1067</v>
      </c>
      <c r="M181">
        <v>183.69</v>
      </c>
      <c r="N181">
        <v>37</v>
      </c>
      <c r="O181" t="s">
        <v>1068</v>
      </c>
      <c r="P181" t="s">
        <v>110</v>
      </c>
      <c r="Q181" t="s">
        <v>997</v>
      </c>
      <c r="R181" t="s">
        <v>153</v>
      </c>
      <c r="S181" t="s">
        <v>89</v>
      </c>
      <c r="T181" t="s">
        <v>422</v>
      </c>
      <c r="U181">
        <v>1297</v>
      </c>
      <c r="V181">
        <v>372</v>
      </c>
      <c r="W181">
        <v>6</v>
      </c>
      <c r="X181">
        <v>680.66</v>
      </c>
      <c r="Y181">
        <v>135.36000000000001</v>
      </c>
      <c r="Z181">
        <v>816.02</v>
      </c>
      <c r="AA181" t="s">
        <v>63</v>
      </c>
      <c r="AB181">
        <v>0</v>
      </c>
      <c r="AC181">
        <v>87.5</v>
      </c>
      <c r="AD181">
        <v>389</v>
      </c>
      <c r="AE181">
        <v>340</v>
      </c>
    </row>
    <row r="182" spans="1:31" x14ac:dyDescent="0.25">
      <c r="A182" t="s">
        <v>1069</v>
      </c>
      <c r="B182" t="s">
        <v>1070</v>
      </c>
      <c r="C182" s="1">
        <v>45542</v>
      </c>
      <c r="D182" s="1">
        <v>44321</v>
      </c>
      <c r="E182" t="s">
        <v>66</v>
      </c>
      <c r="F182" t="s">
        <v>147</v>
      </c>
      <c r="G182" t="s">
        <v>52</v>
      </c>
      <c r="H182" t="s">
        <v>53</v>
      </c>
      <c r="I182" t="s">
        <v>1071</v>
      </c>
      <c r="J182" t="s">
        <v>55</v>
      </c>
      <c r="K182" t="s">
        <v>56</v>
      </c>
      <c r="L182" t="s">
        <v>1072</v>
      </c>
      <c r="M182">
        <v>248.6</v>
      </c>
      <c r="N182">
        <v>11</v>
      </c>
      <c r="O182" t="s">
        <v>1073</v>
      </c>
      <c r="P182" t="s">
        <v>110</v>
      </c>
      <c r="Q182" t="s">
        <v>189</v>
      </c>
      <c r="R182" t="s">
        <v>153</v>
      </c>
      <c r="S182" t="s">
        <v>74</v>
      </c>
      <c r="T182" t="s">
        <v>467</v>
      </c>
      <c r="U182">
        <v>3415</v>
      </c>
      <c r="V182">
        <v>373</v>
      </c>
      <c r="W182">
        <v>3</v>
      </c>
      <c r="X182">
        <v>1746.49</v>
      </c>
      <c r="Y182">
        <v>87.93</v>
      </c>
      <c r="Z182">
        <v>1834.42</v>
      </c>
      <c r="AA182" t="s">
        <v>63</v>
      </c>
      <c r="AB182">
        <v>0</v>
      </c>
      <c r="AC182">
        <v>91.1</v>
      </c>
      <c r="AD182">
        <v>472</v>
      </c>
      <c r="AE182">
        <v>471</v>
      </c>
    </row>
    <row r="183" spans="1:31" x14ac:dyDescent="0.25">
      <c r="A183" t="s">
        <v>1074</v>
      </c>
      <c r="B183" t="s">
        <v>1075</v>
      </c>
      <c r="C183" s="1">
        <v>44380</v>
      </c>
      <c r="D183" s="1">
        <v>44739</v>
      </c>
      <c r="E183" t="s">
        <v>66</v>
      </c>
      <c r="F183" t="s">
        <v>78</v>
      </c>
      <c r="G183" t="s">
        <v>67</v>
      </c>
      <c r="H183" t="s">
        <v>148</v>
      </c>
      <c r="I183" t="s">
        <v>1076</v>
      </c>
      <c r="J183" t="s">
        <v>38</v>
      </c>
      <c r="K183" t="s">
        <v>39</v>
      </c>
      <c r="L183" t="s">
        <v>1077</v>
      </c>
      <c r="M183">
        <v>175.3</v>
      </c>
      <c r="N183">
        <v>77</v>
      </c>
      <c r="O183" t="s">
        <v>825</v>
      </c>
      <c r="P183" t="s">
        <v>42</v>
      </c>
      <c r="Q183" t="s">
        <v>541</v>
      </c>
      <c r="R183" t="s">
        <v>44</v>
      </c>
      <c r="S183" t="s">
        <v>45</v>
      </c>
      <c r="T183" t="s">
        <v>530</v>
      </c>
      <c r="U183">
        <v>1967</v>
      </c>
      <c r="V183">
        <v>288</v>
      </c>
      <c r="W183">
        <v>4</v>
      </c>
      <c r="X183">
        <v>896.14</v>
      </c>
      <c r="Y183">
        <v>268.5</v>
      </c>
      <c r="Z183">
        <v>1164.6400000000001</v>
      </c>
      <c r="AA183" t="s">
        <v>63</v>
      </c>
      <c r="AB183">
        <v>0</v>
      </c>
      <c r="AC183">
        <v>77.900000000000006</v>
      </c>
      <c r="AD183">
        <v>253</v>
      </c>
      <c r="AE183">
        <v>212</v>
      </c>
    </row>
    <row r="184" spans="1:31" x14ac:dyDescent="0.25">
      <c r="A184" t="s">
        <v>1078</v>
      </c>
      <c r="B184" t="s">
        <v>1079</v>
      </c>
      <c r="C184" s="1">
        <v>45481</v>
      </c>
      <c r="D184" s="1">
        <v>44718</v>
      </c>
      <c r="E184" t="s">
        <v>66</v>
      </c>
      <c r="F184" t="s">
        <v>51</v>
      </c>
      <c r="G184" t="s">
        <v>115</v>
      </c>
      <c r="H184" t="s">
        <v>36</v>
      </c>
      <c r="I184" t="s">
        <v>1080</v>
      </c>
      <c r="J184" t="s">
        <v>38</v>
      </c>
      <c r="K184" t="s">
        <v>97</v>
      </c>
      <c r="L184" t="s">
        <v>1081</v>
      </c>
      <c r="M184">
        <v>475.89</v>
      </c>
      <c r="N184">
        <v>54</v>
      </c>
      <c r="O184" t="s">
        <v>1082</v>
      </c>
      <c r="P184" t="s">
        <v>142</v>
      </c>
      <c r="Q184" t="s">
        <v>111</v>
      </c>
      <c r="R184" t="s">
        <v>44</v>
      </c>
      <c r="S184" t="s">
        <v>101</v>
      </c>
      <c r="T184" t="s">
        <v>196</v>
      </c>
      <c r="U184">
        <v>241</v>
      </c>
      <c r="V184">
        <v>498</v>
      </c>
      <c r="W184">
        <v>20</v>
      </c>
      <c r="X184">
        <v>1543.65</v>
      </c>
      <c r="Y184">
        <v>22.15</v>
      </c>
      <c r="Z184">
        <v>1565.8</v>
      </c>
      <c r="AA184" t="s">
        <v>47</v>
      </c>
      <c r="AB184">
        <v>10</v>
      </c>
      <c r="AC184">
        <v>86.32</v>
      </c>
      <c r="AD184">
        <v>194</v>
      </c>
      <c r="AE184">
        <v>237</v>
      </c>
    </row>
    <row r="185" spans="1:31" x14ac:dyDescent="0.25">
      <c r="A185" t="s">
        <v>1083</v>
      </c>
      <c r="B185" t="s">
        <v>1084</v>
      </c>
      <c r="C185" s="1">
        <v>44540</v>
      </c>
      <c r="D185" s="1">
        <v>45402</v>
      </c>
      <c r="E185" t="s">
        <v>50</v>
      </c>
      <c r="F185" t="s">
        <v>147</v>
      </c>
      <c r="G185" t="s">
        <v>115</v>
      </c>
      <c r="H185" t="s">
        <v>80</v>
      </c>
      <c r="I185" t="s">
        <v>1085</v>
      </c>
      <c r="J185" t="s">
        <v>107</v>
      </c>
      <c r="K185" t="s">
        <v>39</v>
      </c>
      <c r="L185" t="s">
        <v>1086</v>
      </c>
      <c r="M185">
        <v>261.16000000000003</v>
      </c>
      <c r="N185">
        <v>58</v>
      </c>
      <c r="O185" t="s">
        <v>1087</v>
      </c>
      <c r="P185" t="s">
        <v>110</v>
      </c>
      <c r="Q185" t="s">
        <v>189</v>
      </c>
      <c r="R185" t="s">
        <v>88</v>
      </c>
      <c r="S185" t="s">
        <v>74</v>
      </c>
      <c r="T185" t="s">
        <v>737</v>
      </c>
      <c r="U185">
        <v>2161</v>
      </c>
      <c r="V185">
        <v>301</v>
      </c>
      <c r="W185">
        <v>21</v>
      </c>
      <c r="X185">
        <v>176.7</v>
      </c>
      <c r="Y185">
        <v>327.84</v>
      </c>
      <c r="Z185">
        <v>504.54</v>
      </c>
      <c r="AA185" t="s">
        <v>47</v>
      </c>
      <c r="AB185">
        <v>5</v>
      </c>
      <c r="AC185">
        <v>88.06</v>
      </c>
      <c r="AD185">
        <v>229</v>
      </c>
      <c r="AE185">
        <v>270</v>
      </c>
    </row>
    <row r="186" spans="1:31" x14ac:dyDescent="0.25">
      <c r="A186" t="s">
        <v>1088</v>
      </c>
      <c r="B186" t="s">
        <v>1089</v>
      </c>
      <c r="C186" s="1">
        <v>44602</v>
      </c>
      <c r="D186" s="1">
        <v>44779</v>
      </c>
      <c r="E186" t="s">
        <v>66</v>
      </c>
      <c r="F186" t="s">
        <v>34</v>
      </c>
      <c r="G186" t="s">
        <v>105</v>
      </c>
      <c r="H186" t="s">
        <v>36</v>
      </c>
      <c r="I186" t="s">
        <v>1090</v>
      </c>
      <c r="J186" t="s">
        <v>82</v>
      </c>
      <c r="K186" t="s">
        <v>83</v>
      </c>
      <c r="L186" t="s">
        <v>1091</v>
      </c>
      <c r="M186">
        <v>323.37</v>
      </c>
      <c r="N186">
        <v>7</v>
      </c>
      <c r="O186" t="s">
        <v>1092</v>
      </c>
      <c r="P186" t="s">
        <v>110</v>
      </c>
      <c r="Q186" t="s">
        <v>383</v>
      </c>
      <c r="R186" t="s">
        <v>153</v>
      </c>
      <c r="S186" t="s">
        <v>128</v>
      </c>
      <c r="T186" t="s">
        <v>815</v>
      </c>
      <c r="U186">
        <v>1864</v>
      </c>
      <c r="V186">
        <v>73</v>
      </c>
      <c r="W186">
        <v>3</v>
      </c>
      <c r="X186">
        <v>438.63</v>
      </c>
      <c r="Y186">
        <v>12.74</v>
      </c>
      <c r="Z186">
        <v>451.37</v>
      </c>
      <c r="AA186" t="s">
        <v>63</v>
      </c>
      <c r="AB186">
        <v>0</v>
      </c>
      <c r="AC186">
        <v>71.27</v>
      </c>
      <c r="AD186">
        <v>246</v>
      </c>
      <c r="AE186">
        <v>229</v>
      </c>
    </row>
    <row r="187" spans="1:31" x14ac:dyDescent="0.25">
      <c r="A187" t="s">
        <v>1093</v>
      </c>
      <c r="B187" t="s">
        <v>1094</v>
      </c>
      <c r="C187" s="1">
        <v>44659</v>
      </c>
      <c r="D187" s="1">
        <v>44951</v>
      </c>
      <c r="E187" t="s">
        <v>66</v>
      </c>
      <c r="F187" t="s">
        <v>34</v>
      </c>
      <c r="G187" t="s">
        <v>79</v>
      </c>
      <c r="H187" t="s">
        <v>53</v>
      </c>
      <c r="I187" t="s">
        <v>1095</v>
      </c>
      <c r="J187" t="s">
        <v>107</v>
      </c>
      <c r="K187" t="s">
        <v>97</v>
      </c>
      <c r="L187" t="s">
        <v>1096</v>
      </c>
      <c r="M187">
        <v>375.2</v>
      </c>
      <c r="N187">
        <v>91</v>
      </c>
      <c r="O187" t="s">
        <v>1097</v>
      </c>
      <c r="P187" t="s">
        <v>59</v>
      </c>
      <c r="Q187" t="s">
        <v>455</v>
      </c>
      <c r="R187" t="s">
        <v>61</v>
      </c>
      <c r="S187" t="s">
        <v>74</v>
      </c>
      <c r="T187" t="s">
        <v>815</v>
      </c>
      <c r="U187">
        <v>1439</v>
      </c>
      <c r="V187">
        <v>321</v>
      </c>
      <c r="W187">
        <v>19</v>
      </c>
      <c r="X187">
        <v>780.32</v>
      </c>
      <c r="Y187">
        <v>153.44</v>
      </c>
      <c r="Z187">
        <v>933.76</v>
      </c>
      <c r="AA187" t="s">
        <v>63</v>
      </c>
      <c r="AB187">
        <v>0</v>
      </c>
      <c r="AC187">
        <v>90.04</v>
      </c>
      <c r="AD187">
        <v>399</v>
      </c>
      <c r="AE187">
        <v>438</v>
      </c>
    </row>
    <row r="188" spans="1:31" x14ac:dyDescent="0.25">
      <c r="A188" t="s">
        <v>1098</v>
      </c>
      <c r="B188" t="s">
        <v>1099</v>
      </c>
      <c r="C188" s="1">
        <v>45427</v>
      </c>
      <c r="D188" s="1">
        <v>45160</v>
      </c>
      <c r="E188" t="s">
        <v>66</v>
      </c>
      <c r="F188" t="s">
        <v>51</v>
      </c>
      <c r="G188" t="s">
        <v>105</v>
      </c>
      <c r="H188" t="s">
        <v>80</v>
      </c>
      <c r="I188" t="s">
        <v>1100</v>
      </c>
      <c r="J188" t="s">
        <v>82</v>
      </c>
      <c r="K188" t="s">
        <v>83</v>
      </c>
      <c r="L188" t="s">
        <v>1101</v>
      </c>
      <c r="M188">
        <v>340.4</v>
      </c>
      <c r="N188">
        <v>61</v>
      </c>
      <c r="O188" t="s">
        <v>1102</v>
      </c>
      <c r="P188" t="s">
        <v>142</v>
      </c>
      <c r="Q188" t="s">
        <v>706</v>
      </c>
      <c r="R188" t="s">
        <v>44</v>
      </c>
      <c r="S188" t="s">
        <v>101</v>
      </c>
      <c r="T188" t="s">
        <v>46</v>
      </c>
      <c r="U188">
        <v>2141</v>
      </c>
      <c r="V188">
        <v>257</v>
      </c>
      <c r="W188">
        <v>4</v>
      </c>
      <c r="X188">
        <v>1347.39</v>
      </c>
      <c r="Y188">
        <v>450.32</v>
      </c>
      <c r="Z188">
        <v>1797.71</v>
      </c>
      <c r="AA188" t="s">
        <v>63</v>
      </c>
      <c r="AB188">
        <v>0</v>
      </c>
      <c r="AC188">
        <v>79.7</v>
      </c>
      <c r="AD188">
        <v>410</v>
      </c>
      <c r="AE188">
        <v>421</v>
      </c>
    </row>
    <row r="189" spans="1:31" x14ac:dyDescent="0.25">
      <c r="A189" t="s">
        <v>1103</v>
      </c>
      <c r="B189" t="s">
        <v>1104</v>
      </c>
      <c r="C189" s="1">
        <v>43915</v>
      </c>
      <c r="D189" s="1">
        <v>44448</v>
      </c>
      <c r="E189" t="s">
        <v>66</v>
      </c>
      <c r="F189" t="s">
        <v>51</v>
      </c>
      <c r="G189" t="s">
        <v>337</v>
      </c>
      <c r="H189" t="s">
        <v>164</v>
      </c>
      <c r="I189" t="s">
        <v>1105</v>
      </c>
      <c r="J189" t="s">
        <v>38</v>
      </c>
      <c r="K189" t="s">
        <v>56</v>
      </c>
      <c r="L189" t="s">
        <v>1106</v>
      </c>
      <c r="M189">
        <v>235.53</v>
      </c>
      <c r="N189">
        <v>55</v>
      </c>
      <c r="O189" t="s">
        <v>1048</v>
      </c>
      <c r="P189" t="s">
        <v>42</v>
      </c>
      <c r="Q189" t="s">
        <v>340</v>
      </c>
      <c r="R189" t="s">
        <v>88</v>
      </c>
      <c r="S189" t="s">
        <v>45</v>
      </c>
      <c r="T189" t="s">
        <v>169</v>
      </c>
      <c r="U189">
        <v>1642</v>
      </c>
      <c r="V189">
        <v>325</v>
      </c>
      <c r="W189">
        <v>23</v>
      </c>
      <c r="X189">
        <v>507.61</v>
      </c>
      <c r="Y189">
        <v>99.31</v>
      </c>
      <c r="Z189">
        <v>606.92000000000007</v>
      </c>
      <c r="AA189" t="s">
        <v>63</v>
      </c>
      <c r="AB189">
        <v>0</v>
      </c>
      <c r="AC189">
        <v>82.82</v>
      </c>
      <c r="AD189">
        <v>214</v>
      </c>
      <c r="AE189">
        <v>217</v>
      </c>
    </row>
    <row r="190" spans="1:31" x14ac:dyDescent="0.25">
      <c r="A190" t="s">
        <v>1107</v>
      </c>
      <c r="B190" t="s">
        <v>1108</v>
      </c>
      <c r="C190" s="1">
        <v>44269</v>
      </c>
      <c r="D190" s="1">
        <v>44225</v>
      </c>
      <c r="E190" t="s">
        <v>66</v>
      </c>
      <c r="F190" t="s">
        <v>51</v>
      </c>
      <c r="G190" t="s">
        <v>337</v>
      </c>
      <c r="H190" t="s">
        <v>218</v>
      </c>
      <c r="I190" t="s">
        <v>1109</v>
      </c>
      <c r="J190" t="s">
        <v>107</v>
      </c>
      <c r="K190" t="s">
        <v>56</v>
      </c>
      <c r="L190" t="s">
        <v>1110</v>
      </c>
      <c r="M190">
        <v>74.040000000000006</v>
      </c>
      <c r="N190">
        <v>7</v>
      </c>
      <c r="O190" t="s">
        <v>1111</v>
      </c>
      <c r="P190" t="s">
        <v>42</v>
      </c>
      <c r="Q190" t="s">
        <v>152</v>
      </c>
      <c r="R190" t="s">
        <v>153</v>
      </c>
      <c r="S190" t="s">
        <v>128</v>
      </c>
      <c r="T190" t="s">
        <v>154</v>
      </c>
      <c r="U190">
        <v>3724</v>
      </c>
      <c r="V190">
        <v>466</v>
      </c>
      <c r="W190">
        <v>8</v>
      </c>
      <c r="X190">
        <v>511.79</v>
      </c>
      <c r="Y190">
        <v>65.83</v>
      </c>
      <c r="Z190">
        <v>577.62</v>
      </c>
      <c r="AA190" t="s">
        <v>63</v>
      </c>
      <c r="AB190">
        <v>0</v>
      </c>
      <c r="AC190">
        <v>77.069999999999993</v>
      </c>
      <c r="AD190">
        <v>132</v>
      </c>
      <c r="AE190">
        <v>126</v>
      </c>
    </row>
    <row r="191" spans="1:31" x14ac:dyDescent="0.25">
      <c r="A191" t="s">
        <v>1112</v>
      </c>
      <c r="B191" t="s">
        <v>1113</v>
      </c>
      <c r="C191" s="1">
        <v>44032</v>
      </c>
      <c r="D191" s="1">
        <v>43854</v>
      </c>
      <c r="E191" t="s">
        <v>33</v>
      </c>
      <c r="F191" t="s">
        <v>34</v>
      </c>
      <c r="G191" t="s">
        <v>115</v>
      </c>
      <c r="H191" t="s">
        <v>116</v>
      </c>
      <c r="I191" t="s">
        <v>1114</v>
      </c>
      <c r="J191" t="s">
        <v>38</v>
      </c>
      <c r="K191" t="s">
        <v>70</v>
      </c>
      <c r="L191" t="s">
        <v>1115</v>
      </c>
      <c r="M191">
        <v>199.53</v>
      </c>
      <c r="N191">
        <v>61</v>
      </c>
      <c r="O191" t="s">
        <v>1116</v>
      </c>
      <c r="P191" t="s">
        <v>59</v>
      </c>
      <c r="Q191" t="s">
        <v>120</v>
      </c>
      <c r="R191" t="s">
        <v>44</v>
      </c>
      <c r="S191" t="s">
        <v>101</v>
      </c>
      <c r="T191" t="s">
        <v>102</v>
      </c>
      <c r="U191">
        <v>4021</v>
      </c>
      <c r="V191">
        <v>137</v>
      </c>
      <c r="W191">
        <v>20</v>
      </c>
      <c r="X191">
        <v>1430.03</v>
      </c>
      <c r="Y191">
        <v>258.5</v>
      </c>
      <c r="Z191">
        <v>1688.53</v>
      </c>
      <c r="AA191" t="s">
        <v>63</v>
      </c>
      <c r="AB191">
        <v>0</v>
      </c>
      <c r="AC191">
        <v>70.760000000000005</v>
      </c>
      <c r="AD191">
        <v>470</v>
      </c>
      <c r="AE191">
        <v>426</v>
      </c>
    </row>
    <row r="192" spans="1:31" x14ac:dyDescent="0.25">
      <c r="A192" t="s">
        <v>1117</v>
      </c>
      <c r="B192" t="s">
        <v>1118</v>
      </c>
      <c r="C192" s="1">
        <v>45169</v>
      </c>
      <c r="D192" s="1">
        <v>43862</v>
      </c>
      <c r="E192" t="s">
        <v>50</v>
      </c>
      <c r="F192" t="s">
        <v>78</v>
      </c>
      <c r="G192" t="s">
        <v>94</v>
      </c>
      <c r="H192" t="s">
        <v>53</v>
      </c>
      <c r="I192" t="s">
        <v>1119</v>
      </c>
      <c r="J192" t="s">
        <v>107</v>
      </c>
      <c r="K192" t="s">
        <v>70</v>
      </c>
      <c r="L192" t="s">
        <v>1120</v>
      </c>
      <c r="M192">
        <v>355.56</v>
      </c>
      <c r="N192">
        <v>28</v>
      </c>
      <c r="O192" t="s">
        <v>1121</v>
      </c>
      <c r="P192" t="s">
        <v>42</v>
      </c>
      <c r="Q192" t="s">
        <v>143</v>
      </c>
      <c r="R192" t="s">
        <v>153</v>
      </c>
      <c r="S192" t="s">
        <v>101</v>
      </c>
      <c r="T192" t="s">
        <v>434</v>
      </c>
      <c r="U192">
        <v>3754</v>
      </c>
      <c r="V192">
        <v>367</v>
      </c>
      <c r="W192">
        <v>1</v>
      </c>
      <c r="X192">
        <v>297.49</v>
      </c>
      <c r="Y192">
        <v>226.33</v>
      </c>
      <c r="Z192">
        <v>523.82000000000005</v>
      </c>
      <c r="AA192" t="s">
        <v>63</v>
      </c>
      <c r="AB192">
        <v>0</v>
      </c>
      <c r="AC192">
        <v>83.6</v>
      </c>
      <c r="AD192">
        <v>289</v>
      </c>
      <c r="AE192">
        <v>287</v>
      </c>
    </row>
    <row r="193" spans="1:31" x14ac:dyDescent="0.25">
      <c r="A193" t="s">
        <v>1122</v>
      </c>
      <c r="B193" t="s">
        <v>1123</v>
      </c>
      <c r="C193" s="1">
        <v>45055</v>
      </c>
      <c r="D193" s="1">
        <v>44006</v>
      </c>
      <c r="E193" t="s">
        <v>50</v>
      </c>
      <c r="F193" t="s">
        <v>78</v>
      </c>
      <c r="G193" t="s">
        <v>337</v>
      </c>
      <c r="H193" t="s">
        <v>53</v>
      </c>
      <c r="I193" t="s">
        <v>1124</v>
      </c>
      <c r="J193" t="s">
        <v>38</v>
      </c>
      <c r="K193" t="s">
        <v>39</v>
      </c>
      <c r="L193" t="s">
        <v>1125</v>
      </c>
      <c r="M193">
        <v>107.85</v>
      </c>
      <c r="N193">
        <v>78</v>
      </c>
      <c r="O193" t="s">
        <v>736</v>
      </c>
      <c r="P193" t="s">
        <v>42</v>
      </c>
      <c r="Q193" t="s">
        <v>364</v>
      </c>
      <c r="R193" t="s">
        <v>61</v>
      </c>
      <c r="S193" t="s">
        <v>101</v>
      </c>
      <c r="T193" t="s">
        <v>642</v>
      </c>
      <c r="U193">
        <v>4926</v>
      </c>
      <c r="V193">
        <v>387</v>
      </c>
      <c r="W193">
        <v>21</v>
      </c>
      <c r="X193">
        <v>692.15</v>
      </c>
      <c r="Y193">
        <v>130.80000000000001</v>
      </c>
      <c r="Z193">
        <v>822.95</v>
      </c>
      <c r="AA193" t="s">
        <v>63</v>
      </c>
      <c r="AB193">
        <v>0</v>
      </c>
      <c r="AC193">
        <v>74.83</v>
      </c>
      <c r="AD193">
        <v>286</v>
      </c>
      <c r="AE193">
        <v>317</v>
      </c>
    </row>
    <row r="194" spans="1:31" x14ac:dyDescent="0.25">
      <c r="A194" t="s">
        <v>1126</v>
      </c>
      <c r="B194" t="s">
        <v>1127</v>
      </c>
      <c r="C194" s="1">
        <v>45130</v>
      </c>
      <c r="D194" s="1">
        <v>45532</v>
      </c>
      <c r="E194" t="s">
        <v>66</v>
      </c>
      <c r="F194" t="s">
        <v>93</v>
      </c>
      <c r="G194" t="s">
        <v>94</v>
      </c>
      <c r="H194" t="s">
        <v>148</v>
      </c>
      <c r="I194" t="s">
        <v>1128</v>
      </c>
      <c r="J194" t="s">
        <v>82</v>
      </c>
      <c r="K194" t="s">
        <v>70</v>
      </c>
      <c r="L194" t="s">
        <v>1129</v>
      </c>
      <c r="M194">
        <v>23.18</v>
      </c>
      <c r="N194">
        <v>37</v>
      </c>
      <c r="O194" t="s">
        <v>302</v>
      </c>
      <c r="P194" t="s">
        <v>59</v>
      </c>
      <c r="Q194" t="s">
        <v>228</v>
      </c>
      <c r="R194" t="s">
        <v>88</v>
      </c>
      <c r="S194" t="s">
        <v>74</v>
      </c>
      <c r="T194" t="s">
        <v>365</v>
      </c>
      <c r="U194">
        <v>2600</v>
      </c>
      <c r="V194">
        <v>122</v>
      </c>
      <c r="W194">
        <v>3</v>
      </c>
      <c r="X194">
        <v>1942.19</v>
      </c>
      <c r="Y194">
        <v>452.53</v>
      </c>
      <c r="Z194">
        <v>2394.7199999999998</v>
      </c>
      <c r="AA194" t="s">
        <v>63</v>
      </c>
      <c r="AB194">
        <v>0</v>
      </c>
      <c r="AC194">
        <v>97.75</v>
      </c>
      <c r="AD194">
        <v>304</v>
      </c>
      <c r="AE194">
        <v>295</v>
      </c>
    </row>
    <row r="195" spans="1:31" x14ac:dyDescent="0.25">
      <c r="A195" t="s">
        <v>1130</v>
      </c>
      <c r="B195" t="s">
        <v>1131</v>
      </c>
      <c r="C195" s="1">
        <v>44324</v>
      </c>
      <c r="D195" s="1">
        <v>44903</v>
      </c>
      <c r="E195" t="s">
        <v>50</v>
      </c>
      <c r="F195" t="s">
        <v>51</v>
      </c>
      <c r="G195" t="s">
        <v>94</v>
      </c>
      <c r="H195" t="s">
        <v>68</v>
      </c>
      <c r="I195" t="s">
        <v>1132</v>
      </c>
      <c r="J195" t="s">
        <v>82</v>
      </c>
      <c r="K195" t="s">
        <v>83</v>
      </c>
      <c r="L195" t="s">
        <v>1133</v>
      </c>
      <c r="M195">
        <v>27.74</v>
      </c>
      <c r="N195">
        <v>37</v>
      </c>
      <c r="O195" t="s">
        <v>1134</v>
      </c>
      <c r="P195" t="s">
        <v>59</v>
      </c>
      <c r="Q195" t="s">
        <v>347</v>
      </c>
      <c r="R195" t="s">
        <v>88</v>
      </c>
      <c r="S195" t="s">
        <v>101</v>
      </c>
      <c r="T195" t="s">
        <v>478</v>
      </c>
      <c r="U195">
        <v>1323</v>
      </c>
      <c r="V195">
        <v>274</v>
      </c>
      <c r="W195">
        <v>7</v>
      </c>
      <c r="X195">
        <v>86.22</v>
      </c>
      <c r="Y195">
        <v>89.82</v>
      </c>
      <c r="Z195">
        <v>176.04</v>
      </c>
      <c r="AA195" t="s">
        <v>63</v>
      </c>
      <c r="AB195">
        <v>0</v>
      </c>
      <c r="AC195">
        <v>85.18</v>
      </c>
      <c r="AD195">
        <v>334</v>
      </c>
      <c r="AE195">
        <v>320</v>
      </c>
    </row>
    <row r="196" spans="1:31" x14ac:dyDescent="0.25">
      <c r="A196" t="s">
        <v>1135</v>
      </c>
      <c r="B196" t="s">
        <v>1136</v>
      </c>
      <c r="C196" s="1">
        <v>45228</v>
      </c>
      <c r="D196" s="1">
        <v>45073</v>
      </c>
      <c r="E196" t="s">
        <v>66</v>
      </c>
      <c r="F196" t="s">
        <v>34</v>
      </c>
      <c r="G196" t="s">
        <v>94</v>
      </c>
      <c r="H196" t="s">
        <v>80</v>
      </c>
      <c r="I196" t="s">
        <v>1137</v>
      </c>
      <c r="J196" t="s">
        <v>96</v>
      </c>
      <c r="K196" t="s">
        <v>70</v>
      </c>
      <c r="L196" t="s">
        <v>1138</v>
      </c>
      <c r="M196">
        <v>414.94</v>
      </c>
      <c r="N196">
        <v>23</v>
      </c>
      <c r="O196" t="s">
        <v>1139</v>
      </c>
      <c r="P196" t="s">
        <v>86</v>
      </c>
      <c r="Q196" t="s">
        <v>997</v>
      </c>
      <c r="R196" t="s">
        <v>44</v>
      </c>
      <c r="S196" t="s">
        <v>89</v>
      </c>
      <c r="T196" t="s">
        <v>1059</v>
      </c>
      <c r="U196">
        <v>2076</v>
      </c>
      <c r="V196">
        <v>147</v>
      </c>
      <c r="W196">
        <v>26</v>
      </c>
      <c r="X196">
        <v>51.65</v>
      </c>
      <c r="Y196">
        <v>275.05</v>
      </c>
      <c r="Z196">
        <v>326.7</v>
      </c>
      <c r="AA196" t="s">
        <v>63</v>
      </c>
      <c r="AB196">
        <v>0</v>
      </c>
      <c r="AC196">
        <v>71.900000000000006</v>
      </c>
      <c r="AD196">
        <v>223</v>
      </c>
      <c r="AE196">
        <v>222</v>
      </c>
    </row>
    <row r="197" spans="1:31" x14ac:dyDescent="0.25">
      <c r="A197" t="s">
        <v>1140</v>
      </c>
      <c r="B197" t="s">
        <v>1141</v>
      </c>
      <c r="C197" s="1">
        <v>43831</v>
      </c>
      <c r="D197" s="1">
        <v>45097</v>
      </c>
      <c r="E197" t="s">
        <v>50</v>
      </c>
      <c r="F197" t="s">
        <v>147</v>
      </c>
      <c r="G197" t="s">
        <v>105</v>
      </c>
      <c r="H197" t="s">
        <v>53</v>
      </c>
      <c r="I197" t="s">
        <v>1142</v>
      </c>
      <c r="J197" t="s">
        <v>55</v>
      </c>
      <c r="K197" t="s">
        <v>97</v>
      </c>
      <c r="L197" t="s">
        <v>1143</v>
      </c>
      <c r="M197">
        <v>247.47</v>
      </c>
      <c r="N197">
        <v>78</v>
      </c>
      <c r="O197" t="s">
        <v>820</v>
      </c>
      <c r="P197" t="s">
        <v>42</v>
      </c>
      <c r="Q197" t="s">
        <v>100</v>
      </c>
      <c r="R197" t="s">
        <v>61</v>
      </c>
      <c r="S197" t="s">
        <v>45</v>
      </c>
      <c r="T197" t="s">
        <v>62</v>
      </c>
      <c r="U197">
        <v>4660</v>
      </c>
      <c r="V197">
        <v>439</v>
      </c>
      <c r="W197">
        <v>21</v>
      </c>
      <c r="X197">
        <v>404.37</v>
      </c>
      <c r="Y197">
        <v>201.21</v>
      </c>
      <c r="Z197">
        <v>605.58000000000004</v>
      </c>
      <c r="AA197" t="s">
        <v>63</v>
      </c>
      <c r="AB197">
        <v>0</v>
      </c>
      <c r="AC197">
        <v>71.53</v>
      </c>
      <c r="AD197">
        <v>424</v>
      </c>
      <c r="AE197">
        <v>387</v>
      </c>
    </row>
    <row r="198" spans="1:31" x14ac:dyDescent="0.25">
      <c r="A198" t="s">
        <v>1144</v>
      </c>
      <c r="B198" t="s">
        <v>1145</v>
      </c>
      <c r="C198" s="1">
        <v>44445</v>
      </c>
      <c r="D198" s="1">
        <v>44102</v>
      </c>
      <c r="E198" t="s">
        <v>66</v>
      </c>
      <c r="F198" t="s">
        <v>34</v>
      </c>
      <c r="G198" t="s">
        <v>115</v>
      </c>
      <c r="H198" t="s">
        <v>36</v>
      </c>
      <c r="I198" t="s">
        <v>1146</v>
      </c>
      <c r="J198" t="s">
        <v>82</v>
      </c>
      <c r="K198" t="s">
        <v>83</v>
      </c>
      <c r="L198" t="s">
        <v>1147</v>
      </c>
      <c r="M198">
        <v>110.28</v>
      </c>
      <c r="N198">
        <v>61</v>
      </c>
      <c r="O198" t="s">
        <v>1148</v>
      </c>
      <c r="P198" t="s">
        <v>59</v>
      </c>
      <c r="Q198" t="s">
        <v>120</v>
      </c>
      <c r="R198" t="s">
        <v>44</v>
      </c>
      <c r="S198" t="s">
        <v>101</v>
      </c>
      <c r="T198" t="s">
        <v>279</v>
      </c>
      <c r="U198">
        <v>4847</v>
      </c>
      <c r="V198">
        <v>54</v>
      </c>
      <c r="W198">
        <v>7</v>
      </c>
      <c r="X198">
        <v>1775.82</v>
      </c>
      <c r="Y198">
        <v>272.06</v>
      </c>
      <c r="Z198">
        <v>2047.88</v>
      </c>
      <c r="AA198" t="s">
        <v>47</v>
      </c>
      <c r="AB198">
        <v>12</v>
      </c>
      <c r="AC198">
        <v>79.290000000000006</v>
      </c>
      <c r="AD198">
        <v>358</v>
      </c>
      <c r="AE198">
        <v>319</v>
      </c>
    </row>
    <row r="199" spans="1:31" x14ac:dyDescent="0.25">
      <c r="A199" t="s">
        <v>1149</v>
      </c>
      <c r="B199" t="s">
        <v>1150</v>
      </c>
      <c r="C199" s="1">
        <v>44381</v>
      </c>
      <c r="D199" s="1">
        <v>45275</v>
      </c>
      <c r="E199" t="s">
        <v>33</v>
      </c>
      <c r="F199" t="s">
        <v>93</v>
      </c>
      <c r="G199" t="s">
        <v>94</v>
      </c>
      <c r="H199" t="s">
        <v>68</v>
      </c>
      <c r="I199" t="s">
        <v>1151</v>
      </c>
      <c r="J199" t="s">
        <v>55</v>
      </c>
      <c r="K199" t="s">
        <v>39</v>
      </c>
      <c r="L199" t="s">
        <v>1152</v>
      </c>
      <c r="M199">
        <v>459.68</v>
      </c>
      <c r="N199">
        <v>27</v>
      </c>
      <c r="O199" t="s">
        <v>1153</v>
      </c>
      <c r="P199" t="s">
        <v>142</v>
      </c>
      <c r="Q199" t="s">
        <v>529</v>
      </c>
      <c r="R199" t="s">
        <v>61</v>
      </c>
      <c r="S199" t="s">
        <v>128</v>
      </c>
      <c r="T199" t="s">
        <v>303</v>
      </c>
      <c r="U199">
        <v>188</v>
      </c>
      <c r="V199">
        <v>160</v>
      </c>
      <c r="W199">
        <v>24</v>
      </c>
      <c r="X199">
        <v>272.56</v>
      </c>
      <c r="Y199">
        <v>314.79000000000002</v>
      </c>
      <c r="Z199">
        <v>587.35</v>
      </c>
      <c r="AA199" t="s">
        <v>63</v>
      </c>
      <c r="AB199">
        <v>0</v>
      </c>
      <c r="AC199">
        <v>76.39</v>
      </c>
      <c r="AD199">
        <v>457</v>
      </c>
      <c r="AE199">
        <v>435</v>
      </c>
    </row>
    <row r="200" spans="1:31" x14ac:dyDescent="0.25">
      <c r="A200" t="s">
        <v>1154</v>
      </c>
      <c r="B200" t="s">
        <v>1155</v>
      </c>
      <c r="C200" s="1">
        <v>45003</v>
      </c>
      <c r="D200" s="1">
        <v>44359</v>
      </c>
      <c r="E200" t="s">
        <v>66</v>
      </c>
      <c r="F200" t="s">
        <v>34</v>
      </c>
      <c r="G200" t="s">
        <v>115</v>
      </c>
      <c r="H200" t="s">
        <v>148</v>
      </c>
      <c r="I200" t="s">
        <v>1156</v>
      </c>
      <c r="J200" t="s">
        <v>82</v>
      </c>
      <c r="K200" t="s">
        <v>56</v>
      </c>
      <c r="L200" t="s">
        <v>1157</v>
      </c>
      <c r="M200">
        <v>177.53</v>
      </c>
      <c r="N200">
        <v>62</v>
      </c>
      <c r="O200" t="s">
        <v>1158</v>
      </c>
      <c r="P200" t="s">
        <v>110</v>
      </c>
      <c r="Q200" t="s">
        <v>100</v>
      </c>
      <c r="R200" t="s">
        <v>88</v>
      </c>
      <c r="S200" t="s">
        <v>89</v>
      </c>
      <c r="T200" t="s">
        <v>625</v>
      </c>
      <c r="U200">
        <v>4600</v>
      </c>
      <c r="V200">
        <v>365</v>
      </c>
      <c r="W200">
        <v>6</v>
      </c>
      <c r="X200">
        <v>1142.79</v>
      </c>
      <c r="Y200">
        <v>392.48</v>
      </c>
      <c r="Z200">
        <v>1535.27</v>
      </c>
      <c r="AA200" t="s">
        <v>63</v>
      </c>
      <c r="AB200">
        <v>0</v>
      </c>
      <c r="AC200">
        <v>99.38</v>
      </c>
      <c r="AD200">
        <v>449</v>
      </c>
      <c r="AE200">
        <v>474</v>
      </c>
    </row>
    <row r="201" spans="1:31" x14ac:dyDescent="0.25">
      <c r="A201" t="s">
        <v>1159</v>
      </c>
      <c r="B201" t="s">
        <v>1160</v>
      </c>
      <c r="C201" s="1">
        <v>44032</v>
      </c>
      <c r="D201" s="1">
        <v>45080</v>
      </c>
      <c r="E201" t="s">
        <v>66</v>
      </c>
      <c r="F201" t="s">
        <v>93</v>
      </c>
      <c r="G201" t="s">
        <v>105</v>
      </c>
      <c r="H201" t="s">
        <v>164</v>
      </c>
      <c r="I201" t="s">
        <v>1161</v>
      </c>
      <c r="J201" t="s">
        <v>38</v>
      </c>
      <c r="K201" t="s">
        <v>83</v>
      </c>
      <c r="L201" t="s">
        <v>1162</v>
      </c>
      <c r="M201">
        <v>51.69</v>
      </c>
      <c r="N201">
        <v>37</v>
      </c>
      <c r="O201" t="s">
        <v>1163</v>
      </c>
      <c r="P201" t="s">
        <v>42</v>
      </c>
      <c r="Q201" t="s">
        <v>168</v>
      </c>
      <c r="R201" t="s">
        <v>44</v>
      </c>
      <c r="S201" t="s">
        <v>128</v>
      </c>
      <c r="T201" t="s">
        <v>136</v>
      </c>
      <c r="U201">
        <v>4713</v>
      </c>
      <c r="V201">
        <v>370</v>
      </c>
      <c r="W201">
        <v>8</v>
      </c>
      <c r="X201">
        <v>686.76</v>
      </c>
      <c r="Y201">
        <v>263.17</v>
      </c>
      <c r="Z201">
        <v>949.93000000000006</v>
      </c>
      <c r="AA201" t="s">
        <v>63</v>
      </c>
      <c r="AB201">
        <v>0</v>
      </c>
      <c r="AC201">
        <v>91.28</v>
      </c>
      <c r="AD201">
        <v>206</v>
      </c>
      <c r="AE201">
        <v>212</v>
      </c>
    </row>
    <row r="202" spans="1:31" x14ac:dyDescent="0.25">
      <c r="A202" t="s">
        <v>1164</v>
      </c>
      <c r="B202" t="s">
        <v>1165</v>
      </c>
      <c r="C202" s="1">
        <v>44798</v>
      </c>
      <c r="D202" s="1">
        <v>43884</v>
      </c>
      <c r="E202" t="s">
        <v>66</v>
      </c>
      <c r="F202" t="s">
        <v>34</v>
      </c>
      <c r="G202" t="s">
        <v>35</v>
      </c>
      <c r="H202" t="s">
        <v>36</v>
      </c>
      <c r="I202" t="s">
        <v>1166</v>
      </c>
      <c r="J202" t="s">
        <v>82</v>
      </c>
      <c r="K202" t="s">
        <v>83</v>
      </c>
      <c r="L202" t="s">
        <v>1167</v>
      </c>
      <c r="M202">
        <v>13.4</v>
      </c>
      <c r="N202">
        <v>93</v>
      </c>
      <c r="O202" t="s">
        <v>1168</v>
      </c>
      <c r="P202" t="s">
        <v>142</v>
      </c>
      <c r="Q202" t="s">
        <v>404</v>
      </c>
      <c r="R202" t="s">
        <v>88</v>
      </c>
      <c r="S202" t="s">
        <v>45</v>
      </c>
      <c r="T202" t="s">
        <v>121</v>
      </c>
      <c r="U202">
        <v>4650</v>
      </c>
      <c r="V202">
        <v>434</v>
      </c>
      <c r="W202">
        <v>19</v>
      </c>
      <c r="X202">
        <v>690.84</v>
      </c>
      <c r="Y202">
        <v>475.24</v>
      </c>
      <c r="Z202">
        <v>1166.08</v>
      </c>
      <c r="AA202" t="s">
        <v>63</v>
      </c>
      <c r="AB202">
        <v>0</v>
      </c>
      <c r="AC202">
        <v>93.73</v>
      </c>
      <c r="AD202">
        <v>273</v>
      </c>
      <c r="AE202">
        <v>307</v>
      </c>
    </row>
    <row r="203" spans="1:31" x14ac:dyDescent="0.25">
      <c r="A203" t="s">
        <v>1169</v>
      </c>
      <c r="B203" t="s">
        <v>1170</v>
      </c>
      <c r="C203" s="1">
        <v>44059</v>
      </c>
      <c r="D203" s="1">
        <v>44058</v>
      </c>
      <c r="E203" t="s">
        <v>66</v>
      </c>
      <c r="F203" t="s">
        <v>147</v>
      </c>
      <c r="G203" t="s">
        <v>105</v>
      </c>
      <c r="H203" t="s">
        <v>36</v>
      </c>
      <c r="I203" t="s">
        <v>1171</v>
      </c>
      <c r="J203" t="s">
        <v>96</v>
      </c>
      <c r="K203" t="s">
        <v>56</v>
      </c>
      <c r="L203" t="s">
        <v>1172</v>
      </c>
      <c r="M203">
        <v>357.32</v>
      </c>
      <c r="N203">
        <v>73</v>
      </c>
      <c r="O203" t="s">
        <v>1173</v>
      </c>
      <c r="P203" t="s">
        <v>59</v>
      </c>
      <c r="Q203" t="s">
        <v>189</v>
      </c>
      <c r="R203" t="s">
        <v>61</v>
      </c>
      <c r="S203" t="s">
        <v>45</v>
      </c>
      <c r="T203" t="s">
        <v>255</v>
      </c>
      <c r="U203">
        <v>1937</v>
      </c>
      <c r="V203">
        <v>251</v>
      </c>
      <c r="W203">
        <v>6</v>
      </c>
      <c r="X203">
        <v>1161.28</v>
      </c>
      <c r="Y203">
        <v>497.52</v>
      </c>
      <c r="Z203">
        <v>1658.8</v>
      </c>
      <c r="AA203" t="s">
        <v>63</v>
      </c>
      <c r="AB203">
        <v>0</v>
      </c>
      <c r="AC203">
        <v>84.19</v>
      </c>
      <c r="AD203">
        <v>328</v>
      </c>
      <c r="AE203">
        <v>330</v>
      </c>
    </row>
    <row r="204" spans="1:31" x14ac:dyDescent="0.25">
      <c r="A204" t="s">
        <v>1174</v>
      </c>
      <c r="B204" t="s">
        <v>1175</v>
      </c>
      <c r="C204" s="1">
        <v>44046</v>
      </c>
      <c r="D204" s="1">
        <v>44773</v>
      </c>
      <c r="E204" t="s">
        <v>66</v>
      </c>
      <c r="F204" t="s">
        <v>51</v>
      </c>
      <c r="G204" t="s">
        <v>52</v>
      </c>
      <c r="H204" t="s">
        <v>218</v>
      </c>
      <c r="I204" t="s">
        <v>1176</v>
      </c>
      <c r="J204" t="s">
        <v>107</v>
      </c>
      <c r="K204" t="s">
        <v>83</v>
      </c>
      <c r="L204" t="s">
        <v>1177</v>
      </c>
      <c r="M204">
        <v>242.51</v>
      </c>
      <c r="N204">
        <v>54</v>
      </c>
      <c r="O204" t="s">
        <v>1178</v>
      </c>
      <c r="P204" t="s">
        <v>59</v>
      </c>
      <c r="Q204" t="s">
        <v>488</v>
      </c>
      <c r="R204" t="s">
        <v>61</v>
      </c>
      <c r="S204" t="s">
        <v>45</v>
      </c>
      <c r="T204" t="s">
        <v>365</v>
      </c>
      <c r="U204">
        <v>4884</v>
      </c>
      <c r="V204">
        <v>459</v>
      </c>
      <c r="W204">
        <v>12</v>
      </c>
      <c r="X204">
        <v>1037.33</v>
      </c>
      <c r="Y204">
        <v>350.54</v>
      </c>
      <c r="Z204">
        <v>1387.87</v>
      </c>
      <c r="AA204" t="s">
        <v>63</v>
      </c>
      <c r="AB204">
        <v>0</v>
      </c>
      <c r="AC204">
        <v>70.739999999999995</v>
      </c>
      <c r="AD204">
        <v>354</v>
      </c>
      <c r="AE204">
        <v>334</v>
      </c>
    </row>
    <row r="205" spans="1:31" x14ac:dyDescent="0.25">
      <c r="A205" t="s">
        <v>1179</v>
      </c>
      <c r="B205" t="s">
        <v>1180</v>
      </c>
      <c r="C205" s="1">
        <v>43990</v>
      </c>
      <c r="D205" s="1">
        <v>45018</v>
      </c>
      <c r="E205" t="s">
        <v>33</v>
      </c>
      <c r="F205" t="s">
        <v>93</v>
      </c>
      <c r="G205" t="s">
        <v>337</v>
      </c>
      <c r="H205" t="s">
        <v>80</v>
      </c>
      <c r="I205" t="s">
        <v>1181</v>
      </c>
      <c r="J205" t="s">
        <v>82</v>
      </c>
      <c r="K205" t="s">
        <v>39</v>
      </c>
      <c r="L205" t="s">
        <v>1182</v>
      </c>
      <c r="M205">
        <v>156.01</v>
      </c>
      <c r="N205">
        <v>5</v>
      </c>
      <c r="O205" t="s">
        <v>1183</v>
      </c>
      <c r="P205" t="s">
        <v>86</v>
      </c>
      <c r="Q205" t="s">
        <v>189</v>
      </c>
      <c r="R205" t="s">
        <v>44</v>
      </c>
      <c r="S205" t="s">
        <v>128</v>
      </c>
      <c r="T205" t="s">
        <v>1059</v>
      </c>
      <c r="U205">
        <v>4114</v>
      </c>
      <c r="V205">
        <v>402</v>
      </c>
      <c r="W205">
        <v>25</v>
      </c>
      <c r="X205">
        <v>1786.27</v>
      </c>
      <c r="Y205">
        <v>273.60000000000002</v>
      </c>
      <c r="Z205">
        <v>2059.87</v>
      </c>
      <c r="AA205" t="s">
        <v>47</v>
      </c>
      <c r="AB205">
        <v>13</v>
      </c>
      <c r="AC205">
        <v>77.319999999999993</v>
      </c>
      <c r="AD205">
        <v>497</v>
      </c>
      <c r="AE205">
        <v>546</v>
      </c>
    </row>
    <row r="206" spans="1:31" x14ac:dyDescent="0.25">
      <c r="A206" t="s">
        <v>1184</v>
      </c>
      <c r="B206" t="s">
        <v>1185</v>
      </c>
      <c r="C206" s="1">
        <v>44991</v>
      </c>
      <c r="D206" s="1">
        <v>44384</v>
      </c>
      <c r="E206" t="s">
        <v>50</v>
      </c>
      <c r="F206" t="s">
        <v>78</v>
      </c>
      <c r="G206" t="s">
        <v>105</v>
      </c>
      <c r="H206" t="s">
        <v>68</v>
      </c>
      <c r="I206" t="s">
        <v>1186</v>
      </c>
      <c r="J206" t="s">
        <v>96</v>
      </c>
      <c r="K206" t="s">
        <v>39</v>
      </c>
      <c r="L206" t="s">
        <v>1187</v>
      </c>
      <c r="M206">
        <v>60.29</v>
      </c>
      <c r="N206">
        <v>45</v>
      </c>
      <c r="O206" t="s">
        <v>1188</v>
      </c>
      <c r="P206" t="s">
        <v>110</v>
      </c>
      <c r="Q206" t="s">
        <v>168</v>
      </c>
      <c r="R206" t="s">
        <v>61</v>
      </c>
      <c r="S206" t="s">
        <v>89</v>
      </c>
      <c r="T206" t="s">
        <v>365</v>
      </c>
      <c r="U206">
        <v>4273</v>
      </c>
      <c r="V206">
        <v>287</v>
      </c>
      <c r="W206">
        <v>7</v>
      </c>
      <c r="X206">
        <v>1400.45</v>
      </c>
      <c r="Y206">
        <v>28.15</v>
      </c>
      <c r="Z206">
        <v>1428.6</v>
      </c>
      <c r="AA206" t="s">
        <v>63</v>
      </c>
      <c r="AB206">
        <v>0</v>
      </c>
      <c r="AC206">
        <v>77.760000000000005</v>
      </c>
      <c r="AD206">
        <v>151</v>
      </c>
      <c r="AE206">
        <v>158</v>
      </c>
    </row>
    <row r="207" spans="1:31" x14ac:dyDescent="0.25">
      <c r="A207" t="s">
        <v>1189</v>
      </c>
      <c r="B207" t="s">
        <v>1190</v>
      </c>
      <c r="C207" s="1">
        <v>44880</v>
      </c>
      <c r="D207" s="1">
        <v>45355</v>
      </c>
      <c r="E207" t="s">
        <v>66</v>
      </c>
      <c r="F207" t="s">
        <v>147</v>
      </c>
      <c r="G207" t="s">
        <v>94</v>
      </c>
      <c r="H207" t="s">
        <v>148</v>
      </c>
      <c r="I207" t="s">
        <v>1191</v>
      </c>
      <c r="J207" t="s">
        <v>38</v>
      </c>
      <c r="K207" t="s">
        <v>56</v>
      </c>
      <c r="L207" t="s">
        <v>1192</v>
      </c>
      <c r="M207">
        <v>242.39</v>
      </c>
      <c r="N207">
        <v>65</v>
      </c>
      <c r="O207" t="s">
        <v>1193</v>
      </c>
      <c r="P207" t="s">
        <v>59</v>
      </c>
      <c r="Q207" t="s">
        <v>371</v>
      </c>
      <c r="R207" t="s">
        <v>153</v>
      </c>
      <c r="S207" t="s">
        <v>101</v>
      </c>
      <c r="T207" t="s">
        <v>1194</v>
      </c>
      <c r="U207">
        <v>1323</v>
      </c>
      <c r="V207">
        <v>134</v>
      </c>
      <c r="W207">
        <v>26</v>
      </c>
      <c r="X207">
        <v>721.05</v>
      </c>
      <c r="Y207">
        <v>186.83</v>
      </c>
      <c r="Z207">
        <v>907.88</v>
      </c>
      <c r="AA207" t="s">
        <v>63</v>
      </c>
      <c r="AB207">
        <v>0</v>
      </c>
      <c r="AC207">
        <v>79.959999999999994</v>
      </c>
      <c r="AD207">
        <v>314</v>
      </c>
      <c r="AE207">
        <v>350</v>
      </c>
    </row>
    <row r="208" spans="1:31" x14ac:dyDescent="0.25">
      <c r="A208" t="s">
        <v>1195</v>
      </c>
      <c r="B208" t="s">
        <v>1196</v>
      </c>
      <c r="C208" s="1">
        <v>45081</v>
      </c>
      <c r="D208" s="1">
        <v>43951</v>
      </c>
      <c r="E208" t="s">
        <v>66</v>
      </c>
      <c r="F208" t="s">
        <v>51</v>
      </c>
      <c r="G208" t="s">
        <v>115</v>
      </c>
      <c r="H208" t="s">
        <v>53</v>
      </c>
      <c r="I208" t="s">
        <v>1197</v>
      </c>
      <c r="J208" t="s">
        <v>82</v>
      </c>
      <c r="K208" t="s">
        <v>97</v>
      </c>
      <c r="L208" t="s">
        <v>1198</v>
      </c>
      <c r="M208">
        <v>255.87</v>
      </c>
      <c r="N208">
        <v>12</v>
      </c>
      <c r="O208" t="s">
        <v>705</v>
      </c>
      <c r="P208" t="s">
        <v>42</v>
      </c>
      <c r="Q208" t="s">
        <v>143</v>
      </c>
      <c r="R208" t="s">
        <v>88</v>
      </c>
      <c r="S208" t="s">
        <v>74</v>
      </c>
      <c r="T208" t="s">
        <v>927</v>
      </c>
      <c r="U208">
        <v>4585</v>
      </c>
      <c r="V208">
        <v>304</v>
      </c>
      <c r="W208">
        <v>15</v>
      </c>
      <c r="X208">
        <v>1977.02</v>
      </c>
      <c r="Y208">
        <v>249.04</v>
      </c>
      <c r="Z208">
        <v>2226.06</v>
      </c>
      <c r="AA208" t="s">
        <v>63</v>
      </c>
      <c r="AB208">
        <v>0</v>
      </c>
      <c r="AC208">
        <v>86.17</v>
      </c>
      <c r="AD208">
        <v>61</v>
      </c>
      <c r="AE208">
        <v>66</v>
      </c>
    </row>
    <row r="209" spans="1:31" x14ac:dyDescent="0.25">
      <c r="A209" t="s">
        <v>1199</v>
      </c>
      <c r="B209" t="s">
        <v>1200</v>
      </c>
      <c r="C209" s="1">
        <v>45212</v>
      </c>
      <c r="D209" s="1">
        <v>45203</v>
      </c>
      <c r="E209" t="s">
        <v>66</v>
      </c>
      <c r="F209" t="s">
        <v>34</v>
      </c>
      <c r="G209" t="s">
        <v>52</v>
      </c>
      <c r="H209" t="s">
        <v>164</v>
      </c>
      <c r="I209" t="s">
        <v>1201</v>
      </c>
      <c r="J209" t="s">
        <v>38</v>
      </c>
      <c r="K209" t="s">
        <v>70</v>
      </c>
      <c r="L209" t="s">
        <v>1202</v>
      </c>
      <c r="M209">
        <v>480.68</v>
      </c>
      <c r="N209">
        <v>53</v>
      </c>
      <c r="O209" t="s">
        <v>1203</v>
      </c>
      <c r="P209" t="s">
        <v>86</v>
      </c>
      <c r="Q209" t="s">
        <v>168</v>
      </c>
      <c r="R209" t="s">
        <v>61</v>
      </c>
      <c r="S209" t="s">
        <v>45</v>
      </c>
      <c r="T209" t="s">
        <v>815</v>
      </c>
      <c r="U209">
        <v>765</v>
      </c>
      <c r="V209">
        <v>443</v>
      </c>
      <c r="W209">
        <v>27</v>
      </c>
      <c r="X209">
        <v>287.43</v>
      </c>
      <c r="Y209">
        <v>85.94</v>
      </c>
      <c r="Z209">
        <v>373.37</v>
      </c>
      <c r="AA209" t="s">
        <v>63</v>
      </c>
      <c r="AB209">
        <v>0</v>
      </c>
      <c r="AC209">
        <v>78.12</v>
      </c>
      <c r="AD209">
        <v>134</v>
      </c>
      <c r="AE209">
        <v>153</v>
      </c>
    </row>
    <row r="210" spans="1:31" x14ac:dyDescent="0.25">
      <c r="A210" t="s">
        <v>1204</v>
      </c>
      <c r="B210" t="s">
        <v>1205</v>
      </c>
      <c r="C210" s="1">
        <v>44217</v>
      </c>
      <c r="D210" s="1">
        <v>44778</v>
      </c>
      <c r="E210" t="s">
        <v>66</v>
      </c>
      <c r="F210" t="s">
        <v>147</v>
      </c>
      <c r="G210" t="s">
        <v>115</v>
      </c>
      <c r="H210" t="s">
        <v>164</v>
      </c>
      <c r="I210" t="s">
        <v>1206</v>
      </c>
      <c r="J210" t="s">
        <v>82</v>
      </c>
      <c r="K210" t="s">
        <v>83</v>
      </c>
      <c r="L210" t="s">
        <v>1207</v>
      </c>
      <c r="M210">
        <v>58.8</v>
      </c>
      <c r="N210">
        <v>76</v>
      </c>
      <c r="O210" t="s">
        <v>699</v>
      </c>
      <c r="P210" t="s">
        <v>59</v>
      </c>
      <c r="Q210" t="s">
        <v>241</v>
      </c>
      <c r="R210" t="s">
        <v>61</v>
      </c>
      <c r="S210" t="s">
        <v>128</v>
      </c>
      <c r="T210" t="s">
        <v>1059</v>
      </c>
      <c r="U210">
        <v>2392</v>
      </c>
      <c r="V210">
        <v>349</v>
      </c>
      <c r="W210">
        <v>9</v>
      </c>
      <c r="X210">
        <v>1418.58</v>
      </c>
      <c r="Y210">
        <v>117.76</v>
      </c>
      <c r="Z210">
        <v>1536.34</v>
      </c>
      <c r="AA210" t="s">
        <v>63</v>
      </c>
      <c r="AB210">
        <v>0</v>
      </c>
      <c r="AC210">
        <v>78.8</v>
      </c>
      <c r="AD210">
        <v>89</v>
      </c>
      <c r="AE210">
        <v>59</v>
      </c>
    </row>
    <row r="211" spans="1:31" x14ac:dyDescent="0.25">
      <c r="A211" t="s">
        <v>1208</v>
      </c>
      <c r="B211" t="s">
        <v>1209</v>
      </c>
      <c r="C211" s="1">
        <v>43979</v>
      </c>
      <c r="D211" s="1">
        <v>44447</v>
      </c>
      <c r="E211" t="s">
        <v>66</v>
      </c>
      <c r="F211" t="s">
        <v>51</v>
      </c>
      <c r="G211" t="s">
        <v>94</v>
      </c>
      <c r="H211" t="s">
        <v>68</v>
      </c>
      <c r="I211" t="s">
        <v>1210</v>
      </c>
      <c r="J211" t="s">
        <v>96</v>
      </c>
      <c r="K211" t="s">
        <v>39</v>
      </c>
      <c r="L211" t="s">
        <v>1211</v>
      </c>
      <c r="M211">
        <v>219.57</v>
      </c>
      <c r="N211">
        <v>96</v>
      </c>
      <c r="O211" t="s">
        <v>1212</v>
      </c>
      <c r="P211" t="s">
        <v>110</v>
      </c>
      <c r="Q211" t="s">
        <v>340</v>
      </c>
      <c r="R211" t="s">
        <v>61</v>
      </c>
      <c r="S211" t="s">
        <v>101</v>
      </c>
      <c r="T211" t="s">
        <v>255</v>
      </c>
      <c r="U211">
        <v>2606</v>
      </c>
      <c r="V211">
        <v>68</v>
      </c>
      <c r="W211">
        <v>6</v>
      </c>
      <c r="X211">
        <v>1169.51</v>
      </c>
      <c r="Y211">
        <v>480.26</v>
      </c>
      <c r="Z211">
        <v>1649.77</v>
      </c>
      <c r="AA211" t="s">
        <v>63</v>
      </c>
      <c r="AB211">
        <v>0</v>
      </c>
      <c r="AC211">
        <v>70.95</v>
      </c>
      <c r="AD211">
        <v>272</v>
      </c>
      <c r="AE211">
        <v>271</v>
      </c>
    </row>
    <row r="212" spans="1:31" x14ac:dyDescent="0.25">
      <c r="A212" t="s">
        <v>1213</v>
      </c>
      <c r="B212" t="s">
        <v>1214</v>
      </c>
      <c r="C212" s="1">
        <v>45187</v>
      </c>
      <c r="D212" s="1">
        <v>45023</v>
      </c>
      <c r="E212" t="s">
        <v>33</v>
      </c>
      <c r="F212" t="s">
        <v>147</v>
      </c>
      <c r="G212" t="s">
        <v>337</v>
      </c>
      <c r="H212" t="s">
        <v>36</v>
      </c>
      <c r="I212" t="s">
        <v>1215</v>
      </c>
      <c r="J212" t="s">
        <v>82</v>
      </c>
      <c r="K212" t="s">
        <v>39</v>
      </c>
      <c r="L212" t="s">
        <v>1216</v>
      </c>
      <c r="M212">
        <v>327.27</v>
      </c>
      <c r="N212">
        <v>23</v>
      </c>
      <c r="O212" t="s">
        <v>1217</v>
      </c>
      <c r="P212" t="s">
        <v>86</v>
      </c>
      <c r="Q212" t="s">
        <v>383</v>
      </c>
      <c r="R212" t="s">
        <v>153</v>
      </c>
      <c r="S212" t="s">
        <v>101</v>
      </c>
      <c r="T212" t="s">
        <v>144</v>
      </c>
      <c r="U212">
        <v>4012</v>
      </c>
      <c r="V212">
        <v>437</v>
      </c>
      <c r="W212">
        <v>28</v>
      </c>
      <c r="X212">
        <v>391.41</v>
      </c>
      <c r="Y212">
        <v>108.58</v>
      </c>
      <c r="Z212">
        <v>499.99</v>
      </c>
      <c r="AA212" t="s">
        <v>63</v>
      </c>
      <c r="AB212">
        <v>0</v>
      </c>
      <c r="AC212">
        <v>88.48</v>
      </c>
      <c r="AD212">
        <v>493</v>
      </c>
      <c r="AE212">
        <v>472</v>
      </c>
    </row>
    <row r="213" spans="1:31" x14ac:dyDescent="0.25">
      <c r="A213" t="s">
        <v>1218</v>
      </c>
      <c r="B213" t="s">
        <v>1219</v>
      </c>
      <c r="C213" s="1">
        <v>44768</v>
      </c>
      <c r="D213" s="1">
        <v>44988</v>
      </c>
      <c r="E213" t="s">
        <v>66</v>
      </c>
      <c r="F213" t="s">
        <v>147</v>
      </c>
      <c r="G213" t="s">
        <v>79</v>
      </c>
      <c r="H213" t="s">
        <v>80</v>
      </c>
      <c r="I213" t="s">
        <v>1220</v>
      </c>
      <c r="J213" t="s">
        <v>82</v>
      </c>
      <c r="K213" t="s">
        <v>83</v>
      </c>
      <c r="L213" t="s">
        <v>1221</v>
      </c>
      <c r="M213">
        <v>350.58</v>
      </c>
      <c r="N213">
        <v>18</v>
      </c>
      <c r="O213" t="s">
        <v>1222</v>
      </c>
      <c r="P213" t="s">
        <v>142</v>
      </c>
      <c r="Q213" t="s">
        <v>347</v>
      </c>
      <c r="R213" t="s">
        <v>153</v>
      </c>
      <c r="S213" t="s">
        <v>45</v>
      </c>
      <c r="T213" t="s">
        <v>169</v>
      </c>
      <c r="U213">
        <v>2582</v>
      </c>
      <c r="V213">
        <v>231</v>
      </c>
      <c r="W213">
        <v>4</v>
      </c>
      <c r="X213">
        <v>1442.07</v>
      </c>
      <c r="Y213">
        <v>74.040000000000006</v>
      </c>
      <c r="Z213">
        <v>1516.11</v>
      </c>
      <c r="AA213" t="s">
        <v>63</v>
      </c>
      <c r="AB213">
        <v>0</v>
      </c>
      <c r="AC213">
        <v>71.760000000000005</v>
      </c>
      <c r="AD213">
        <v>388</v>
      </c>
      <c r="AE213">
        <v>373</v>
      </c>
    </row>
    <row r="214" spans="1:31" x14ac:dyDescent="0.25">
      <c r="A214" t="s">
        <v>1223</v>
      </c>
      <c r="B214" t="s">
        <v>1224</v>
      </c>
      <c r="C214" s="1">
        <v>45459</v>
      </c>
      <c r="D214" s="1">
        <v>44631</v>
      </c>
      <c r="E214" t="s">
        <v>50</v>
      </c>
      <c r="F214" t="s">
        <v>51</v>
      </c>
      <c r="G214" t="s">
        <v>67</v>
      </c>
      <c r="H214" t="s">
        <v>36</v>
      </c>
      <c r="I214" t="s">
        <v>1225</v>
      </c>
      <c r="J214" t="s">
        <v>96</v>
      </c>
      <c r="K214" t="s">
        <v>39</v>
      </c>
      <c r="L214" t="s">
        <v>1226</v>
      </c>
      <c r="M214">
        <v>215.89</v>
      </c>
      <c r="N214">
        <v>54</v>
      </c>
      <c r="O214" t="s">
        <v>1227</v>
      </c>
      <c r="P214" t="s">
        <v>142</v>
      </c>
      <c r="Q214" t="s">
        <v>347</v>
      </c>
      <c r="R214" t="s">
        <v>44</v>
      </c>
      <c r="S214" t="s">
        <v>45</v>
      </c>
      <c r="T214" t="s">
        <v>62</v>
      </c>
      <c r="U214">
        <v>2888</v>
      </c>
      <c r="V214">
        <v>301</v>
      </c>
      <c r="W214">
        <v>10</v>
      </c>
      <c r="X214">
        <v>1400.61</v>
      </c>
      <c r="Y214">
        <v>167.19</v>
      </c>
      <c r="Z214">
        <v>1567.8</v>
      </c>
      <c r="AA214" t="s">
        <v>63</v>
      </c>
      <c r="AB214">
        <v>0</v>
      </c>
      <c r="AC214">
        <v>75.59</v>
      </c>
      <c r="AD214">
        <v>56</v>
      </c>
      <c r="AE214">
        <v>10</v>
      </c>
    </row>
    <row r="215" spans="1:31" x14ac:dyDescent="0.25">
      <c r="A215" t="s">
        <v>1228</v>
      </c>
      <c r="B215" t="s">
        <v>1229</v>
      </c>
      <c r="C215" s="1">
        <v>44355</v>
      </c>
      <c r="D215" s="1">
        <v>44026</v>
      </c>
      <c r="E215" t="s">
        <v>66</v>
      </c>
      <c r="F215" t="s">
        <v>78</v>
      </c>
      <c r="G215" t="s">
        <v>94</v>
      </c>
      <c r="H215" t="s">
        <v>80</v>
      </c>
      <c r="I215" t="s">
        <v>1230</v>
      </c>
      <c r="J215" t="s">
        <v>55</v>
      </c>
      <c r="K215" t="s">
        <v>70</v>
      </c>
      <c r="L215" t="s">
        <v>1231</v>
      </c>
      <c r="M215">
        <v>210.82</v>
      </c>
      <c r="N215">
        <v>30</v>
      </c>
      <c r="O215" t="s">
        <v>466</v>
      </c>
      <c r="P215" t="s">
        <v>86</v>
      </c>
      <c r="Q215" t="s">
        <v>182</v>
      </c>
      <c r="R215" t="s">
        <v>88</v>
      </c>
      <c r="S215" t="s">
        <v>128</v>
      </c>
      <c r="T215" t="s">
        <v>169</v>
      </c>
      <c r="U215">
        <v>2100</v>
      </c>
      <c r="V215">
        <v>71</v>
      </c>
      <c r="W215">
        <v>15</v>
      </c>
      <c r="X215">
        <v>90.13</v>
      </c>
      <c r="Y215">
        <v>382.79</v>
      </c>
      <c r="Z215">
        <v>472.92</v>
      </c>
      <c r="AA215" t="s">
        <v>63</v>
      </c>
      <c r="AB215">
        <v>0</v>
      </c>
      <c r="AC215">
        <v>98.07</v>
      </c>
      <c r="AD215">
        <v>337</v>
      </c>
      <c r="AE215">
        <v>287</v>
      </c>
    </row>
    <row r="216" spans="1:31" x14ac:dyDescent="0.25">
      <c r="A216" t="s">
        <v>1232</v>
      </c>
      <c r="B216" t="s">
        <v>1233</v>
      </c>
      <c r="C216" s="1">
        <v>44719</v>
      </c>
      <c r="D216" s="1">
        <v>44216</v>
      </c>
      <c r="E216" t="s">
        <v>66</v>
      </c>
      <c r="F216" t="s">
        <v>51</v>
      </c>
      <c r="G216" t="s">
        <v>337</v>
      </c>
      <c r="H216" t="s">
        <v>164</v>
      </c>
      <c r="I216" t="s">
        <v>1234</v>
      </c>
      <c r="J216" t="s">
        <v>82</v>
      </c>
      <c r="K216" t="s">
        <v>97</v>
      </c>
      <c r="L216" t="s">
        <v>1235</v>
      </c>
      <c r="M216">
        <v>19.489999999999998</v>
      </c>
      <c r="N216">
        <v>94</v>
      </c>
      <c r="O216" t="s">
        <v>1236</v>
      </c>
      <c r="P216" t="s">
        <v>42</v>
      </c>
      <c r="Q216" t="s">
        <v>315</v>
      </c>
      <c r="R216" t="s">
        <v>88</v>
      </c>
      <c r="S216" t="s">
        <v>101</v>
      </c>
      <c r="T216" t="s">
        <v>815</v>
      </c>
      <c r="U216">
        <v>2273</v>
      </c>
      <c r="V216">
        <v>163</v>
      </c>
      <c r="W216">
        <v>18</v>
      </c>
      <c r="X216">
        <v>1335.07</v>
      </c>
      <c r="Y216">
        <v>434.22</v>
      </c>
      <c r="Z216">
        <v>1769.29</v>
      </c>
      <c r="AA216" t="s">
        <v>47</v>
      </c>
      <c r="AB216">
        <v>10</v>
      </c>
      <c r="AC216">
        <v>91.97</v>
      </c>
      <c r="AD216">
        <v>425</v>
      </c>
      <c r="AE216">
        <v>386</v>
      </c>
    </row>
    <row r="217" spans="1:31" x14ac:dyDescent="0.25">
      <c r="A217" t="s">
        <v>1237</v>
      </c>
      <c r="B217" t="s">
        <v>1238</v>
      </c>
      <c r="C217" s="1">
        <v>44013</v>
      </c>
      <c r="D217" s="1">
        <v>44047</v>
      </c>
      <c r="E217" t="s">
        <v>66</v>
      </c>
      <c r="F217" t="s">
        <v>78</v>
      </c>
      <c r="G217" t="s">
        <v>52</v>
      </c>
      <c r="H217" t="s">
        <v>53</v>
      </c>
      <c r="I217" t="s">
        <v>1239</v>
      </c>
      <c r="J217" t="s">
        <v>96</v>
      </c>
      <c r="K217" t="s">
        <v>83</v>
      </c>
      <c r="L217" t="s">
        <v>1240</v>
      </c>
      <c r="M217">
        <v>387.24</v>
      </c>
      <c r="N217">
        <v>61</v>
      </c>
      <c r="O217" t="s">
        <v>1241</v>
      </c>
      <c r="P217" t="s">
        <v>110</v>
      </c>
      <c r="Q217" t="s">
        <v>241</v>
      </c>
      <c r="R217" t="s">
        <v>153</v>
      </c>
      <c r="S217" t="s">
        <v>45</v>
      </c>
      <c r="T217" t="s">
        <v>297</v>
      </c>
      <c r="U217">
        <v>373</v>
      </c>
      <c r="V217">
        <v>150</v>
      </c>
      <c r="W217">
        <v>25</v>
      </c>
      <c r="X217">
        <v>1515.68</v>
      </c>
      <c r="Y217">
        <v>42.93</v>
      </c>
      <c r="Z217">
        <v>1558.61</v>
      </c>
      <c r="AA217" t="s">
        <v>63</v>
      </c>
      <c r="AB217">
        <v>0</v>
      </c>
      <c r="AC217">
        <v>89.89</v>
      </c>
      <c r="AD217">
        <v>279</v>
      </c>
      <c r="AE217">
        <v>286</v>
      </c>
    </row>
    <row r="218" spans="1:31" x14ac:dyDescent="0.25">
      <c r="A218" t="s">
        <v>1242</v>
      </c>
      <c r="B218" t="s">
        <v>1243</v>
      </c>
      <c r="C218" s="1">
        <v>44093</v>
      </c>
      <c r="D218" s="1">
        <v>44904</v>
      </c>
      <c r="E218" t="s">
        <v>66</v>
      </c>
      <c r="F218" t="s">
        <v>51</v>
      </c>
      <c r="G218" t="s">
        <v>52</v>
      </c>
      <c r="H218" t="s">
        <v>116</v>
      </c>
      <c r="I218" t="s">
        <v>1244</v>
      </c>
      <c r="J218" t="s">
        <v>96</v>
      </c>
      <c r="K218" t="s">
        <v>56</v>
      </c>
      <c r="L218" t="s">
        <v>1245</v>
      </c>
      <c r="M218">
        <v>6.19</v>
      </c>
      <c r="N218">
        <v>15</v>
      </c>
      <c r="O218" t="s">
        <v>1246</v>
      </c>
      <c r="P218" t="s">
        <v>110</v>
      </c>
      <c r="Q218" t="s">
        <v>135</v>
      </c>
      <c r="R218" t="s">
        <v>61</v>
      </c>
      <c r="S218" t="s">
        <v>45</v>
      </c>
      <c r="T218" t="s">
        <v>415</v>
      </c>
      <c r="U218">
        <v>748</v>
      </c>
      <c r="V218">
        <v>347</v>
      </c>
      <c r="W218">
        <v>29</v>
      </c>
      <c r="X218">
        <v>516.28</v>
      </c>
      <c r="Y218">
        <v>411.45</v>
      </c>
      <c r="Z218">
        <v>927.73</v>
      </c>
      <c r="AA218" t="s">
        <v>63</v>
      </c>
      <c r="AB218">
        <v>0</v>
      </c>
      <c r="AC218">
        <v>92.78</v>
      </c>
      <c r="AD218">
        <v>68</v>
      </c>
      <c r="AE218">
        <v>83</v>
      </c>
    </row>
    <row r="219" spans="1:31" x14ac:dyDescent="0.25">
      <c r="A219" t="s">
        <v>1247</v>
      </c>
      <c r="B219" t="s">
        <v>1248</v>
      </c>
      <c r="C219" s="1">
        <v>43881</v>
      </c>
      <c r="D219" s="1">
        <v>45650</v>
      </c>
      <c r="E219" t="s">
        <v>50</v>
      </c>
      <c r="F219" t="s">
        <v>147</v>
      </c>
      <c r="G219" t="s">
        <v>79</v>
      </c>
      <c r="H219" t="s">
        <v>80</v>
      </c>
      <c r="I219" t="s">
        <v>1249</v>
      </c>
      <c r="J219" t="s">
        <v>55</v>
      </c>
      <c r="K219" t="s">
        <v>97</v>
      </c>
      <c r="L219" t="s">
        <v>1250</v>
      </c>
      <c r="M219">
        <v>447.26</v>
      </c>
      <c r="N219">
        <v>93</v>
      </c>
      <c r="O219" t="s">
        <v>1251</v>
      </c>
      <c r="P219" t="s">
        <v>86</v>
      </c>
      <c r="Q219" t="s">
        <v>135</v>
      </c>
      <c r="R219" t="s">
        <v>153</v>
      </c>
      <c r="S219" t="s">
        <v>89</v>
      </c>
      <c r="T219" t="s">
        <v>90</v>
      </c>
      <c r="U219">
        <v>2686</v>
      </c>
      <c r="V219">
        <v>89</v>
      </c>
      <c r="W219">
        <v>3</v>
      </c>
      <c r="X219">
        <v>797.51</v>
      </c>
      <c r="Y219">
        <v>152.94999999999999</v>
      </c>
      <c r="Z219">
        <v>950.46</v>
      </c>
      <c r="AA219" t="s">
        <v>63</v>
      </c>
      <c r="AB219">
        <v>0</v>
      </c>
      <c r="AC219">
        <v>94.05</v>
      </c>
      <c r="AD219">
        <v>494</v>
      </c>
      <c r="AE219">
        <v>511</v>
      </c>
    </row>
    <row r="220" spans="1:31" x14ac:dyDescent="0.25">
      <c r="A220" t="s">
        <v>1252</v>
      </c>
      <c r="B220" t="s">
        <v>1253</v>
      </c>
      <c r="C220" s="1">
        <v>45261</v>
      </c>
      <c r="D220" s="1">
        <v>44796</v>
      </c>
      <c r="E220" t="s">
        <v>66</v>
      </c>
      <c r="F220" t="s">
        <v>78</v>
      </c>
      <c r="G220" t="s">
        <v>52</v>
      </c>
      <c r="H220" t="s">
        <v>53</v>
      </c>
      <c r="I220" t="s">
        <v>1254</v>
      </c>
      <c r="J220" t="s">
        <v>107</v>
      </c>
      <c r="K220" t="s">
        <v>70</v>
      </c>
      <c r="L220" t="s">
        <v>1255</v>
      </c>
      <c r="M220">
        <v>484.64</v>
      </c>
      <c r="N220">
        <v>47</v>
      </c>
      <c r="O220" t="s">
        <v>1256</v>
      </c>
      <c r="P220" t="s">
        <v>59</v>
      </c>
      <c r="Q220" t="s">
        <v>706</v>
      </c>
      <c r="R220" t="s">
        <v>44</v>
      </c>
      <c r="S220" t="s">
        <v>128</v>
      </c>
      <c r="T220" t="s">
        <v>625</v>
      </c>
      <c r="U220">
        <v>3685</v>
      </c>
      <c r="V220">
        <v>334</v>
      </c>
      <c r="W220">
        <v>13</v>
      </c>
      <c r="X220">
        <v>563.38</v>
      </c>
      <c r="Y220">
        <v>88.12</v>
      </c>
      <c r="Z220">
        <v>651.5</v>
      </c>
      <c r="AA220" t="s">
        <v>47</v>
      </c>
      <c r="AB220">
        <v>12</v>
      </c>
      <c r="AC220">
        <v>90.36</v>
      </c>
      <c r="AD220">
        <v>170</v>
      </c>
      <c r="AE220">
        <v>125</v>
      </c>
    </row>
    <row r="221" spans="1:31" x14ac:dyDescent="0.25">
      <c r="A221" t="s">
        <v>1257</v>
      </c>
      <c r="B221" t="s">
        <v>1258</v>
      </c>
      <c r="C221" s="1">
        <v>45111</v>
      </c>
      <c r="D221" s="1">
        <v>43846</v>
      </c>
      <c r="E221" t="s">
        <v>66</v>
      </c>
      <c r="F221" t="s">
        <v>147</v>
      </c>
      <c r="G221" t="s">
        <v>67</v>
      </c>
      <c r="H221" t="s">
        <v>36</v>
      </c>
      <c r="I221" t="s">
        <v>1259</v>
      </c>
      <c r="J221" t="s">
        <v>107</v>
      </c>
      <c r="K221" t="s">
        <v>83</v>
      </c>
      <c r="L221" t="s">
        <v>1260</v>
      </c>
      <c r="M221">
        <v>22.27</v>
      </c>
      <c r="N221">
        <v>53</v>
      </c>
      <c r="O221" t="s">
        <v>58</v>
      </c>
      <c r="P221" t="s">
        <v>110</v>
      </c>
      <c r="Q221" t="s">
        <v>340</v>
      </c>
      <c r="R221" t="s">
        <v>44</v>
      </c>
      <c r="S221" t="s">
        <v>89</v>
      </c>
      <c r="T221" t="s">
        <v>1261</v>
      </c>
      <c r="U221">
        <v>2717</v>
      </c>
      <c r="V221">
        <v>391</v>
      </c>
      <c r="W221">
        <v>9</v>
      </c>
      <c r="X221">
        <v>1498.26</v>
      </c>
      <c r="Y221">
        <v>165.05</v>
      </c>
      <c r="Z221">
        <v>1663.31</v>
      </c>
      <c r="AA221" t="s">
        <v>63</v>
      </c>
      <c r="AB221">
        <v>0</v>
      </c>
      <c r="AC221">
        <v>74.760000000000005</v>
      </c>
      <c r="AD221">
        <v>89</v>
      </c>
      <c r="AE221">
        <v>54</v>
      </c>
    </row>
    <row r="222" spans="1:31" x14ac:dyDescent="0.25">
      <c r="A222" t="s">
        <v>1262</v>
      </c>
      <c r="B222" t="s">
        <v>1263</v>
      </c>
      <c r="C222" s="1">
        <v>44169</v>
      </c>
      <c r="D222" s="1">
        <v>44326</v>
      </c>
      <c r="E222" t="s">
        <v>50</v>
      </c>
      <c r="F222" t="s">
        <v>78</v>
      </c>
      <c r="G222" t="s">
        <v>35</v>
      </c>
      <c r="H222" t="s">
        <v>116</v>
      </c>
      <c r="I222" t="s">
        <v>1264</v>
      </c>
      <c r="J222" t="s">
        <v>107</v>
      </c>
      <c r="K222" t="s">
        <v>39</v>
      </c>
      <c r="L222" t="s">
        <v>1265</v>
      </c>
      <c r="M222">
        <v>383.48</v>
      </c>
      <c r="N222">
        <v>3</v>
      </c>
      <c r="O222" t="s">
        <v>1266</v>
      </c>
      <c r="P222" t="s">
        <v>42</v>
      </c>
      <c r="Q222" t="s">
        <v>175</v>
      </c>
      <c r="R222" t="s">
        <v>153</v>
      </c>
      <c r="S222" t="s">
        <v>128</v>
      </c>
      <c r="T222" t="s">
        <v>46</v>
      </c>
      <c r="U222">
        <v>3572</v>
      </c>
      <c r="V222">
        <v>294</v>
      </c>
      <c r="W222">
        <v>5</v>
      </c>
      <c r="X222">
        <v>649.48</v>
      </c>
      <c r="Y222">
        <v>91.1</v>
      </c>
      <c r="Z222">
        <v>740.58</v>
      </c>
      <c r="AA222" t="s">
        <v>63</v>
      </c>
      <c r="AB222">
        <v>0</v>
      </c>
      <c r="AC222">
        <v>96.58</v>
      </c>
      <c r="AD222">
        <v>181</v>
      </c>
      <c r="AE222">
        <v>224</v>
      </c>
    </row>
    <row r="223" spans="1:31" x14ac:dyDescent="0.25">
      <c r="A223" t="s">
        <v>1267</v>
      </c>
      <c r="B223" t="s">
        <v>1268</v>
      </c>
      <c r="C223" s="1">
        <v>44717</v>
      </c>
      <c r="D223" s="1">
        <v>44787</v>
      </c>
      <c r="E223" t="s">
        <v>50</v>
      </c>
      <c r="F223" t="s">
        <v>93</v>
      </c>
      <c r="G223" t="s">
        <v>115</v>
      </c>
      <c r="H223" t="s">
        <v>148</v>
      </c>
      <c r="I223" t="s">
        <v>1269</v>
      </c>
      <c r="J223" t="s">
        <v>82</v>
      </c>
      <c r="K223" t="s">
        <v>83</v>
      </c>
      <c r="L223" t="s">
        <v>1270</v>
      </c>
      <c r="M223">
        <v>335.86</v>
      </c>
      <c r="N223">
        <v>98</v>
      </c>
      <c r="O223" t="s">
        <v>1271</v>
      </c>
      <c r="P223" t="s">
        <v>86</v>
      </c>
      <c r="Q223" t="s">
        <v>43</v>
      </c>
      <c r="R223" t="s">
        <v>44</v>
      </c>
      <c r="S223" t="s">
        <v>74</v>
      </c>
      <c r="T223" t="s">
        <v>62</v>
      </c>
      <c r="U223">
        <v>3157</v>
      </c>
      <c r="V223">
        <v>397</v>
      </c>
      <c r="W223">
        <v>9</v>
      </c>
      <c r="X223">
        <v>1743.8</v>
      </c>
      <c r="Y223">
        <v>388.5</v>
      </c>
      <c r="Z223">
        <v>2132.3000000000002</v>
      </c>
      <c r="AA223" t="s">
        <v>63</v>
      </c>
      <c r="AB223">
        <v>0</v>
      </c>
      <c r="AC223">
        <v>95.56</v>
      </c>
      <c r="AD223">
        <v>83</v>
      </c>
      <c r="AE223">
        <v>68</v>
      </c>
    </row>
    <row r="224" spans="1:31" x14ac:dyDescent="0.25">
      <c r="A224" t="s">
        <v>1272</v>
      </c>
      <c r="B224" t="s">
        <v>1273</v>
      </c>
      <c r="C224" s="1">
        <v>44510</v>
      </c>
      <c r="D224" s="1">
        <v>44749</v>
      </c>
      <c r="E224" t="s">
        <v>50</v>
      </c>
      <c r="F224" t="s">
        <v>51</v>
      </c>
      <c r="G224" t="s">
        <v>79</v>
      </c>
      <c r="H224" t="s">
        <v>218</v>
      </c>
      <c r="I224" t="s">
        <v>1274</v>
      </c>
      <c r="J224" t="s">
        <v>38</v>
      </c>
      <c r="K224" t="s">
        <v>56</v>
      </c>
      <c r="L224" t="s">
        <v>1275</v>
      </c>
      <c r="M224">
        <v>203.49</v>
      </c>
      <c r="N224">
        <v>95</v>
      </c>
      <c r="O224" t="s">
        <v>1276</v>
      </c>
      <c r="P224" t="s">
        <v>110</v>
      </c>
      <c r="Q224" t="s">
        <v>1277</v>
      </c>
      <c r="R224" t="s">
        <v>153</v>
      </c>
      <c r="S224" t="s">
        <v>101</v>
      </c>
      <c r="T224" t="s">
        <v>737</v>
      </c>
      <c r="U224">
        <v>1208</v>
      </c>
      <c r="V224">
        <v>318</v>
      </c>
      <c r="W224">
        <v>5</v>
      </c>
      <c r="X224">
        <v>1145.6500000000001</v>
      </c>
      <c r="Y224">
        <v>18.62</v>
      </c>
      <c r="Z224">
        <v>1164.27</v>
      </c>
      <c r="AA224" t="s">
        <v>63</v>
      </c>
      <c r="AB224">
        <v>0</v>
      </c>
      <c r="AC224">
        <v>98.62</v>
      </c>
      <c r="AD224">
        <v>366</v>
      </c>
      <c r="AE224">
        <v>360</v>
      </c>
    </row>
    <row r="225" spans="1:31" x14ac:dyDescent="0.25">
      <c r="A225" t="s">
        <v>1278</v>
      </c>
      <c r="B225" t="s">
        <v>1279</v>
      </c>
      <c r="C225" s="1">
        <v>44825</v>
      </c>
      <c r="D225" s="1">
        <v>45086</v>
      </c>
      <c r="E225" t="s">
        <v>50</v>
      </c>
      <c r="F225" t="s">
        <v>147</v>
      </c>
      <c r="G225" t="s">
        <v>337</v>
      </c>
      <c r="H225" t="s">
        <v>53</v>
      </c>
      <c r="I225" t="s">
        <v>1280</v>
      </c>
      <c r="J225" t="s">
        <v>38</v>
      </c>
      <c r="K225" t="s">
        <v>83</v>
      </c>
      <c r="L225" t="s">
        <v>1281</v>
      </c>
      <c r="M225">
        <v>352.9</v>
      </c>
      <c r="N225">
        <v>99</v>
      </c>
      <c r="O225" t="s">
        <v>1282</v>
      </c>
      <c r="P225" t="s">
        <v>86</v>
      </c>
      <c r="Q225" t="s">
        <v>241</v>
      </c>
      <c r="R225" t="s">
        <v>44</v>
      </c>
      <c r="S225" t="s">
        <v>74</v>
      </c>
      <c r="T225" t="s">
        <v>1261</v>
      </c>
      <c r="U225">
        <v>2642</v>
      </c>
      <c r="V225">
        <v>325</v>
      </c>
      <c r="W225">
        <v>10</v>
      </c>
      <c r="X225">
        <v>137.06</v>
      </c>
      <c r="Y225">
        <v>283.73</v>
      </c>
      <c r="Z225">
        <v>420.79</v>
      </c>
      <c r="AA225" t="s">
        <v>63</v>
      </c>
      <c r="AB225">
        <v>0</v>
      </c>
      <c r="AC225">
        <v>96.69</v>
      </c>
      <c r="AD225">
        <v>406</v>
      </c>
      <c r="AE225">
        <v>404</v>
      </c>
    </row>
    <row r="226" spans="1:31" x14ac:dyDescent="0.25">
      <c r="A226" t="s">
        <v>1283</v>
      </c>
      <c r="B226" t="s">
        <v>1284</v>
      </c>
      <c r="C226" s="1">
        <v>44155</v>
      </c>
      <c r="D226" s="1">
        <v>44120</v>
      </c>
      <c r="E226" t="s">
        <v>33</v>
      </c>
      <c r="F226" t="s">
        <v>93</v>
      </c>
      <c r="G226" t="s">
        <v>67</v>
      </c>
      <c r="H226" t="s">
        <v>164</v>
      </c>
      <c r="I226" t="s">
        <v>1285</v>
      </c>
      <c r="J226" t="s">
        <v>82</v>
      </c>
      <c r="K226" t="s">
        <v>83</v>
      </c>
      <c r="L226" t="s">
        <v>1286</v>
      </c>
      <c r="M226">
        <v>353.64</v>
      </c>
      <c r="N226">
        <v>2</v>
      </c>
      <c r="O226" t="s">
        <v>820</v>
      </c>
      <c r="P226" t="s">
        <v>110</v>
      </c>
      <c r="Q226" t="s">
        <v>706</v>
      </c>
      <c r="R226" t="s">
        <v>88</v>
      </c>
      <c r="S226" t="s">
        <v>128</v>
      </c>
      <c r="T226" t="s">
        <v>444</v>
      </c>
      <c r="U226">
        <v>4991</v>
      </c>
      <c r="V226">
        <v>435</v>
      </c>
      <c r="W226">
        <v>15</v>
      </c>
      <c r="X226">
        <v>1373.97</v>
      </c>
      <c r="Y226">
        <v>331.93</v>
      </c>
      <c r="Z226">
        <v>1705.9</v>
      </c>
      <c r="AA226" t="s">
        <v>63</v>
      </c>
      <c r="AB226">
        <v>0</v>
      </c>
      <c r="AC226">
        <v>73.47</v>
      </c>
      <c r="AD226">
        <v>132</v>
      </c>
      <c r="AE226">
        <v>166</v>
      </c>
    </row>
    <row r="227" spans="1:31" x14ac:dyDescent="0.25">
      <c r="A227" t="s">
        <v>1287</v>
      </c>
      <c r="B227" t="s">
        <v>1288</v>
      </c>
      <c r="C227" s="1">
        <v>45118</v>
      </c>
      <c r="D227" s="1">
        <v>44555</v>
      </c>
      <c r="E227" t="s">
        <v>66</v>
      </c>
      <c r="F227" t="s">
        <v>34</v>
      </c>
      <c r="G227" t="s">
        <v>52</v>
      </c>
      <c r="H227" t="s">
        <v>36</v>
      </c>
      <c r="I227" t="s">
        <v>1289</v>
      </c>
      <c r="J227" t="s">
        <v>82</v>
      </c>
      <c r="K227" t="s">
        <v>56</v>
      </c>
      <c r="L227" t="s">
        <v>1290</v>
      </c>
      <c r="M227">
        <v>163.87</v>
      </c>
      <c r="N227">
        <v>76</v>
      </c>
      <c r="O227" t="s">
        <v>1291</v>
      </c>
      <c r="P227" t="s">
        <v>42</v>
      </c>
      <c r="Q227" t="s">
        <v>347</v>
      </c>
      <c r="R227" t="s">
        <v>153</v>
      </c>
      <c r="S227" t="s">
        <v>128</v>
      </c>
      <c r="T227" t="s">
        <v>112</v>
      </c>
      <c r="U227">
        <v>654</v>
      </c>
      <c r="V227">
        <v>208</v>
      </c>
      <c r="W227">
        <v>2</v>
      </c>
      <c r="X227">
        <v>129.46</v>
      </c>
      <c r="Y227">
        <v>342.94</v>
      </c>
      <c r="Z227">
        <v>472.4</v>
      </c>
      <c r="AA227" t="s">
        <v>63</v>
      </c>
      <c r="AB227">
        <v>0</v>
      </c>
      <c r="AC227">
        <v>80.84</v>
      </c>
      <c r="AD227">
        <v>170</v>
      </c>
      <c r="AE227">
        <v>204</v>
      </c>
    </row>
    <row r="228" spans="1:31" x14ac:dyDescent="0.25">
      <c r="A228" t="s">
        <v>1292</v>
      </c>
      <c r="B228" t="s">
        <v>1293</v>
      </c>
      <c r="C228" s="1">
        <v>44255</v>
      </c>
      <c r="D228" s="1">
        <v>45187</v>
      </c>
      <c r="E228" t="s">
        <v>66</v>
      </c>
      <c r="F228" t="s">
        <v>34</v>
      </c>
      <c r="G228" t="s">
        <v>105</v>
      </c>
      <c r="H228" t="s">
        <v>164</v>
      </c>
      <c r="I228" t="s">
        <v>1294</v>
      </c>
      <c r="J228" t="s">
        <v>82</v>
      </c>
      <c r="K228" t="s">
        <v>56</v>
      </c>
      <c r="L228" t="s">
        <v>1295</v>
      </c>
      <c r="M228">
        <v>111.35</v>
      </c>
      <c r="N228">
        <v>4</v>
      </c>
      <c r="O228" t="s">
        <v>1203</v>
      </c>
      <c r="P228" t="s">
        <v>142</v>
      </c>
      <c r="Q228" t="s">
        <v>455</v>
      </c>
      <c r="R228" t="s">
        <v>44</v>
      </c>
      <c r="S228" t="s">
        <v>89</v>
      </c>
      <c r="T228" t="s">
        <v>467</v>
      </c>
      <c r="U228">
        <v>2329</v>
      </c>
      <c r="V228">
        <v>473</v>
      </c>
      <c r="W228">
        <v>17</v>
      </c>
      <c r="X228">
        <v>1400.16</v>
      </c>
      <c r="Y228">
        <v>479.23</v>
      </c>
      <c r="Z228">
        <v>1879.39</v>
      </c>
      <c r="AA228" t="s">
        <v>47</v>
      </c>
      <c r="AB228">
        <v>6</v>
      </c>
      <c r="AC228">
        <v>95.79</v>
      </c>
      <c r="AD228">
        <v>406</v>
      </c>
      <c r="AE228">
        <v>371</v>
      </c>
    </row>
    <row r="229" spans="1:31" x14ac:dyDescent="0.25">
      <c r="A229" t="s">
        <v>1296</v>
      </c>
      <c r="B229" t="s">
        <v>1297</v>
      </c>
      <c r="C229" s="1">
        <v>45545</v>
      </c>
      <c r="D229" s="1">
        <v>44890</v>
      </c>
      <c r="E229" t="s">
        <v>50</v>
      </c>
      <c r="F229" t="s">
        <v>78</v>
      </c>
      <c r="G229" t="s">
        <v>67</v>
      </c>
      <c r="H229" t="s">
        <v>148</v>
      </c>
      <c r="I229" t="s">
        <v>1298</v>
      </c>
      <c r="J229" t="s">
        <v>38</v>
      </c>
      <c r="K229" t="s">
        <v>70</v>
      </c>
      <c r="L229" t="s">
        <v>1299</v>
      </c>
      <c r="M229">
        <v>123.62</v>
      </c>
      <c r="N229">
        <v>52</v>
      </c>
      <c r="O229" t="s">
        <v>1102</v>
      </c>
      <c r="P229" t="s">
        <v>59</v>
      </c>
      <c r="Q229" t="s">
        <v>706</v>
      </c>
      <c r="R229" t="s">
        <v>153</v>
      </c>
      <c r="S229" t="s">
        <v>74</v>
      </c>
      <c r="T229" t="s">
        <v>1059</v>
      </c>
      <c r="U229">
        <v>1657</v>
      </c>
      <c r="V229">
        <v>298</v>
      </c>
      <c r="W229">
        <v>23</v>
      </c>
      <c r="X229">
        <v>1779.68</v>
      </c>
      <c r="Y229">
        <v>123.49</v>
      </c>
      <c r="Z229">
        <v>1903.17</v>
      </c>
      <c r="AA229" t="s">
        <v>63</v>
      </c>
      <c r="AB229">
        <v>0</v>
      </c>
      <c r="AC229">
        <v>73.400000000000006</v>
      </c>
      <c r="AD229">
        <v>356</v>
      </c>
      <c r="AE229">
        <v>320</v>
      </c>
    </row>
    <row r="230" spans="1:31" x14ac:dyDescent="0.25">
      <c r="A230" t="s">
        <v>1300</v>
      </c>
      <c r="B230" t="s">
        <v>1301</v>
      </c>
      <c r="C230" s="1">
        <v>44982</v>
      </c>
      <c r="D230" s="1">
        <v>43950</v>
      </c>
      <c r="E230" t="s">
        <v>50</v>
      </c>
      <c r="F230" t="s">
        <v>78</v>
      </c>
      <c r="G230" t="s">
        <v>79</v>
      </c>
      <c r="H230" t="s">
        <v>164</v>
      </c>
      <c r="I230" t="s">
        <v>1302</v>
      </c>
      <c r="J230" t="s">
        <v>82</v>
      </c>
      <c r="K230" t="s">
        <v>97</v>
      </c>
      <c r="L230" t="s">
        <v>1303</v>
      </c>
      <c r="M230">
        <v>201.26</v>
      </c>
      <c r="N230">
        <v>62</v>
      </c>
      <c r="O230" t="s">
        <v>1304</v>
      </c>
      <c r="P230" t="s">
        <v>42</v>
      </c>
      <c r="Q230" t="s">
        <v>228</v>
      </c>
      <c r="R230" t="s">
        <v>44</v>
      </c>
      <c r="S230" t="s">
        <v>89</v>
      </c>
      <c r="T230" t="s">
        <v>329</v>
      </c>
      <c r="U230">
        <v>805</v>
      </c>
      <c r="V230">
        <v>200</v>
      </c>
      <c r="W230">
        <v>17</v>
      </c>
      <c r="X230">
        <v>219.25</v>
      </c>
      <c r="Y230">
        <v>427.91</v>
      </c>
      <c r="Z230">
        <v>647.16000000000008</v>
      </c>
      <c r="AA230" t="s">
        <v>63</v>
      </c>
      <c r="AB230">
        <v>0</v>
      </c>
      <c r="AC230">
        <v>87.11</v>
      </c>
      <c r="AD230">
        <v>265</v>
      </c>
      <c r="AE230">
        <v>268</v>
      </c>
    </row>
    <row r="231" spans="1:31" x14ac:dyDescent="0.25">
      <c r="A231" t="s">
        <v>1305</v>
      </c>
      <c r="B231" t="s">
        <v>1306</v>
      </c>
      <c r="C231" s="1">
        <v>45221</v>
      </c>
      <c r="D231" s="1">
        <v>44459</v>
      </c>
      <c r="E231" t="s">
        <v>66</v>
      </c>
      <c r="F231" t="s">
        <v>78</v>
      </c>
      <c r="G231" t="s">
        <v>35</v>
      </c>
      <c r="H231" t="s">
        <v>218</v>
      </c>
      <c r="I231" t="s">
        <v>1307</v>
      </c>
      <c r="J231" t="s">
        <v>82</v>
      </c>
      <c r="K231" t="s">
        <v>83</v>
      </c>
      <c r="L231" t="s">
        <v>1308</v>
      </c>
      <c r="M231">
        <v>347.18</v>
      </c>
      <c r="N231">
        <v>14</v>
      </c>
      <c r="O231" t="s">
        <v>507</v>
      </c>
      <c r="P231" t="s">
        <v>42</v>
      </c>
      <c r="Q231" t="s">
        <v>168</v>
      </c>
      <c r="R231" t="s">
        <v>153</v>
      </c>
      <c r="S231" t="s">
        <v>74</v>
      </c>
      <c r="T231" t="s">
        <v>353</v>
      </c>
      <c r="U231">
        <v>4971</v>
      </c>
      <c r="V231">
        <v>434</v>
      </c>
      <c r="W231">
        <v>12</v>
      </c>
      <c r="X231">
        <v>1856.36</v>
      </c>
      <c r="Y231">
        <v>254.31</v>
      </c>
      <c r="Z231">
        <v>2110.67</v>
      </c>
      <c r="AA231" t="s">
        <v>47</v>
      </c>
      <c r="AB231">
        <v>10</v>
      </c>
      <c r="AC231">
        <v>70.36</v>
      </c>
      <c r="AD231">
        <v>159</v>
      </c>
      <c r="AE231">
        <v>133</v>
      </c>
    </row>
    <row r="232" spans="1:31" x14ac:dyDescent="0.25">
      <c r="A232" t="s">
        <v>1309</v>
      </c>
      <c r="B232" t="s">
        <v>1310</v>
      </c>
      <c r="C232" s="1">
        <v>44381</v>
      </c>
      <c r="D232" s="1">
        <v>44496</v>
      </c>
      <c r="E232" t="s">
        <v>66</v>
      </c>
      <c r="F232" t="s">
        <v>78</v>
      </c>
      <c r="G232" t="s">
        <v>67</v>
      </c>
      <c r="H232" t="s">
        <v>53</v>
      </c>
      <c r="I232" t="s">
        <v>1311</v>
      </c>
      <c r="J232" t="s">
        <v>107</v>
      </c>
      <c r="K232" t="s">
        <v>97</v>
      </c>
      <c r="L232" t="s">
        <v>1312</v>
      </c>
      <c r="M232">
        <v>130.51</v>
      </c>
      <c r="N232">
        <v>39</v>
      </c>
      <c r="O232" t="s">
        <v>1313</v>
      </c>
      <c r="P232" t="s">
        <v>142</v>
      </c>
      <c r="Q232" t="s">
        <v>383</v>
      </c>
      <c r="R232" t="s">
        <v>88</v>
      </c>
      <c r="S232" t="s">
        <v>101</v>
      </c>
      <c r="T232" t="s">
        <v>169</v>
      </c>
      <c r="U232">
        <v>4663</v>
      </c>
      <c r="V232">
        <v>74</v>
      </c>
      <c r="W232">
        <v>1</v>
      </c>
      <c r="X232">
        <v>188.65</v>
      </c>
      <c r="Y232">
        <v>280.64</v>
      </c>
      <c r="Z232">
        <v>469.29</v>
      </c>
      <c r="AA232" t="s">
        <v>63</v>
      </c>
      <c r="AB232">
        <v>0</v>
      </c>
      <c r="AC232">
        <v>95.23</v>
      </c>
      <c r="AD232">
        <v>202</v>
      </c>
      <c r="AE232">
        <v>242</v>
      </c>
    </row>
    <row r="233" spans="1:31" x14ac:dyDescent="0.25">
      <c r="A233" t="s">
        <v>1314</v>
      </c>
      <c r="B233" t="s">
        <v>1315</v>
      </c>
      <c r="C233" s="1">
        <v>45084</v>
      </c>
      <c r="D233" s="1">
        <v>43908</v>
      </c>
      <c r="E233" t="s">
        <v>66</v>
      </c>
      <c r="F233" t="s">
        <v>93</v>
      </c>
      <c r="G233" t="s">
        <v>115</v>
      </c>
      <c r="H233" t="s">
        <v>36</v>
      </c>
      <c r="I233" t="s">
        <v>1316</v>
      </c>
      <c r="J233" t="s">
        <v>38</v>
      </c>
      <c r="K233" t="s">
        <v>56</v>
      </c>
      <c r="L233" t="s">
        <v>1317</v>
      </c>
      <c r="M233">
        <v>120.66</v>
      </c>
      <c r="N233">
        <v>4</v>
      </c>
      <c r="O233" t="s">
        <v>1318</v>
      </c>
      <c r="P233" t="s">
        <v>110</v>
      </c>
      <c r="Q233" t="s">
        <v>248</v>
      </c>
      <c r="R233" t="s">
        <v>153</v>
      </c>
      <c r="S233" t="s">
        <v>101</v>
      </c>
      <c r="T233" t="s">
        <v>405</v>
      </c>
      <c r="U233">
        <v>644</v>
      </c>
      <c r="V233">
        <v>429</v>
      </c>
      <c r="W233">
        <v>15</v>
      </c>
      <c r="X233">
        <v>575.09</v>
      </c>
      <c r="Y233">
        <v>313.87</v>
      </c>
      <c r="Z233">
        <v>888.96</v>
      </c>
      <c r="AA233" t="s">
        <v>63</v>
      </c>
      <c r="AB233">
        <v>0</v>
      </c>
      <c r="AC233">
        <v>72.45</v>
      </c>
      <c r="AD233">
        <v>282</v>
      </c>
      <c r="AE233">
        <v>274</v>
      </c>
    </row>
    <row r="234" spans="1:31" x14ac:dyDescent="0.25">
      <c r="A234" t="s">
        <v>1319</v>
      </c>
      <c r="B234" t="s">
        <v>1320</v>
      </c>
      <c r="C234" s="1">
        <v>45570</v>
      </c>
      <c r="D234" s="1">
        <v>44195</v>
      </c>
      <c r="E234" t="s">
        <v>66</v>
      </c>
      <c r="F234" t="s">
        <v>93</v>
      </c>
      <c r="G234" t="s">
        <v>105</v>
      </c>
      <c r="H234" t="s">
        <v>148</v>
      </c>
      <c r="I234" t="s">
        <v>1321</v>
      </c>
      <c r="J234" t="s">
        <v>82</v>
      </c>
      <c r="K234" t="s">
        <v>97</v>
      </c>
      <c r="L234" t="s">
        <v>1322</v>
      </c>
      <c r="M234">
        <v>282.81</v>
      </c>
      <c r="N234">
        <v>39</v>
      </c>
      <c r="O234" t="s">
        <v>1323</v>
      </c>
      <c r="P234" t="s">
        <v>59</v>
      </c>
      <c r="Q234" t="s">
        <v>347</v>
      </c>
      <c r="R234" t="s">
        <v>61</v>
      </c>
      <c r="S234" t="s">
        <v>89</v>
      </c>
      <c r="T234" t="s">
        <v>434</v>
      </c>
      <c r="U234">
        <v>3419</v>
      </c>
      <c r="V234">
        <v>288</v>
      </c>
      <c r="W234">
        <v>23</v>
      </c>
      <c r="X234">
        <v>262.55</v>
      </c>
      <c r="Y234">
        <v>401.9</v>
      </c>
      <c r="Z234">
        <v>664.45</v>
      </c>
      <c r="AA234" t="s">
        <v>63</v>
      </c>
      <c r="AB234">
        <v>0</v>
      </c>
      <c r="AC234">
        <v>91.97</v>
      </c>
      <c r="AD234">
        <v>165</v>
      </c>
      <c r="AE234">
        <v>151</v>
      </c>
    </row>
    <row r="235" spans="1:31" x14ac:dyDescent="0.25">
      <c r="A235" t="s">
        <v>1324</v>
      </c>
      <c r="B235" t="s">
        <v>1325</v>
      </c>
      <c r="C235" s="1">
        <v>44012</v>
      </c>
      <c r="D235" s="1">
        <v>45222</v>
      </c>
      <c r="E235" t="s">
        <v>66</v>
      </c>
      <c r="F235" t="s">
        <v>51</v>
      </c>
      <c r="G235" t="s">
        <v>94</v>
      </c>
      <c r="H235" t="s">
        <v>36</v>
      </c>
      <c r="I235" t="s">
        <v>1326</v>
      </c>
      <c r="J235" t="s">
        <v>82</v>
      </c>
      <c r="K235" t="s">
        <v>83</v>
      </c>
      <c r="L235" t="s">
        <v>1327</v>
      </c>
      <c r="M235">
        <v>414.51</v>
      </c>
      <c r="N235">
        <v>76</v>
      </c>
      <c r="O235" t="s">
        <v>1328</v>
      </c>
      <c r="P235" t="s">
        <v>142</v>
      </c>
      <c r="Q235" t="s">
        <v>175</v>
      </c>
      <c r="R235" t="s">
        <v>44</v>
      </c>
      <c r="S235" t="s">
        <v>101</v>
      </c>
      <c r="T235" t="s">
        <v>642</v>
      </c>
      <c r="U235">
        <v>3339</v>
      </c>
      <c r="V235">
        <v>384</v>
      </c>
      <c r="W235">
        <v>29</v>
      </c>
      <c r="X235">
        <v>190.4</v>
      </c>
      <c r="Y235">
        <v>129.66</v>
      </c>
      <c r="Z235">
        <v>320.06</v>
      </c>
      <c r="AA235" t="s">
        <v>63</v>
      </c>
      <c r="AB235">
        <v>0</v>
      </c>
      <c r="AC235">
        <v>73.77</v>
      </c>
      <c r="AD235">
        <v>285</v>
      </c>
      <c r="AE235">
        <v>293</v>
      </c>
    </row>
    <row r="236" spans="1:31" x14ac:dyDescent="0.25">
      <c r="A236" t="s">
        <v>1329</v>
      </c>
      <c r="B236" t="s">
        <v>1330</v>
      </c>
      <c r="C236" s="1">
        <v>44650</v>
      </c>
      <c r="D236" s="1">
        <v>44941</v>
      </c>
      <c r="E236" t="s">
        <v>66</v>
      </c>
      <c r="F236" t="s">
        <v>93</v>
      </c>
      <c r="G236" t="s">
        <v>337</v>
      </c>
      <c r="H236" t="s">
        <v>148</v>
      </c>
      <c r="I236" t="s">
        <v>1331</v>
      </c>
      <c r="J236" t="s">
        <v>82</v>
      </c>
      <c r="K236" t="s">
        <v>70</v>
      </c>
      <c r="L236" t="s">
        <v>1332</v>
      </c>
      <c r="M236">
        <v>114.57</v>
      </c>
      <c r="N236">
        <v>21</v>
      </c>
      <c r="O236" t="s">
        <v>1333</v>
      </c>
      <c r="P236" t="s">
        <v>142</v>
      </c>
      <c r="Q236" t="s">
        <v>120</v>
      </c>
      <c r="R236" t="s">
        <v>88</v>
      </c>
      <c r="S236" t="s">
        <v>45</v>
      </c>
      <c r="T236" t="s">
        <v>642</v>
      </c>
      <c r="U236">
        <v>3913</v>
      </c>
      <c r="V236">
        <v>156</v>
      </c>
      <c r="W236">
        <v>1</v>
      </c>
      <c r="X236">
        <v>759.77</v>
      </c>
      <c r="Y236">
        <v>372.21</v>
      </c>
      <c r="Z236">
        <v>1131.98</v>
      </c>
      <c r="AA236" t="s">
        <v>63</v>
      </c>
      <c r="AB236">
        <v>0</v>
      </c>
      <c r="AC236">
        <v>74.08</v>
      </c>
      <c r="AD236">
        <v>353</v>
      </c>
      <c r="AE236">
        <v>401</v>
      </c>
    </row>
    <row r="237" spans="1:31" x14ac:dyDescent="0.25">
      <c r="A237" t="s">
        <v>1334</v>
      </c>
      <c r="B237" t="s">
        <v>1335</v>
      </c>
      <c r="C237" s="1">
        <v>44331</v>
      </c>
      <c r="D237" s="1">
        <v>45122</v>
      </c>
      <c r="E237" t="s">
        <v>66</v>
      </c>
      <c r="F237" t="s">
        <v>34</v>
      </c>
      <c r="G237" t="s">
        <v>337</v>
      </c>
      <c r="H237" t="s">
        <v>218</v>
      </c>
      <c r="I237" t="s">
        <v>1336</v>
      </c>
      <c r="J237" t="s">
        <v>96</v>
      </c>
      <c r="K237" t="s">
        <v>39</v>
      </c>
      <c r="L237" t="s">
        <v>1337</v>
      </c>
      <c r="M237">
        <v>27.76</v>
      </c>
      <c r="N237">
        <v>74</v>
      </c>
      <c r="O237" t="s">
        <v>1338</v>
      </c>
      <c r="P237" t="s">
        <v>42</v>
      </c>
      <c r="Q237" t="s">
        <v>455</v>
      </c>
      <c r="R237" t="s">
        <v>153</v>
      </c>
      <c r="S237" t="s">
        <v>74</v>
      </c>
      <c r="T237" t="s">
        <v>1339</v>
      </c>
      <c r="U237">
        <v>1286</v>
      </c>
      <c r="V237">
        <v>129</v>
      </c>
      <c r="W237">
        <v>1</v>
      </c>
      <c r="X237">
        <v>1964.59</v>
      </c>
      <c r="Y237">
        <v>155.62</v>
      </c>
      <c r="Z237">
        <v>2120.21</v>
      </c>
      <c r="AA237" t="s">
        <v>63</v>
      </c>
      <c r="AB237">
        <v>0</v>
      </c>
      <c r="AC237">
        <v>72.319999999999993</v>
      </c>
      <c r="AD237">
        <v>405</v>
      </c>
      <c r="AE237">
        <v>422</v>
      </c>
    </row>
    <row r="238" spans="1:31" x14ac:dyDescent="0.25">
      <c r="A238" t="s">
        <v>1340</v>
      </c>
      <c r="B238" t="s">
        <v>1341</v>
      </c>
      <c r="C238" s="1">
        <v>44180</v>
      </c>
      <c r="D238" s="1">
        <v>44408</v>
      </c>
      <c r="E238" t="s">
        <v>66</v>
      </c>
      <c r="F238" t="s">
        <v>51</v>
      </c>
      <c r="G238" t="s">
        <v>337</v>
      </c>
      <c r="H238" t="s">
        <v>53</v>
      </c>
      <c r="I238" t="s">
        <v>1342</v>
      </c>
      <c r="J238" t="s">
        <v>55</v>
      </c>
      <c r="K238" t="s">
        <v>70</v>
      </c>
      <c r="L238" t="s">
        <v>1343</v>
      </c>
      <c r="M238">
        <v>416.74</v>
      </c>
      <c r="N238">
        <v>42</v>
      </c>
      <c r="O238" t="s">
        <v>1344</v>
      </c>
      <c r="P238" t="s">
        <v>86</v>
      </c>
      <c r="Q238" t="s">
        <v>214</v>
      </c>
      <c r="R238" t="s">
        <v>88</v>
      </c>
      <c r="S238" t="s">
        <v>101</v>
      </c>
      <c r="T238" t="s">
        <v>196</v>
      </c>
      <c r="U238">
        <v>2850</v>
      </c>
      <c r="V238">
        <v>477</v>
      </c>
      <c r="W238">
        <v>26</v>
      </c>
      <c r="X238">
        <v>315.58999999999997</v>
      </c>
      <c r="Y238">
        <v>142.06</v>
      </c>
      <c r="Z238">
        <v>457.65</v>
      </c>
      <c r="AA238" t="s">
        <v>63</v>
      </c>
      <c r="AB238">
        <v>0</v>
      </c>
      <c r="AC238">
        <v>91.62</v>
      </c>
      <c r="AD238">
        <v>288</v>
      </c>
      <c r="AE238">
        <v>335</v>
      </c>
    </row>
    <row r="239" spans="1:31" x14ac:dyDescent="0.25">
      <c r="A239" t="s">
        <v>1345</v>
      </c>
      <c r="B239" t="s">
        <v>1346</v>
      </c>
      <c r="C239" s="1">
        <v>45351</v>
      </c>
      <c r="D239" s="1">
        <v>44646</v>
      </c>
      <c r="E239" t="s">
        <v>66</v>
      </c>
      <c r="F239" t="s">
        <v>34</v>
      </c>
      <c r="G239" t="s">
        <v>115</v>
      </c>
      <c r="H239" t="s">
        <v>36</v>
      </c>
      <c r="I239" t="s">
        <v>1347</v>
      </c>
      <c r="J239" t="s">
        <v>55</v>
      </c>
      <c r="K239" t="s">
        <v>97</v>
      </c>
      <c r="L239" t="s">
        <v>1348</v>
      </c>
      <c r="M239">
        <v>116.12</v>
      </c>
      <c r="N239">
        <v>44</v>
      </c>
      <c r="O239" t="s">
        <v>1349</v>
      </c>
      <c r="P239" t="s">
        <v>86</v>
      </c>
      <c r="Q239" t="s">
        <v>120</v>
      </c>
      <c r="R239" t="s">
        <v>61</v>
      </c>
      <c r="S239" t="s">
        <v>101</v>
      </c>
      <c r="T239" t="s">
        <v>434</v>
      </c>
      <c r="U239">
        <v>4542</v>
      </c>
      <c r="V239">
        <v>182</v>
      </c>
      <c r="W239">
        <v>11</v>
      </c>
      <c r="X239">
        <v>1786.29</v>
      </c>
      <c r="Y239">
        <v>36.9</v>
      </c>
      <c r="Z239">
        <v>1823.19</v>
      </c>
      <c r="AA239" t="s">
        <v>63</v>
      </c>
      <c r="AB239">
        <v>0</v>
      </c>
      <c r="AC239">
        <v>76.94</v>
      </c>
      <c r="AD239">
        <v>444</v>
      </c>
      <c r="AE239">
        <v>466</v>
      </c>
    </row>
    <row r="240" spans="1:31" x14ac:dyDescent="0.25">
      <c r="A240" t="s">
        <v>1350</v>
      </c>
      <c r="B240" t="s">
        <v>1351</v>
      </c>
      <c r="C240" s="1">
        <v>44380</v>
      </c>
      <c r="D240" s="1">
        <v>45293</v>
      </c>
      <c r="E240" t="s">
        <v>66</v>
      </c>
      <c r="F240" t="s">
        <v>147</v>
      </c>
      <c r="G240" t="s">
        <v>337</v>
      </c>
      <c r="H240" t="s">
        <v>53</v>
      </c>
      <c r="I240" t="s">
        <v>1352</v>
      </c>
      <c r="J240" t="s">
        <v>55</v>
      </c>
      <c r="K240" t="s">
        <v>97</v>
      </c>
      <c r="L240" t="s">
        <v>1353</v>
      </c>
      <c r="M240">
        <v>321.14999999999998</v>
      </c>
      <c r="N240">
        <v>68</v>
      </c>
      <c r="O240" t="s">
        <v>1354</v>
      </c>
      <c r="P240" t="s">
        <v>42</v>
      </c>
      <c r="Q240" t="s">
        <v>234</v>
      </c>
      <c r="R240" t="s">
        <v>61</v>
      </c>
      <c r="S240" t="s">
        <v>128</v>
      </c>
      <c r="T240" t="s">
        <v>90</v>
      </c>
      <c r="U240">
        <v>89</v>
      </c>
      <c r="V240">
        <v>431</v>
      </c>
      <c r="W240">
        <v>10</v>
      </c>
      <c r="X240">
        <v>1980.82</v>
      </c>
      <c r="Y240">
        <v>94.51</v>
      </c>
      <c r="Z240">
        <v>2075.33</v>
      </c>
      <c r="AA240" t="s">
        <v>47</v>
      </c>
      <c r="AB240">
        <v>4</v>
      </c>
      <c r="AC240">
        <v>82.91</v>
      </c>
      <c r="AD240">
        <v>356</v>
      </c>
      <c r="AE240">
        <v>348</v>
      </c>
    </row>
    <row r="241" spans="1:31" x14ac:dyDescent="0.25">
      <c r="A241" t="s">
        <v>1355</v>
      </c>
      <c r="B241" t="s">
        <v>1356</v>
      </c>
      <c r="C241" s="1">
        <v>44825</v>
      </c>
      <c r="D241" s="1">
        <v>44614</v>
      </c>
      <c r="E241" t="s">
        <v>50</v>
      </c>
      <c r="F241" t="s">
        <v>147</v>
      </c>
      <c r="G241" t="s">
        <v>67</v>
      </c>
      <c r="H241" t="s">
        <v>218</v>
      </c>
      <c r="I241" t="s">
        <v>1357</v>
      </c>
      <c r="J241" t="s">
        <v>96</v>
      </c>
      <c r="K241" t="s">
        <v>56</v>
      </c>
      <c r="L241" t="s">
        <v>1358</v>
      </c>
      <c r="M241">
        <v>284.12</v>
      </c>
      <c r="N241">
        <v>5</v>
      </c>
      <c r="O241" t="s">
        <v>1359</v>
      </c>
      <c r="P241" t="s">
        <v>42</v>
      </c>
      <c r="Q241" t="s">
        <v>168</v>
      </c>
      <c r="R241" t="s">
        <v>61</v>
      </c>
      <c r="S241" t="s">
        <v>128</v>
      </c>
      <c r="T241" t="s">
        <v>291</v>
      </c>
      <c r="U241">
        <v>3062</v>
      </c>
      <c r="V241">
        <v>358</v>
      </c>
      <c r="W241">
        <v>7</v>
      </c>
      <c r="X241">
        <v>679.17</v>
      </c>
      <c r="Y241">
        <v>181.66</v>
      </c>
      <c r="Z241">
        <v>860.82999999999993</v>
      </c>
      <c r="AA241" t="s">
        <v>63</v>
      </c>
      <c r="AB241">
        <v>0</v>
      </c>
      <c r="AC241">
        <v>91.46</v>
      </c>
      <c r="AD241">
        <v>122</v>
      </c>
      <c r="AE241">
        <v>131</v>
      </c>
    </row>
    <row r="242" spans="1:31" x14ac:dyDescent="0.25">
      <c r="A242" t="s">
        <v>1360</v>
      </c>
      <c r="B242" t="s">
        <v>1361</v>
      </c>
      <c r="C242" s="1">
        <v>44434</v>
      </c>
      <c r="D242" s="1">
        <v>45492</v>
      </c>
      <c r="E242" t="s">
        <v>66</v>
      </c>
      <c r="F242" t="s">
        <v>34</v>
      </c>
      <c r="G242" t="s">
        <v>337</v>
      </c>
      <c r="H242" t="s">
        <v>68</v>
      </c>
      <c r="I242" t="s">
        <v>1362</v>
      </c>
      <c r="J242" t="s">
        <v>55</v>
      </c>
      <c r="K242" t="s">
        <v>97</v>
      </c>
      <c r="L242" t="s">
        <v>1363</v>
      </c>
      <c r="M242">
        <v>460.62</v>
      </c>
      <c r="N242">
        <v>46</v>
      </c>
      <c r="O242" t="s">
        <v>1364</v>
      </c>
      <c r="P242" t="s">
        <v>59</v>
      </c>
      <c r="Q242" t="s">
        <v>684</v>
      </c>
      <c r="R242" t="s">
        <v>44</v>
      </c>
      <c r="S242" t="s">
        <v>45</v>
      </c>
      <c r="T242" t="s">
        <v>161</v>
      </c>
      <c r="U242">
        <v>3336</v>
      </c>
      <c r="V242">
        <v>83</v>
      </c>
      <c r="W242">
        <v>14</v>
      </c>
      <c r="X242">
        <v>1144.1300000000001</v>
      </c>
      <c r="Y242">
        <v>365.61</v>
      </c>
      <c r="Z242">
        <v>1509.74</v>
      </c>
      <c r="AA242" t="s">
        <v>47</v>
      </c>
      <c r="AB242">
        <v>5</v>
      </c>
      <c r="AC242">
        <v>79.510000000000005</v>
      </c>
      <c r="AD242">
        <v>254</v>
      </c>
      <c r="AE242">
        <v>206</v>
      </c>
    </row>
    <row r="243" spans="1:31" x14ac:dyDescent="0.25">
      <c r="A243" t="s">
        <v>1365</v>
      </c>
      <c r="B243" t="s">
        <v>1366</v>
      </c>
      <c r="C243" s="1">
        <v>45034</v>
      </c>
      <c r="D243" s="1">
        <v>45488</v>
      </c>
      <c r="E243" t="s">
        <v>66</v>
      </c>
      <c r="F243" t="s">
        <v>93</v>
      </c>
      <c r="G243" t="s">
        <v>67</v>
      </c>
      <c r="H243" t="s">
        <v>164</v>
      </c>
      <c r="I243" t="s">
        <v>1367</v>
      </c>
      <c r="J243" t="s">
        <v>82</v>
      </c>
      <c r="K243" t="s">
        <v>97</v>
      </c>
      <c r="L243" t="s">
        <v>1368</v>
      </c>
      <c r="M243">
        <v>200.03</v>
      </c>
      <c r="N243">
        <v>51</v>
      </c>
      <c r="O243" t="s">
        <v>1369</v>
      </c>
      <c r="P243" t="s">
        <v>142</v>
      </c>
      <c r="Q243" t="s">
        <v>120</v>
      </c>
      <c r="R243" t="s">
        <v>44</v>
      </c>
      <c r="S243" t="s">
        <v>74</v>
      </c>
      <c r="T243" t="s">
        <v>203</v>
      </c>
      <c r="U243">
        <v>801</v>
      </c>
      <c r="V243">
        <v>311</v>
      </c>
      <c r="W243">
        <v>19</v>
      </c>
      <c r="X243">
        <v>376.26</v>
      </c>
      <c r="Y243">
        <v>121.34</v>
      </c>
      <c r="Z243">
        <v>497.6</v>
      </c>
      <c r="AA243" t="s">
        <v>63</v>
      </c>
      <c r="AB243">
        <v>0</v>
      </c>
      <c r="AC243">
        <v>94.49</v>
      </c>
      <c r="AD243">
        <v>236</v>
      </c>
      <c r="AE243">
        <v>223</v>
      </c>
    </row>
    <row r="244" spans="1:31" x14ac:dyDescent="0.25">
      <c r="A244" t="s">
        <v>1370</v>
      </c>
      <c r="B244" t="s">
        <v>1371</v>
      </c>
      <c r="C244" s="1">
        <v>44450</v>
      </c>
      <c r="D244" s="1">
        <v>44073</v>
      </c>
      <c r="E244" t="s">
        <v>50</v>
      </c>
      <c r="F244" t="s">
        <v>34</v>
      </c>
      <c r="G244" t="s">
        <v>94</v>
      </c>
      <c r="H244" t="s">
        <v>218</v>
      </c>
      <c r="I244" t="s">
        <v>1372</v>
      </c>
      <c r="J244" t="s">
        <v>38</v>
      </c>
      <c r="K244" t="s">
        <v>39</v>
      </c>
      <c r="L244" t="s">
        <v>1373</v>
      </c>
      <c r="M244">
        <v>297.33999999999997</v>
      </c>
      <c r="N244">
        <v>82</v>
      </c>
      <c r="O244" t="s">
        <v>1354</v>
      </c>
      <c r="P244" t="s">
        <v>86</v>
      </c>
      <c r="Q244" t="s">
        <v>248</v>
      </c>
      <c r="R244" t="s">
        <v>153</v>
      </c>
      <c r="S244" t="s">
        <v>89</v>
      </c>
      <c r="T244" t="s">
        <v>249</v>
      </c>
      <c r="U244">
        <v>4049</v>
      </c>
      <c r="V244">
        <v>416</v>
      </c>
      <c r="W244">
        <v>14</v>
      </c>
      <c r="X244">
        <v>1341.3</v>
      </c>
      <c r="Y244">
        <v>392.99</v>
      </c>
      <c r="Z244">
        <v>1734.29</v>
      </c>
      <c r="AA244" t="s">
        <v>63</v>
      </c>
      <c r="AB244">
        <v>0</v>
      </c>
      <c r="AC244">
        <v>98.44</v>
      </c>
      <c r="AD244">
        <v>320</v>
      </c>
      <c r="AE244">
        <v>331</v>
      </c>
    </row>
    <row r="245" spans="1:31" x14ac:dyDescent="0.25">
      <c r="A245" t="s">
        <v>1374</v>
      </c>
      <c r="B245" t="s">
        <v>1375</v>
      </c>
      <c r="C245" s="1">
        <v>44231</v>
      </c>
      <c r="D245" s="1">
        <v>44930</v>
      </c>
      <c r="E245" t="s">
        <v>66</v>
      </c>
      <c r="F245" t="s">
        <v>34</v>
      </c>
      <c r="G245" t="s">
        <v>337</v>
      </c>
      <c r="H245" t="s">
        <v>36</v>
      </c>
      <c r="I245" t="s">
        <v>1376</v>
      </c>
      <c r="J245" t="s">
        <v>38</v>
      </c>
      <c r="K245" t="s">
        <v>83</v>
      </c>
      <c r="L245" t="s">
        <v>1377</v>
      </c>
      <c r="M245">
        <v>295.55</v>
      </c>
      <c r="N245">
        <v>62</v>
      </c>
      <c r="O245" t="s">
        <v>1378</v>
      </c>
      <c r="P245" t="s">
        <v>110</v>
      </c>
      <c r="Q245" t="s">
        <v>371</v>
      </c>
      <c r="R245" t="s">
        <v>61</v>
      </c>
      <c r="S245" t="s">
        <v>101</v>
      </c>
      <c r="T245" t="s">
        <v>721</v>
      </c>
      <c r="U245">
        <v>2055</v>
      </c>
      <c r="V245">
        <v>295</v>
      </c>
      <c r="W245">
        <v>6</v>
      </c>
      <c r="X245">
        <v>570.65</v>
      </c>
      <c r="Y245">
        <v>164.25</v>
      </c>
      <c r="Z245">
        <v>734.9</v>
      </c>
      <c r="AA245" t="s">
        <v>63</v>
      </c>
      <c r="AB245">
        <v>0</v>
      </c>
      <c r="AC245">
        <v>70.98</v>
      </c>
      <c r="AD245">
        <v>319</v>
      </c>
      <c r="AE245">
        <v>337</v>
      </c>
    </row>
    <row r="246" spans="1:31" x14ac:dyDescent="0.25">
      <c r="A246" t="s">
        <v>1379</v>
      </c>
      <c r="B246" t="s">
        <v>1380</v>
      </c>
      <c r="C246" s="1">
        <v>44489</v>
      </c>
      <c r="D246" s="1">
        <v>45617</v>
      </c>
      <c r="E246" t="s">
        <v>66</v>
      </c>
      <c r="F246" t="s">
        <v>34</v>
      </c>
      <c r="G246" t="s">
        <v>67</v>
      </c>
      <c r="H246" t="s">
        <v>218</v>
      </c>
      <c r="I246" t="s">
        <v>1381</v>
      </c>
      <c r="J246" t="s">
        <v>38</v>
      </c>
      <c r="K246" t="s">
        <v>70</v>
      </c>
      <c r="L246" t="s">
        <v>1382</v>
      </c>
      <c r="M246">
        <v>465.29</v>
      </c>
      <c r="N246">
        <v>50</v>
      </c>
      <c r="O246" t="s">
        <v>1383</v>
      </c>
      <c r="P246" t="s">
        <v>59</v>
      </c>
      <c r="Q246" t="s">
        <v>290</v>
      </c>
      <c r="R246" t="s">
        <v>153</v>
      </c>
      <c r="S246" t="s">
        <v>128</v>
      </c>
      <c r="T246" t="s">
        <v>721</v>
      </c>
      <c r="U246">
        <v>1228</v>
      </c>
      <c r="V246">
        <v>102</v>
      </c>
      <c r="W246">
        <v>8</v>
      </c>
      <c r="X246">
        <v>1994.59</v>
      </c>
      <c r="Y246">
        <v>396.13</v>
      </c>
      <c r="Z246">
        <v>2390.7199999999998</v>
      </c>
      <c r="AA246" t="s">
        <v>63</v>
      </c>
      <c r="AB246">
        <v>0</v>
      </c>
      <c r="AC246">
        <v>88.73</v>
      </c>
      <c r="AD246">
        <v>235</v>
      </c>
      <c r="AE246">
        <v>197</v>
      </c>
    </row>
    <row r="247" spans="1:31" x14ac:dyDescent="0.25">
      <c r="A247" t="s">
        <v>1384</v>
      </c>
      <c r="B247" t="s">
        <v>1385</v>
      </c>
      <c r="C247" s="1">
        <v>44814</v>
      </c>
      <c r="D247" s="1">
        <v>44724</v>
      </c>
      <c r="E247" t="s">
        <v>66</v>
      </c>
      <c r="F247" t="s">
        <v>34</v>
      </c>
      <c r="G247" t="s">
        <v>115</v>
      </c>
      <c r="H247" t="s">
        <v>116</v>
      </c>
      <c r="I247" t="s">
        <v>1386</v>
      </c>
      <c r="J247" t="s">
        <v>82</v>
      </c>
      <c r="K247" t="s">
        <v>70</v>
      </c>
      <c r="L247" t="s">
        <v>1387</v>
      </c>
      <c r="M247">
        <v>104.75</v>
      </c>
      <c r="N247">
        <v>53</v>
      </c>
      <c r="O247" t="s">
        <v>1388</v>
      </c>
      <c r="P247" t="s">
        <v>142</v>
      </c>
      <c r="Q247" t="s">
        <v>558</v>
      </c>
      <c r="R247" t="s">
        <v>153</v>
      </c>
      <c r="S247" t="s">
        <v>101</v>
      </c>
      <c r="T247" t="s">
        <v>62</v>
      </c>
      <c r="U247">
        <v>1960</v>
      </c>
      <c r="V247">
        <v>397</v>
      </c>
      <c r="W247">
        <v>22</v>
      </c>
      <c r="X247">
        <v>1777.03</v>
      </c>
      <c r="Y247">
        <v>412.45</v>
      </c>
      <c r="Z247">
        <v>2189.48</v>
      </c>
      <c r="AA247" t="s">
        <v>47</v>
      </c>
      <c r="AB247">
        <v>9</v>
      </c>
      <c r="AC247">
        <v>79.25</v>
      </c>
      <c r="AD247">
        <v>183</v>
      </c>
      <c r="AE247">
        <v>183</v>
      </c>
    </row>
    <row r="248" spans="1:31" x14ac:dyDescent="0.25">
      <c r="A248" t="s">
        <v>1389</v>
      </c>
      <c r="B248" t="s">
        <v>1390</v>
      </c>
      <c r="C248" s="1">
        <v>44943</v>
      </c>
      <c r="D248" s="1">
        <v>44564</v>
      </c>
      <c r="E248" t="s">
        <v>50</v>
      </c>
      <c r="F248" t="s">
        <v>78</v>
      </c>
      <c r="G248" t="s">
        <v>67</v>
      </c>
      <c r="H248" t="s">
        <v>80</v>
      </c>
      <c r="I248" t="s">
        <v>1391</v>
      </c>
      <c r="J248" t="s">
        <v>38</v>
      </c>
      <c r="K248" t="s">
        <v>97</v>
      </c>
      <c r="L248" t="s">
        <v>1392</v>
      </c>
      <c r="M248">
        <v>94.74</v>
      </c>
      <c r="N248">
        <v>46</v>
      </c>
      <c r="O248" t="s">
        <v>1393</v>
      </c>
      <c r="P248" t="s">
        <v>86</v>
      </c>
      <c r="Q248" t="s">
        <v>189</v>
      </c>
      <c r="R248" t="s">
        <v>61</v>
      </c>
      <c r="S248" t="s">
        <v>74</v>
      </c>
      <c r="T248" t="s">
        <v>415</v>
      </c>
      <c r="U248">
        <v>3561</v>
      </c>
      <c r="V248">
        <v>317</v>
      </c>
      <c r="W248">
        <v>1</v>
      </c>
      <c r="X248">
        <v>1491.03</v>
      </c>
      <c r="Y248">
        <v>31.07</v>
      </c>
      <c r="Z248">
        <v>1522.1</v>
      </c>
      <c r="AA248" t="s">
        <v>63</v>
      </c>
      <c r="AB248">
        <v>0</v>
      </c>
      <c r="AC248">
        <v>82.36</v>
      </c>
      <c r="AD248">
        <v>425</v>
      </c>
      <c r="AE248">
        <v>449</v>
      </c>
    </row>
    <row r="249" spans="1:31" x14ac:dyDescent="0.25">
      <c r="A249" t="s">
        <v>1394</v>
      </c>
      <c r="B249" t="s">
        <v>1395</v>
      </c>
      <c r="C249" s="1">
        <v>44651</v>
      </c>
      <c r="D249" s="1">
        <v>45522</v>
      </c>
      <c r="E249" t="s">
        <v>50</v>
      </c>
      <c r="F249" t="s">
        <v>147</v>
      </c>
      <c r="G249" t="s">
        <v>105</v>
      </c>
      <c r="H249" t="s">
        <v>53</v>
      </c>
      <c r="I249" t="s">
        <v>1396</v>
      </c>
      <c r="J249" t="s">
        <v>107</v>
      </c>
      <c r="K249" t="s">
        <v>70</v>
      </c>
      <c r="L249" t="s">
        <v>1397</v>
      </c>
      <c r="M249">
        <v>495.49</v>
      </c>
      <c r="N249">
        <v>23</v>
      </c>
      <c r="O249" t="s">
        <v>1398</v>
      </c>
      <c r="P249" t="s">
        <v>59</v>
      </c>
      <c r="Q249" t="s">
        <v>315</v>
      </c>
      <c r="R249" t="s">
        <v>153</v>
      </c>
      <c r="S249" t="s">
        <v>74</v>
      </c>
      <c r="T249" t="s">
        <v>737</v>
      </c>
      <c r="U249">
        <v>1568</v>
      </c>
      <c r="V249">
        <v>419</v>
      </c>
      <c r="W249">
        <v>14</v>
      </c>
      <c r="X249">
        <v>921.91</v>
      </c>
      <c r="Y249">
        <v>411.8</v>
      </c>
      <c r="Z249">
        <v>1333.71</v>
      </c>
      <c r="AA249" t="s">
        <v>63</v>
      </c>
      <c r="AB249">
        <v>0</v>
      </c>
      <c r="AC249">
        <v>88.24</v>
      </c>
      <c r="AD249">
        <v>51</v>
      </c>
      <c r="AE249">
        <v>51</v>
      </c>
    </row>
    <row r="250" spans="1:31" x14ac:dyDescent="0.25">
      <c r="A250" t="s">
        <v>1399</v>
      </c>
      <c r="B250" t="s">
        <v>1400</v>
      </c>
      <c r="C250" s="1">
        <v>44384</v>
      </c>
      <c r="D250" s="1">
        <v>44955</v>
      </c>
      <c r="E250" t="s">
        <v>66</v>
      </c>
      <c r="F250" t="s">
        <v>93</v>
      </c>
      <c r="G250" t="s">
        <v>115</v>
      </c>
      <c r="H250" t="s">
        <v>53</v>
      </c>
      <c r="I250" t="s">
        <v>1401</v>
      </c>
      <c r="J250" t="s">
        <v>96</v>
      </c>
      <c r="K250" t="s">
        <v>83</v>
      </c>
      <c r="L250" t="s">
        <v>1402</v>
      </c>
      <c r="M250">
        <v>268.99</v>
      </c>
      <c r="N250">
        <v>44</v>
      </c>
      <c r="O250" t="s">
        <v>1403</v>
      </c>
      <c r="P250" t="s">
        <v>59</v>
      </c>
      <c r="Q250" t="s">
        <v>111</v>
      </c>
      <c r="R250" t="s">
        <v>44</v>
      </c>
      <c r="S250" t="s">
        <v>45</v>
      </c>
      <c r="T250" t="s">
        <v>341</v>
      </c>
      <c r="U250">
        <v>3336</v>
      </c>
      <c r="V250">
        <v>417</v>
      </c>
      <c r="W250">
        <v>8</v>
      </c>
      <c r="X250">
        <v>1059.83</v>
      </c>
      <c r="Y250">
        <v>152.71</v>
      </c>
      <c r="Z250">
        <v>1212.54</v>
      </c>
      <c r="AA250" t="s">
        <v>63</v>
      </c>
      <c r="AB250">
        <v>0</v>
      </c>
      <c r="AC250">
        <v>70.12</v>
      </c>
      <c r="AD250">
        <v>298</v>
      </c>
      <c r="AE250">
        <v>252</v>
      </c>
    </row>
    <row r="251" spans="1:31" x14ac:dyDescent="0.25">
      <c r="A251" t="s">
        <v>1404</v>
      </c>
      <c r="B251" t="s">
        <v>1405</v>
      </c>
      <c r="C251" s="1">
        <v>45552</v>
      </c>
      <c r="D251" s="1">
        <v>43835</v>
      </c>
      <c r="E251" t="s">
        <v>66</v>
      </c>
      <c r="F251" t="s">
        <v>51</v>
      </c>
      <c r="G251" t="s">
        <v>52</v>
      </c>
      <c r="H251" t="s">
        <v>53</v>
      </c>
      <c r="I251" t="s">
        <v>1406</v>
      </c>
      <c r="J251" t="s">
        <v>55</v>
      </c>
      <c r="K251" t="s">
        <v>39</v>
      </c>
      <c r="L251" t="s">
        <v>1407</v>
      </c>
      <c r="M251">
        <v>407.75</v>
      </c>
      <c r="N251">
        <v>73</v>
      </c>
      <c r="O251" t="s">
        <v>1408</v>
      </c>
      <c r="P251" t="s">
        <v>86</v>
      </c>
      <c r="Q251" t="s">
        <v>214</v>
      </c>
      <c r="R251" t="s">
        <v>44</v>
      </c>
      <c r="S251" t="s">
        <v>89</v>
      </c>
      <c r="T251" t="s">
        <v>353</v>
      </c>
      <c r="U251">
        <v>1101</v>
      </c>
      <c r="V251">
        <v>92</v>
      </c>
      <c r="W251">
        <v>16</v>
      </c>
      <c r="X251">
        <v>1771.67</v>
      </c>
      <c r="Y251">
        <v>192.02</v>
      </c>
      <c r="Z251">
        <v>1963.69</v>
      </c>
      <c r="AA251" t="s">
        <v>63</v>
      </c>
      <c r="AB251">
        <v>0</v>
      </c>
      <c r="AC251">
        <v>75.27</v>
      </c>
      <c r="AD251">
        <v>111</v>
      </c>
      <c r="AE251">
        <v>96</v>
      </c>
    </row>
    <row r="252" spans="1:31" x14ac:dyDescent="0.25">
      <c r="A252" t="s">
        <v>1409</v>
      </c>
      <c r="B252" t="s">
        <v>1410</v>
      </c>
      <c r="C252" s="1">
        <v>45292</v>
      </c>
      <c r="D252" s="1">
        <v>44210</v>
      </c>
      <c r="E252" t="s">
        <v>66</v>
      </c>
      <c r="F252" t="s">
        <v>147</v>
      </c>
      <c r="G252" t="s">
        <v>94</v>
      </c>
      <c r="H252" t="s">
        <v>148</v>
      </c>
      <c r="I252" t="s">
        <v>1411</v>
      </c>
      <c r="J252" t="s">
        <v>38</v>
      </c>
      <c r="K252" t="s">
        <v>70</v>
      </c>
      <c r="L252" t="s">
        <v>1412</v>
      </c>
      <c r="M252">
        <v>430.88</v>
      </c>
      <c r="N252">
        <v>28</v>
      </c>
      <c r="O252" t="s">
        <v>614</v>
      </c>
      <c r="P252" t="s">
        <v>86</v>
      </c>
      <c r="Q252" t="s">
        <v>120</v>
      </c>
      <c r="R252" t="s">
        <v>88</v>
      </c>
      <c r="S252" t="s">
        <v>74</v>
      </c>
      <c r="T252" t="s">
        <v>222</v>
      </c>
      <c r="U252">
        <v>3697</v>
      </c>
      <c r="V252">
        <v>340</v>
      </c>
      <c r="W252">
        <v>13</v>
      </c>
      <c r="X252">
        <v>162.07</v>
      </c>
      <c r="Y252">
        <v>160.97</v>
      </c>
      <c r="Z252">
        <v>323.04000000000002</v>
      </c>
      <c r="AA252" t="s">
        <v>63</v>
      </c>
      <c r="AB252">
        <v>0</v>
      </c>
      <c r="AC252">
        <v>91.06</v>
      </c>
      <c r="AD252">
        <v>75</v>
      </c>
      <c r="AE252">
        <v>62</v>
      </c>
    </row>
    <row r="253" spans="1:31" x14ac:dyDescent="0.25">
      <c r="A253" t="s">
        <v>1413</v>
      </c>
      <c r="B253" t="s">
        <v>1414</v>
      </c>
      <c r="C253" s="1">
        <v>45160</v>
      </c>
      <c r="D253" s="1">
        <v>44109</v>
      </c>
      <c r="E253" t="s">
        <v>66</v>
      </c>
      <c r="F253" t="s">
        <v>93</v>
      </c>
      <c r="G253" t="s">
        <v>67</v>
      </c>
      <c r="H253" t="s">
        <v>148</v>
      </c>
      <c r="I253" t="s">
        <v>1415</v>
      </c>
      <c r="J253" t="s">
        <v>107</v>
      </c>
      <c r="K253" t="s">
        <v>39</v>
      </c>
      <c r="L253" t="s">
        <v>1416</v>
      </c>
      <c r="M253">
        <v>455.03</v>
      </c>
      <c r="N253">
        <v>69</v>
      </c>
      <c r="O253" t="s">
        <v>1417</v>
      </c>
      <c r="P253" t="s">
        <v>142</v>
      </c>
      <c r="Q253" t="s">
        <v>404</v>
      </c>
      <c r="R253" t="s">
        <v>153</v>
      </c>
      <c r="S253" t="s">
        <v>101</v>
      </c>
      <c r="T253" t="s">
        <v>154</v>
      </c>
      <c r="U253">
        <v>4746</v>
      </c>
      <c r="V253">
        <v>235</v>
      </c>
      <c r="W253">
        <v>22</v>
      </c>
      <c r="X253">
        <v>1187.27</v>
      </c>
      <c r="Y253">
        <v>480.04</v>
      </c>
      <c r="Z253">
        <v>1667.31</v>
      </c>
      <c r="AA253" t="s">
        <v>63</v>
      </c>
      <c r="AB253">
        <v>0</v>
      </c>
      <c r="AC253">
        <v>91.48</v>
      </c>
      <c r="AD253">
        <v>268</v>
      </c>
      <c r="AE253">
        <v>309</v>
      </c>
    </row>
    <row r="254" spans="1:31" x14ac:dyDescent="0.25">
      <c r="A254" t="s">
        <v>1418</v>
      </c>
      <c r="B254" t="s">
        <v>1419</v>
      </c>
      <c r="C254" s="1">
        <v>44480</v>
      </c>
      <c r="D254" s="1">
        <v>45362</v>
      </c>
      <c r="E254" t="s">
        <v>50</v>
      </c>
      <c r="F254" t="s">
        <v>78</v>
      </c>
      <c r="G254" t="s">
        <v>52</v>
      </c>
      <c r="H254" t="s">
        <v>80</v>
      </c>
      <c r="I254" t="s">
        <v>1420</v>
      </c>
      <c r="J254" t="s">
        <v>107</v>
      </c>
      <c r="K254" t="s">
        <v>70</v>
      </c>
      <c r="L254" t="s">
        <v>1421</v>
      </c>
      <c r="M254">
        <v>48.27</v>
      </c>
      <c r="N254">
        <v>39</v>
      </c>
      <c r="O254" t="s">
        <v>1422</v>
      </c>
      <c r="P254" t="s">
        <v>110</v>
      </c>
      <c r="Q254" t="s">
        <v>175</v>
      </c>
      <c r="R254" t="s">
        <v>153</v>
      </c>
      <c r="S254" t="s">
        <v>74</v>
      </c>
      <c r="T254" t="s">
        <v>673</v>
      </c>
      <c r="U254">
        <v>1038</v>
      </c>
      <c r="V254">
        <v>315</v>
      </c>
      <c r="W254">
        <v>5</v>
      </c>
      <c r="X254">
        <v>218.62</v>
      </c>
      <c r="Y254">
        <v>153.69999999999999</v>
      </c>
      <c r="Z254">
        <v>372.32</v>
      </c>
      <c r="AA254" t="s">
        <v>63</v>
      </c>
      <c r="AB254">
        <v>0</v>
      </c>
      <c r="AC254">
        <v>91.69</v>
      </c>
      <c r="AD254">
        <v>125</v>
      </c>
      <c r="AE254">
        <v>134</v>
      </c>
    </row>
    <row r="255" spans="1:31" x14ac:dyDescent="0.25">
      <c r="A255" t="s">
        <v>1423</v>
      </c>
      <c r="B255" t="s">
        <v>1424</v>
      </c>
      <c r="C255" s="1">
        <v>44205</v>
      </c>
      <c r="D255" s="1">
        <v>44229</v>
      </c>
      <c r="E255" t="s">
        <v>66</v>
      </c>
      <c r="F255" t="s">
        <v>51</v>
      </c>
      <c r="G255" t="s">
        <v>79</v>
      </c>
      <c r="H255" t="s">
        <v>218</v>
      </c>
      <c r="I255" t="s">
        <v>1425</v>
      </c>
      <c r="J255" t="s">
        <v>82</v>
      </c>
      <c r="K255" t="s">
        <v>70</v>
      </c>
      <c r="L255" t="s">
        <v>1426</v>
      </c>
      <c r="M255">
        <v>202.73</v>
      </c>
      <c r="N255">
        <v>6</v>
      </c>
      <c r="O255" t="s">
        <v>1427</v>
      </c>
      <c r="P255" t="s">
        <v>86</v>
      </c>
      <c r="Q255" t="s">
        <v>404</v>
      </c>
      <c r="R255" t="s">
        <v>61</v>
      </c>
      <c r="S255" t="s">
        <v>128</v>
      </c>
      <c r="T255" t="s">
        <v>372</v>
      </c>
      <c r="U255">
        <v>3019</v>
      </c>
      <c r="V255">
        <v>281</v>
      </c>
      <c r="W255">
        <v>2</v>
      </c>
      <c r="X255">
        <v>637.6</v>
      </c>
      <c r="Y255">
        <v>265.18</v>
      </c>
      <c r="Z255">
        <v>902.78</v>
      </c>
      <c r="AA255" t="s">
        <v>63</v>
      </c>
      <c r="AB255">
        <v>0</v>
      </c>
      <c r="AC255">
        <v>83.54</v>
      </c>
      <c r="AD255">
        <v>380</v>
      </c>
      <c r="AE255">
        <v>367</v>
      </c>
    </row>
    <row r="256" spans="1:31" x14ac:dyDescent="0.25">
      <c r="A256" t="s">
        <v>1428</v>
      </c>
      <c r="B256" t="s">
        <v>1429</v>
      </c>
      <c r="C256" s="1">
        <v>44107</v>
      </c>
      <c r="D256" s="1">
        <v>44755</v>
      </c>
      <c r="E256" t="s">
        <v>66</v>
      </c>
      <c r="F256" t="s">
        <v>147</v>
      </c>
      <c r="G256" t="s">
        <v>94</v>
      </c>
      <c r="H256" t="s">
        <v>148</v>
      </c>
      <c r="I256" t="s">
        <v>1430</v>
      </c>
      <c r="J256" t="s">
        <v>107</v>
      </c>
      <c r="K256" t="s">
        <v>83</v>
      </c>
      <c r="L256" t="s">
        <v>1431</v>
      </c>
      <c r="M256">
        <v>23.69</v>
      </c>
      <c r="N256">
        <v>60</v>
      </c>
      <c r="O256" t="s">
        <v>1432</v>
      </c>
      <c r="P256" t="s">
        <v>142</v>
      </c>
      <c r="Q256" t="s">
        <v>111</v>
      </c>
      <c r="R256" t="s">
        <v>44</v>
      </c>
      <c r="S256" t="s">
        <v>45</v>
      </c>
      <c r="T256" t="s">
        <v>176</v>
      </c>
      <c r="U256">
        <v>1448</v>
      </c>
      <c r="V256">
        <v>258</v>
      </c>
      <c r="W256">
        <v>1</v>
      </c>
      <c r="X256">
        <v>297.19</v>
      </c>
      <c r="Y256">
        <v>125.95</v>
      </c>
      <c r="Z256">
        <v>423.14</v>
      </c>
      <c r="AA256" t="s">
        <v>63</v>
      </c>
      <c r="AB256">
        <v>0</v>
      </c>
      <c r="AC256">
        <v>84.78</v>
      </c>
      <c r="AD256">
        <v>304</v>
      </c>
      <c r="AE256">
        <v>327</v>
      </c>
    </row>
    <row r="257" spans="1:31" x14ac:dyDescent="0.25">
      <c r="A257" t="s">
        <v>1433</v>
      </c>
      <c r="B257" t="s">
        <v>1434</v>
      </c>
      <c r="C257" s="1">
        <v>44204</v>
      </c>
      <c r="D257" s="1">
        <v>44490</v>
      </c>
      <c r="E257" t="s">
        <v>50</v>
      </c>
      <c r="F257" t="s">
        <v>147</v>
      </c>
      <c r="G257" t="s">
        <v>105</v>
      </c>
      <c r="H257" t="s">
        <v>80</v>
      </c>
      <c r="I257" t="s">
        <v>1435</v>
      </c>
      <c r="J257" t="s">
        <v>96</v>
      </c>
      <c r="K257" t="s">
        <v>56</v>
      </c>
      <c r="L257" t="s">
        <v>1436</v>
      </c>
      <c r="M257">
        <v>259.73</v>
      </c>
      <c r="N257">
        <v>40</v>
      </c>
      <c r="O257" t="s">
        <v>1271</v>
      </c>
      <c r="P257" t="s">
        <v>42</v>
      </c>
      <c r="Q257" t="s">
        <v>111</v>
      </c>
      <c r="R257" t="s">
        <v>44</v>
      </c>
      <c r="S257" t="s">
        <v>101</v>
      </c>
      <c r="T257" t="s">
        <v>154</v>
      </c>
      <c r="U257">
        <v>1049</v>
      </c>
      <c r="V257">
        <v>286</v>
      </c>
      <c r="W257">
        <v>20</v>
      </c>
      <c r="X257">
        <v>982.09</v>
      </c>
      <c r="Y257">
        <v>66.64</v>
      </c>
      <c r="Z257">
        <v>1048.73</v>
      </c>
      <c r="AA257" t="s">
        <v>63</v>
      </c>
      <c r="AB257">
        <v>0</v>
      </c>
      <c r="AC257">
        <v>97.81</v>
      </c>
      <c r="AD257">
        <v>144</v>
      </c>
      <c r="AE257">
        <v>108</v>
      </c>
    </row>
    <row r="258" spans="1:31" x14ac:dyDescent="0.25">
      <c r="A258" t="s">
        <v>1437</v>
      </c>
      <c r="B258" t="s">
        <v>1438</v>
      </c>
      <c r="C258" s="1">
        <v>44780</v>
      </c>
      <c r="D258" s="1">
        <v>44132</v>
      </c>
      <c r="E258" t="s">
        <v>66</v>
      </c>
      <c r="F258" t="s">
        <v>147</v>
      </c>
      <c r="G258" t="s">
        <v>337</v>
      </c>
      <c r="H258" t="s">
        <v>80</v>
      </c>
      <c r="I258" t="s">
        <v>1439</v>
      </c>
      <c r="J258" t="s">
        <v>55</v>
      </c>
      <c r="K258" t="s">
        <v>83</v>
      </c>
      <c r="L258" t="s">
        <v>1440</v>
      </c>
      <c r="M258">
        <v>337.65</v>
      </c>
      <c r="N258">
        <v>64</v>
      </c>
      <c r="O258" t="s">
        <v>1441</v>
      </c>
      <c r="P258" t="s">
        <v>86</v>
      </c>
      <c r="Q258" t="s">
        <v>214</v>
      </c>
      <c r="R258" t="s">
        <v>88</v>
      </c>
      <c r="S258" t="s">
        <v>89</v>
      </c>
      <c r="T258" t="s">
        <v>176</v>
      </c>
      <c r="U258">
        <v>841</v>
      </c>
      <c r="V258">
        <v>220</v>
      </c>
      <c r="W258">
        <v>28</v>
      </c>
      <c r="X258">
        <v>65.760000000000005</v>
      </c>
      <c r="Y258">
        <v>480.13</v>
      </c>
      <c r="Z258">
        <v>545.89</v>
      </c>
      <c r="AA258" t="s">
        <v>63</v>
      </c>
      <c r="AB258">
        <v>0</v>
      </c>
      <c r="AC258">
        <v>80.45</v>
      </c>
      <c r="AD258">
        <v>329</v>
      </c>
      <c r="AE258">
        <v>296</v>
      </c>
    </row>
    <row r="259" spans="1:31" x14ac:dyDescent="0.25">
      <c r="A259" t="s">
        <v>1442</v>
      </c>
      <c r="B259" t="s">
        <v>1443</v>
      </c>
      <c r="C259" s="1">
        <v>45524</v>
      </c>
      <c r="D259" s="1">
        <v>44123</v>
      </c>
      <c r="E259" t="s">
        <v>50</v>
      </c>
      <c r="F259" t="s">
        <v>34</v>
      </c>
      <c r="G259" t="s">
        <v>79</v>
      </c>
      <c r="H259" t="s">
        <v>164</v>
      </c>
      <c r="I259" t="s">
        <v>1444</v>
      </c>
      <c r="J259" t="s">
        <v>107</v>
      </c>
      <c r="K259" t="s">
        <v>70</v>
      </c>
      <c r="L259" t="s">
        <v>1445</v>
      </c>
      <c r="M259">
        <v>264.26</v>
      </c>
      <c r="N259">
        <v>88</v>
      </c>
      <c r="O259" t="s">
        <v>1446</v>
      </c>
      <c r="P259" t="s">
        <v>59</v>
      </c>
      <c r="Q259" t="s">
        <v>322</v>
      </c>
      <c r="R259" t="s">
        <v>153</v>
      </c>
      <c r="S259" t="s">
        <v>101</v>
      </c>
      <c r="T259" t="s">
        <v>161</v>
      </c>
      <c r="U259">
        <v>2160</v>
      </c>
      <c r="V259">
        <v>103</v>
      </c>
      <c r="W259">
        <v>24</v>
      </c>
      <c r="X259">
        <v>1149.8499999999999</v>
      </c>
      <c r="Y259">
        <v>275.27</v>
      </c>
      <c r="Z259">
        <v>1425.12</v>
      </c>
      <c r="AA259" t="s">
        <v>63</v>
      </c>
      <c r="AB259">
        <v>0</v>
      </c>
      <c r="AC259">
        <v>78.09</v>
      </c>
      <c r="AD259">
        <v>62</v>
      </c>
      <c r="AE259">
        <v>58</v>
      </c>
    </row>
    <row r="260" spans="1:31" x14ac:dyDescent="0.25">
      <c r="A260" t="s">
        <v>1447</v>
      </c>
      <c r="B260" t="s">
        <v>1448</v>
      </c>
      <c r="C260" s="1">
        <v>44350</v>
      </c>
      <c r="D260" s="1">
        <v>45062</v>
      </c>
      <c r="E260" t="s">
        <v>50</v>
      </c>
      <c r="F260" t="s">
        <v>147</v>
      </c>
      <c r="G260" t="s">
        <v>67</v>
      </c>
      <c r="H260" t="s">
        <v>218</v>
      </c>
      <c r="I260" t="s">
        <v>1449</v>
      </c>
      <c r="J260" t="s">
        <v>96</v>
      </c>
      <c r="K260" t="s">
        <v>70</v>
      </c>
      <c r="L260" t="s">
        <v>1450</v>
      </c>
      <c r="M260">
        <v>361.53</v>
      </c>
      <c r="N260">
        <v>82</v>
      </c>
      <c r="O260" t="s">
        <v>1451</v>
      </c>
      <c r="P260" t="s">
        <v>142</v>
      </c>
      <c r="Q260" t="s">
        <v>328</v>
      </c>
      <c r="R260" t="s">
        <v>44</v>
      </c>
      <c r="S260" t="s">
        <v>74</v>
      </c>
      <c r="T260" t="s">
        <v>467</v>
      </c>
      <c r="U260">
        <v>2596</v>
      </c>
      <c r="V260">
        <v>88</v>
      </c>
      <c r="W260">
        <v>25</v>
      </c>
      <c r="X260">
        <v>548.91999999999996</v>
      </c>
      <c r="Y260">
        <v>402.65</v>
      </c>
      <c r="Z260">
        <v>951.56999999999994</v>
      </c>
      <c r="AA260" t="s">
        <v>63</v>
      </c>
      <c r="AB260">
        <v>0</v>
      </c>
      <c r="AC260">
        <v>86.47</v>
      </c>
      <c r="AD260">
        <v>499</v>
      </c>
      <c r="AE260">
        <v>494</v>
      </c>
    </row>
    <row r="261" spans="1:31" x14ac:dyDescent="0.25">
      <c r="A261" t="s">
        <v>1452</v>
      </c>
      <c r="B261" t="s">
        <v>1453</v>
      </c>
      <c r="C261" s="1">
        <v>44118</v>
      </c>
      <c r="D261" s="1">
        <v>44108</v>
      </c>
      <c r="E261" t="s">
        <v>50</v>
      </c>
      <c r="F261" t="s">
        <v>34</v>
      </c>
      <c r="G261" t="s">
        <v>115</v>
      </c>
      <c r="H261" t="s">
        <v>53</v>
      </c>
      <c r="I261" t="s">
        <v>1454</v>
      </c>
      <c r="J261" t="s">
        <v>38</v>
      </c>
      <c r="K261" t="s">
        <v>83</v>
      </c>
      <c r="L261" t="s">
        <v>1455</v>
      </c>
      <c r="M261">
        <v>267.22000000000003</v>
      </c>
      <c r="N261">
        <v>63</v>
      </c>
      <c r="O261" t="s">
        <v>1456</v>
      </c>
      <c r="P261" t="s">
        <v>42</v>
      </c>
      <c r="Q261" t="s">
        <v>455</v>
      </c>
      <c r="R261" t="s">
        <v>61</v>
      </c>
      <c r="S261" t="s">
        <v>89</v>
      </c>
      <c r="T261" t="s">
        <v>1194</v>
      </c>
      <c r="U261">
        <v>4474</v>
      </c>
      <c r="V261">
        <v>475</v>
      </c>
      <c r="W261">
        <v>16</v>
      </c>
      <c r="X261">
        <v>578.17999999999995</v>
      </c>
      <c r="Y261">
        <v>60.19</v>
      </c>
      <c r="Z261">
        <v>638.36999999999989</v>
      </c>
      <c r="AA261" t="s">
        <v>63</v>
      </c>
      <c r="AB261">
        <v>0</v>
      </c>
      <c r="AC261">
        <v>71.73</v>
      </c>
      <c r="AD261">
        <v>52</v>
      </c>
      <c r="AE261">
        <v>29</v>
      </c>
    </row>
    <row r="262" spans="1:31" x14ac:dyDescent="0.25">
      <c r="A262" t="s">
        <v>1457</v>
      </c>
      <c r="B262" t="s">
        <v>1458</v>
      </c>
      <c r="C262" s="1">
        <v>44697</v>
      </c>
      <c r="D262" s="1">
        <v>44688</v>
      </c>
      <c r="E262" t="s">
        <v>50</v>
      </c>
      <c r="F262" t="s">
        <v>147</v>
      </c>
      <c r="G262" t="s">
        <v>35</v>
      </c>
      <c r="H262" t="s">
        <v>68</v>
      </c>
      <c r="I262" t="s">
        <v>1459</v>
      </c>
      <c r="J262" t="s">
        <v>55</v>
      </c>
      <c r="K262" t="s">
        <v>56</v>
      </c>
      <c r="L262" t="s">
        <v>1460</v>
      </c>
      <c r="M262">
        <v>303.39</v>
      </c>
      <c r="N262">
        <v>12</v>
      </c>
      <c r="O262" t="s">
        <v>1461</v>
      </c>
      <c r="P262" t="s">
        <v>59</v>
      </c>
      <c r="Q262" t="s">
        <v>328</v>
      </c>
      <c r="R262" t="s">
        <v>88</v>
      </c>
      <c r="S262" t="s">
        <v>101</v>
      </c>
      <c r="T262" t="s">
        <v>737</v>
      </c>
      <c r="U262">
        <v>3876</v>
      </c>
      <c r="V262">
        <v>231</v>
      </c>
      <c r="W262">
        <v>21</v>
      </c>
      <c r="X262">
        <v>1484.93</v>
      </c>
      <c r="Y262">
        <v>492.6</v>
      </c>
      <c r="Z262">
        <v>1977.53</v>
      </c>
      <c r="AA262" t="s">
        <v>63</v>
      </c>
      <c r="AB262">
        <v>0</v>
      </c>
      <c r="AC262">
        <v>80.650000000000006</v>
      </c>
      <c r="AD262">
        <v>265</v>
      </c>
      <c r="AE262">
        <v>298</v>
      </c>
    </row>
    <row r="263" spans="1:31" x14ac:dyDescent="0.25">
      <c r="A263" t="s">
        <v>1462</v>
      </c>
      <c r="B263" t="s">
        <v>1463</v>
      </c>
      <c r="C263" s="1">
        <v>45045</v>
      </c>
      <c r="D263" s="1">
        <v>44799</v>
      </c>
      <c r="E263" t="s">
        <v>66</v>
      </c>
      <c r="F263" t="s">
        <v>78</v>
      </c>
      <c r="G263" t="s">
        <v>94</v>
      </c>
      <c r="H263" t="s">
        <v>218</v>
      </c>
      <c r="I263" t="s">
        <v>1464</v>
      </c>
      <c r="J263" t="s">
        <v>96</v>
      </c>
      <c r="K263" t="s">
        <v>56</v>
      </c>
      <c r="L263" t="s">
        <v>1465</v>
      </c>
      <c r="M263">
        <v>469.48</v>
      </c>
      <c r="N263">
        <v>9</v>
      </c>
      <c r="O263" t="s">
        <v>1466</v>
      </c>
      <c r="P263" t="s">
        <v>142</v>
      </c>
      <c r="Q263" t="s">
        <v>514</v>
      </c>
      <c r="R263" t="s">
        <v>44</v>
      </c>
      <c r="S263" t="s">
        <v>89</v>
      </c>
      <c r="T263" t="s">
        <v>415</v>
      </c>
      <c r="U263">
        <v>2965</v>
      </c>
      <c r="V263">
        <v>96</v>
      </c>
      <c r="W263">
        <v>29</v>
      </c>
      <c r="X263">
        <v>622.08000000000004</v>
      </c>
      <c r="Y263">
        <v>402.57</v>
      </c>
      <c r="Z263">
        <v>1024.6500000000001</v>
      </c>
      <c r="AA263" t="s">
        <v>63</v>
      </c>
      <c r="AB263">
        <v>0</v>
      </c>
      <c r="AC263">
        <v>85.37</v>
      </c>
      <c r="AD263">
        <v>64</v>
      </c>
      <c r="AE263">
        <v>105</v>
      </c>
    </row>
    <row r="264" spans="1:31" x14ac:dyDescent="0.25">
      <c r="A264" t="s">
        <v>1467</v>
      </c>
      <c r="B264" t="s">
        <v>1468</v>
      </c>
      <c r="C264" s="1">
        <v>44065</v>
      </c>
      <c r="D264" s="1">
        <v>44528</v>
      </c>
      <c r="E264" t="s">
        <v>66</v>
      </c>
      <c r="F264" t="s">
        <v>147</v>
      </c>
      <c r="G264" t="s">
        <v>79</v>
      </c>
      <c r="H264" t="s">
        <v>36</v>
      </c>
      <c r="I264" t="s">
        <v>1469</v>
      </c>
      <c r="J264" t="s">
        <v>107</v>
      </c>
      <c r="K264" t="s">
        <v>39</v>
      </c>
      <c r="L264" t="s">
        <v>1470</v>
      </c>
      <c r="M264">
        <v>191.71</v>
      </c>
      <c r="N264">
        <v>86</v>
      </c>
      <c r="O264" t="s">
        <v>1471</v>
      </c>
      <c r="P264" t="s">
        <v>142</v>
      </c>
      <c r="Q264" t="s">
        <v>73</v>
      </c>
      <c r="R264" t="s">
        <v>44</v>
      </c>
      <c r="S264" t="s">
        <v>74</v>
      </c>
      <c r="T264" t="s">
        <v>190</v>
      </c>
      <c r="U264">
        <v>3139</v>
      </c>
      <c r="V264">
        <v>351</v>
      </c>
      <c r="W264">
        <v>29</v>
      </c>
      <c r="X264">
        <v>540.75</v>
      </c>
      <c r="Y264">
        <v>340.48</v>
      </c>
      <c r="Z264">
        <v>881.23</v>
      </c>
      <c r="AA264" t="s">
        <v>63</v>
      </c>
      <c r="AB264">
        <v>0</v>
      </c>
      <c r="AC264">
        <v>95.85</v>
      </c>
      <c r="AD264">
        <v>204</v>
      </c>
      <c r="AE264">
        <v>170</v>
      </c>
    </row>
    <row r="265" spans="1:31" x14ac:dyDescent="0.25">
      <c r="A265" t="s">
        <v>1472</v>
      </c>
      <c r="B265" t="s">
        <v>1473</v>
      </c>
      <c r="C265" s="1">
        <v>45007</v>
      </c>
      <c r="D265" s="1">
        <v>44286</v>
      </c>
      <c r="E265" t="s">
        <v>50</v>
      </c>
      <c r="F265" t="s">
        <v>51</v>
      </c>
      <c r="G265" t="s">
        <v>337</v>
      </c>
      <c r="H265" t="s">
        <v>218</v>
      </c>
      <c r="I265" t="s">
        <v>1474</v>
      </c>
      <c r="J265" t="s">
        <v>107</v>
      </c>
      <c r="K265" t="s">
        <v>56</v>
      </c>
      <c r="L265" t="s">
        <v>1475</v>
      </c>
      <c r="M265">
        <v>445.35</v>
      </c>
      <c r="N265">
        <v>66</v>
      </c>
      <c r="O265" t="s">
        <v>1476</v>
      </c>
      <c r="P265" t="s">
        <v>110</v>
      </c>
      <c r="Q265" t="s">
        <v>60</v>
      </c>
      <c r="R265" t="s">
        <v>153</v>
      </c>
      <c r="S265" t="s">
        <v>45</v>
      </c>
      <c r="T265" t="s">
        <v>121</v>
      </c>
      <c r="U265">
        <v>2976</v>
      </c>
      <c r="V265">
        <v>307</v>
      </c>
      <c r="W265">
        <v>17</v>
      </c>
      <c r="X265">
        <v>1728.3</v>
      </c>
      <c r="Y265">
        <v>384.37</v>
      </c>
      <c r="Z265">
        <v>2112.67</v>
      </c>
      <c r="AA265" t="s">
        <v>47</v>
      </c>
      <c r="AB265">
        <v>1</v>
      </c>
      <c r="AC265">
        <v>99.21</v>
      </c>
      <c r="AD265">
        <v>397</v>
      </c>
      <c r="AE265">
        <v>357</v>
      </c>
    </row>
    <row r="266" spans="1:31" x14ac:dyDescent="0.25">
      <c r="A266" t="s">
        <v>1477</v>
      </c>
      <c r="B266" t="s">
        <v>1478</v>
      </c>
      <c r="C266" s="1">
        <v>44428</v>
      </c>
      <c r="D266" s="1">
        <v>45240</v>
      </c>
      <c r="E266" t="s">
        <v>66</v>
      </c>
      <c r="F266" t="s">
        <v>147</v>
      </c>
      <c r="G266" t="s">
        <v>105</v>
      </c>
      <c r="H266" t="s">
        <v>68</v>
      </c>
      <c r="I266" t="s">
        <v>1479</v>
      </c>
      <c r="J266" t="s">
        <v>55</v>
      </c>
      <c r="K266" t="s">
        <v>97</v>
      </c>
      <c r="L266" t="s">
        <v>1480</v>
      </c>
      <c r="M266">
        <v>416.73</v>
      </c>
      <c r="N266">
        <v>55</v>
      </c>
      <c r="O266" t="s">
        <v>1481</v>
      </c>
      <c r="P266" t="s">
        <v>59</v>
      </c>
      <c r="Q266" t="s">
        <v>926</v>
      </c>
      <c r="R266" t="s">
        <v>61</v>
      </c>
      <c r="S266" t="s">
        <v>45</v>
      </c>
      <c r="T266" t="s">
        <v>262</v>
      </c>
      <c r="U266">
        <v>3139</v>
      </c>
      <c r="V266">
        <v>426</v>
      </c>
      <c r="W266">
        <v>26</v>
      </c>
      <c r="X266">
        <v>462.45</v>
      </c>
      <c r="Y266">
        <v>57.85</v>
      </c>
      <c r="Z266">
        <v>520.29999999999995</v>
      </c>
      <c r="AA266" t="s">
        <v>47</v>
      </c>
      <c r="AB266">
        <v>14</v>
      </c>
      <c r="AC266">
        <v>84.13</v>
      </c>
      <c r="AD266">
        <v>141</v>
      </c>
      <c r="AE266">
        <v>99</v>
      </c>
    </row>
    <row r="267" spans="1:31" x14ac:dyDescent="0.25">
      <c r="A267" t="s">
        <v>1482</v>
      </c>
      <c r="B267" t="s">
        <v>1483</v>
      </c>
      <c r="C267" s="1">
        <v>45223</v>
      </c>
      <c r="D267" s="1">
        <v>44791</v>
      </c>
      <c r="E267" t="s">
        <v>66</v>
      </c>
      <c r="F267" t="s">
        <v>93</v>
      </c>
      <c r="G267" t="s">
        <v>35</v>
      </c>
      <c r="H267" t="s">
        <v>80</v>
      </c>
      <c r="I267" t="s">
        <v>1484</v>
      </c>
      <c r="J267" t="s">
        <v>82</v>
      </c>
      <c r="K267" t="s">
        <v>83</v>
      </c>
      <c r="L267" t="s">
        <v>1485</v>
      </c>
      <c r="M267">
        <v>173.54</v>
      </c>
      <c r="N267">
        <v>81</v>
      </c>
      <c r="O267" t="s">
        <v>308</v>
      </c>
      <c r="P267" t="s">
        <v>142</v>
      </c>
      <c r="Q267" t="s">
        <v>514</v>
      </c>
      <c r="R267" t="s">
        <v>44</v>
      </c>
      <c r="S267" t="s">
        <v>74</v>
      </c>
      <c r="T267" t="s">
        <v>235</v>
      </c>
      <c r="U267">
        <v>2072</v>
      </c>
      <c r="V267">
        <v>330</v>
      </c>
      <c r="W267">
        <v>20</v>
      </c>
      <c r="X267">
        <v>1515.71</v>
      </c>
      <c r="Y267">
        <v>50.61</v>
      </c>
      <c r="Z267">
        <v>1566.32</v>
      </c>
      <c r="AA267" t="s">
        <v>63</v>
      </c>
      <c r="AB267">
        <v>0</v>
      </c>
      <c r="AC267">
        <v>76.040000000000006</v>
      </c>
      <c r="AD267">
        <v>375</v>
      </c>
      <c r="AE267">
        <v>346</v>
      </c>
    </row>
    <row r="268" spans="1:31" x14ac:dyDescent="0.25">
      <c r="A268" t="s">
        <v>1486</v>
      </c>
      <c r="B268" t="s">
        <v>1487</v>
      </c>
      <c r="C268" s="1">
        <v>45005</v>
      </c>
      <c r="D268" s="1">
        <v>43991</v>
      </c>
      <c r="E268" t="s">
        <v>66</v>
      </c>
      <c r="F268" t="s">
        <v>93</v>
      </c>
      <c r="G268" t="s">
        <v>35</v>
      </c>
      <c r="H268" t="s">
        <v>116</v>
      </c>
      <c r="I268" t="s">
        <v>1488</v>
      </c>
      <c r="J268" t="s">
        <v>38</v>
      </c>
      <c r="K268" t="s">
        <v>70</v>
      </c>
      <c r="L268" t="s">
        <v>1489</v>
      </c>
      <c r="M268">
        <v>432.25</v>
      </c>
      <c r="N268">
        <v>47</v>
      </c>
      <c r="O268" t="s">
        <v>1490</v>
      </c>
      <c r="P268" t="s">
        <v>142</v>
      </c>
      <c r="Q268" t="s">
        <v>175</v>
      </c>
      <c r="R268" t="s">
        <v>88</v>
      </c>
      <c r="S268" t="s">
        <v>45</v>
      </c>
      <c r="T268" t="s">
        <v>303</v>
      </c>
      <c r="U268">
        <v>1849</v>
      </c>
      <c r="V268">
        <v>493</v>
      </c>
      <c r="W268">
        <v>7</v>
      </c>
      <c r="X268">
        <v>1361.42</v>
      </c>
      <c r="Y268">
        <v>222.7</v>
      </c>
      <c r="Z268">
        <v>1584.12</v>
      </c>
      <c r="AA268" t="s">
        <v>63</v>
      </c>
      <c r="AB268">
        <v>0</v>
      </c>
      <c r="AC268">
        <v>81.34</v>
      </c>
      <c r="AD268">
        <v>454</v>
      </c>
      <c r="AE268">
        <v>445</v>
      </c>
    </row>
    <row r="269" spans="1:31" x14ac:dyDescent="0.25">
      <c r="A269" t="s">
        <v>1491</v>
      </c>
      <c r="B269" t="s">
        <v>1492</v>
      </c>
      <c r="C269" s="1">
        <v>45213</v>
      </c>
      <c r="D269" s="1">
        <v>43897</v>
      </c>
      <c r="E269" t="s">
        <v>66</v>
      </c>
      <c r="F269" t="s">
        <v>93</v>
      </c>
      <c r="G269" t="s">
        <v>105</v>
      </c>
      <c r="H269" t="s">
        <v>218</v>
      </c>
      <c r="I269" t="s">
        <v>1493</v>
      </c>
      <c r="J269" t="s">
        <v>82</v>
      </c>
      <c r="K269" t="s">
        <v>39</v>
      </c>
      <c r="L269" t="s">
        <v>1494</v>
      </c>
      <c r="M269">
        <v>475.08</v>
      </c>
      <c r="N269">
        <v>63</v>
      </c>
      <c r="O269" t="s">
        <v>1495</v>
      </c>
      <c r="P269" t="s">
        <v>59</v>
      </c>
      <c r="Q269" t="s">
        <v>234</v>
      </c>
      <c r="R269" t="s">
        <v>153</v>
      </c>
      <c r="S269" t="s">
        <v>101</v>
      </c>
      <c r="T269" t="s">
        <v>176</v>
      </c>
      <c r="U269">
        <v>4734</v>
      </c>
      <c r="V269">
        <v>342</v>
      </c>
      <c r="W269">
        <v>7</v>
      </c>
      <c r="X269">
        <v>1054.43</v>
      </c>
      <c r="Y269">
        <v>72.52</v>
      </c>
      <c r="Z269">
        <v>1126.95</v>
      </c>
      <c r="AA269" t="s">
        <v>63</v>
      </c>
      <c r="AB269">
        <v>0</v>
      </c>
      <c r="AC269">
        <v>78.94</v>
      </c>
      <c r="AD269">
        <v>132</v>
      </c>
      <c r="AE269">
        <v>98</v>
      </c>
    </row>
    <row r="270" spans="1:31" x14ac:dyDescent="0.25">
      <c r="A270" t="s">
        <v>1496</v>
      </c>
      <c r="B270" t="s">
        <v>1497</v>
      </c>
      <c r="C270" s="1">
        <v>44304</v>
      </c>
      <c r="D270" s="1">
        <v>45480</v>
      </c>
      <c r="E270" t="s">
        <v>66</v>
      </c>
      <c r="F270" t="s">
        <v>34</v>
      </c>
      <c r="G270" t="s">
        <v>337</v>
      </c>
      <c r="H270" t="s">
        <v>53</v>
      </c>
      <c r="I270" t="s">
        <v>1498</v>
      </c>
      <c r="J270" t="s">
        <v>55</v>
      </c>
      <c r="K270" t="s">
        <v>56</v>
      </c>
      <c r="L270" t="s">
        <v>1499</v>
      </c>
      <c r="M270">
        <v>30.12</v>
      </c>
      <c r="N270">
        <v>32</v>
      </c>
      <c r="O270" t="s">
        <v>1500</v>
      </c>
      <c r="P270" t="s">
        <v>142</v>
      </c>
      <c r="Q270" t="s">
        <v>135</v>
      </c>
      <c r="R270" t="s">
        <v>61</v>
      </c>
      <c r="S270" t="s">
        <v>128</v>
      </c>
      <c r="T270" t="s">
        <v>815</v>
      </c>
      <c r="U270">
        <v>1408</v>
      </c>
      <c r="V270">
        <v>115</v>
      </c>
      <c r="W270">
        <v>18</v>
      </c>
      <c r="X270">
        <v>1216.07</v>
      </c>
      <c r="Y270">
        <v>463.02</v>
      </c>
      <c r="Z270">
        <v>1679.09</v>
      </c>
      <c r="AA270" t="s">
        <v>63</v>
      </c>
      <c r="AB270">
        <v>0</v>
      </c>
      <c r="AC270">
        <v>93.76</v>
      </c>
      <c r="AD270">
        <v>489</v>
      </c>
      <c r="AE270">
        <v>452</v>
      </c>
    </row>
    <row r="271" spans="1:31" x14ac:dyDescent="0.25">
      <c r="A271" t="s">
        <v>1501</v>
      </c>
      <c r="B271" t="s">
        <v>1502</v>
      </c>
      <c r="C271" s="1">
        <v>45430</v>
      </c>
      <c r="D271" s="1">
        <v>44259</v>
      </c>
      <c r="E271" t="s">
        <v>66</v>
      </c>
      <c r="F271" t="s">
        <v>51</v>
      </c>
      <c r="G271" t="s">
        <v>115</v>
      </c>
      <c r="H271" t="s">
        <v>148</v>
      </c>
      <c r="I271" t="s">
        <v>1503</v>
      </c>
      <c r="J271" t="s">
        <v>96</v>
      </c>
      <c r="K271" t="s">
        <v>56</v>
      </c>
      <c r="L271" t="s">
        <v>1504</v>
      </c>
      <c r="M271">
        <v>493.07</v>
      </c>
      <c r="N271">
        <v>81</v>
      </c>
      <c r="O271" t="s">
        <v>1505</v>
      </c>
      <c r="P271" t="s">
        <v>42</v>
      </c>
      <c r="Q271" t="s">
        <v>529</v>
      </c>
      <c r="R271" t="s">
        <v>88</v>
      </c>
      <c r="S271" t="s">
        <v>45</v>
      </c>
      <c r="T271" t="s">
        <v>46</v>
      </c>
      <c r="U271">
        <v>4156</v>
      </c>
      <c r="V271">
        <v>420</v>
      </c>
      <c r="W271">
        <v>4</v>
      </c>
      <c r="X271">
        <v>1147.3499999999999</v>
      </c>
      <c r="Y271">
        <v>423.92</v>
      </c>
      <c r="Z271">
        <v>1571.27</v>
      </c>
      <c r="AA271" t="s">
        <v>63</v>
      </c>
      <c r="AB271">
        <v>0</v>
      </c>
      <c r="AC271">
        <v>74.25</v>
      </c>
      <c r="AD271">
        <v>93</v>
      </c>
      <c r="AE271">
        <v>43</v>
      </c>
    </row>
    <row r="272" spans="1:31" x14ac:dyDescent="0.25">
      <c r="A272" t="s">
        <v>1506</v>
      </c>
      <c r="B272" t="s">
        <v>1507</v>
      </c>
      <c r="C272" s="1">
        <v>44061</v>
      </c>
      <c r="D272" s="1">
        <v>43849</v>
      </c>
      <c r="E272" t="s">
        <v>33</v>
      </c>
      <c r="F272" t="s">
        <v>78</v>
      </c>
      <c r="G272" t="s">
        <v>35</v>
      </c>
      <c r="H272" t="s">
        <v>53</v>
      </c>
      <c r="I272" t="s">
        <v>1508</v>
      </c>
      <c r="J272" t="s">
        <v>38</v>
      </c>
      <c r="K272" t="s">
        <v>70</v>
      </c>
      <c r="L272" t="s">
        <v>1509</v>
      </c>
      <c r="M272">
        <v>435.59</v>
      </c>
      <c r="N272">
        <v>52</v>
      </c>
      <c r="O272" t="s">
        <v>1510</v>
      </c>
      <c r="P272" t="s">
        <v>110</v>
      </c>
      <c r="Q272" t="s">
        <v>43</v>
      </c>
      <c r="R272" t="s">
        <v>153</v>
      </c>
      <c r="S272" t="s">
        <v>101</v>
      </c>
      <c r="T272" t="s">
        <v>112</v>
      </c>
      <c r="U272">
        <v>2643</v>
      </c>
      <c r="V272">
        <v>416</v>
      </c>
      <c r="W272">
        <v>19</v>
      </c>
      <c r="X272">
        <v>1403.83</v>
      </c>
      <c r="Y272">
        <v>261.3</v>
      </c>
      <c r="Z272">
        <v>1665.13</v>
      </c>
      <c r="AA272" t="s">
        <v>63</v>
      </c>
      <c r="AB272">
        <v>0</v>
      </c>
      <c r="AC272">
        <v>73.540000000000006</v>
      </c>
      <c r="AD272">
        <v>59</v>
      </c>
      <c r="AE272">
        <v>96</v>
      </c>
    </row>
    <row r="273" spans="1:31" x14ac:dyDescent="0.25">
      <c r="A273" t="s">
        <v>1511</v>
      </c>
      <c r="B273" t="s">
        <v>1512</v>
      </c>
      <c r="C273" s="1">
        <v>45303</v>
      </c>
      <c r="D273" s="1">
        <v>45473</v>
      </c>
      <c r="E273" t="s">
        <v>66</v>
      </c>
      <c r="F273" t="s">
        <v>147</v>
      </c>
      <c r="G273" t="s">
        <v>52</v>
      </c>
      <c r="H273" t="s">
        <v>36</v>
      </c>
      <c r="I273" t="s">
        <v>1513</v>
      </c>
      <c r="J273" t="s">
        <v>55</v>
      </c>
      <c r="K273" t="s">
        <v>83</v>
      </c>
      <c r="L273" t="s">
        <v>1514</v>
      </c>
      <c r="M273">
        <v>225.36</v>
      </c>
      <c r="N273">
        <v>25</v>
      </c>
      <c r="O273" t="s">
        <v>1515</v>
      </c>
      <c r="P273" t="s">
        <v>110</v>
      </c>
      <c r="Q273" t="s">
        <v>541</v>
      </c>
      <c r="R273" t="s">
        <v>44</v>
      </c>
      <c r="S273" t="s">
        <v>128</v>
      </c>
      <c r="T273" t="s">
        <v>933</v>
      </c>
      <c r="U273">
        <v>4502</v>
      </c>
      <c r="V273">
        <v>461</v>
      </c>
      <c r="W273">
        <v>6</v>
      </c>
      <c r="X273">
        <v>1424.26</v>
      </c>
      <c r="Y273">
        <v>460.25</v>
      </c>
      <c r="Z273">
        <v>1884.51</v>
      </c>
      <c r="AA273" t="s">
        <v>63</v>
      </c>
      <c r="AB273">
        <v>0</v>
      </c>
      <c r="AC273">
        <v>70.52</v>
      </c>
      <c r="AD273">
        <v>331</v>
      </c>
      <c r="AE273">
        <v>292</v>
      </c>
    </row>
    <row r="274" spans="1:31" x14ac:dyDescent="0.25">
      <c r="A274" t="s">
        <v>1516</v>
      </c>
      <c r="B274" t="s">
        <v>1070</v>
      </c>
      <c r="C274" s="1">
        <v>45595</v>
      </c>
      <c r="D274" s="1">
        <v>44650</v>
      </c>
      <c r="E274" t="s">
        <v>50</v>
      </c>
      <c r="F274" t="s">
        <v>78</v>
      </c>
      <c r="G274" t="s">
        <v>52</v>
      </c>
      <c r="H274" t="s">
        <v>116</v>
      </c>
      <c r="I274" t="s">
        <v>1517</v>
      </c>
      <c r="J274" t="s">
        <v>82</v>
      </c>
      <c r="K274" t="s">
        <v>97</v>
      </c>
      <c r="L274" t="s">
        <v>1518</v>
      </c>
      <c r="M274">
        <v>189.78</v>
      </c>
      <c r="N274">
        <v>7</v>
      </c>
      <c r="O274" t="s">
        <v>1490</v>
      </c>
      <c r="P274" t="s">
        <v>59</v>
      </c>
      <c r="Q274" t="s">
        <v>202</v>
      </c>
      <c r="R274" t="s">
        <v>153</v>
      </c>
      <c r="S274" t="s">
        <v>128</v>
      </c>
      <c r="T274" t="s">
        <v>365</v>
      </c>
      <c r="U274">
        <v>1955</v>
      </c>
      <c r="V274">
        <v>89</v>
      </c>
      <c r="W274">
        <v>20</v>
      </c>
      <c r="X274">
        <v>436.09</v>
      </c>
      <c r="Y274">
        <v>158.94999999999999</v>
      </c>
      <c r="Z274">
        <v>595.04</v>
      </c>
      <c r="AA274" t="s">
        <v>63</v>
      </c>
      <c r="AB274">
        <v>0</v>
      </c>
      <c r="AC274">
        <v>92.32</v>
      </c>
      <c r="AD274">
        <v>112</v>
      </c>
      <c r="AE274">
        <v>151</v>
      </c>
    </row>
    <row r="275" spans="1:31" x14ac:dyDescent="0.25">
      <c r="A275" t="s">
        <v>1519</v>
      </c>
      <c r="B275" t="s">
        <v>1520</v>
      </c>
      <c r="C275" s="1">
        <v>44525</v>
      </c>
      <c r="D275" s="1">
        <v>44537</v>
      </c>
      <c r="E275" t="s">
        <v>50</v>
      </c>
      <c r="F275" t="s">
        <v>51</v>
      </c>
      <c r="G275" t="s">
        <v>115</v>
      </c>
      <c r="H275" t="s">
        <v>148</v>
      </c>
      <c r="I275" t="s">
        <v>1521</v>
      </c>
      <c r="J275" t="s">
        <v>107</v>
      </c>
      <c r="K275" t="s">
        <v>83</v>
      </c>
      <c r="L275" t="s">
        <v>1522</v>
      </c>
      <c r="M275">
        <v>243.41</v>
      </c>
      <c r="N275">
        <v>29</v>
      </c>
      <c r="O275" t="s">
        <v>1523</v>
      </c>
      <c r="P275" t="s">
        <v>110</v>
      </c>
      <c r="Q275" t="s">
        <v>202</v>
      </c>
      <c r="R275" t="s">
        <v>44</v>
      </c>
      <c r="S275" t="s">
        <v>45</v>
      </c>
      <c r="T275" t="s">
        <v>62</v>
      </c>
      <c r="U275">
        <v>3216</v>
      </c>
      <c r="V275">
        <v>474</v>
      </c>
      <c r="W275">
        <v>15</v>
      </c>
      <c r="X275">
        <v>375.05</v>
      </c>
      <c r="Y275">
        <v>260.75</v>
      </c>
      <c r="Z275">
        <v>635.79999999999995</v>
      </c>
      <c r="AA275" t="s">
        <v>63</v>
      </c>
      <c r="AB275">
        <v>0</v>
      </c>
      <c r="AC275">
        <v>74.52</v>
      </c>
      <c r="AD275">
        <v>73</v>
      </c>
      <c r="AE275">
        <v>35</v>
      </c>
    </row>
    <row r="276" spans="1:31" x14ac:dyDescent="0.25">
      <c r="A276" t="s">
        <v>1524</v>
      </c>
      <c r="B276" t="s">
        <v>1525</v>
      </c>
      <c r="C276" s="1">
        <v>44830</v>
      </c>
      <c r="D276" s="1">
        <v>44221</v>
      </c>
      <c r="E276" t="s">
        <v>66</v>
      </c>
      <c r="F276" t="s">
        <v>51</v>
      </c>
      <c r="G276" t="s">
        <v>35</v>
      </c>
      <c r="H276" t="s">
        <v>164</v>
      </c>
      <c r="I276" t="s">
        <v>1526</v>
      </c>
      <c r="J276" t="s">
        <v>96</v>
      </c>
      <c r="K276" t="s">
        <v>83</v>
      </c>
      <c r="L276" t="s">
        <v>1527</v>
      </c>
      <c r="M276">
        <v>480.17</v>
      </c>
      <c r="N276">
        <v>10</v>
      </c>
      <c r="O276" t="s">
        <v>1528</v>
      </c>
      <c r="P276" t="s">
        <v>59</v>
      </c>
      <c r="Q276" t="s">
        <v>152</v>
      </c>
      <c r="R276" t="s">
        <v>88</v>
      </c>
      <c r="S276" t="s">
        <v>89</v>
      </c>
      <c r="T276" t="s">
        <v>316</v>
      </c>
      <c r="U276">
        <v>2878</v>
      </c>
      <c r="V276">
        <v>214</v>
      </c>
      <c r="W276">
        <v>13</v>
      </c>
      <c r="X276">
        <v>1121.93</v>
      </c>
      <c r="Y276">
        <v>499.11</v>
      </c>
      <c r="Z276">
        <v>1621.04</v>
      </c>
      <c r="AA276" t="s">
        <v>63</v>
      </c>
      <c r="AB276">
        <v>0</v>
      </c>
      <c r="AC276">
        <v>71.38</v>
      </c>
      <c r="AD276">
        <v>321</v>
      </c>
      <c r="AE276">
        <v>362</v>
      </c>
    </row>
    <row r="277" spans="1:31" x14ac:dyDescent="0.25">
      <c r="A277" t="s">
        <v>1529</v>
      </c>
      <c r="B277" t="s">
        <v>1530</v>
      </c>
      <c r="C277" s="1">
        <v>44506</v>
      </c>
      <c r="D277" s="1">
        <v>45605</v>
      </c>
      <c r="E277" t="s">
        <v>50</v>
      </c>
      <c r="F277" t="s">
        <v>34</v>
      </c>
      <c r="G277" t="s">
        <v>115</v>
      </c>
      <c r="H277" t="s">
        <v>80</v>
      </c>
      <c r="I277" t="s">
        <v>1531</v>
      </c>
      <c r="J277" t="s">
        <v>107</v>
      </c>
      <c r="K277" t="s">
        <v>56</v>
      </c>
      <c r="L277" t="s">
        <v>1532</v>
      </c>
      <c r="M277">
        <v>405.04</v>
      </c>
      <c r="N277">
        <v>93</v>
      </c>
      <c r="O277" t="s">
        <v>1461</v>
      </c>
      <c r="P277" t="s">
        <v>59</v>
      </c>
      <c r="Q277" t="s">
        <v>60</v>
      </c>
      <c r="R277" t="s">
        <v>61</v>
      </c>
      <c r="S277" t="s">
        <v>128</v>
      </c>
      <c r="T277" t="s">
        <v>1339</v>
      </c>
      <c r="U277">
        <v>4741</v>
      </c>
      <c r="V277">
        <v>231</v>
      </c>
      <c r="W277">
        <v>10</v>
      </c>
      <c r="X277">
        <v>1939.53</v>
      </c>
      <c r="Y277">
        <v>42.61</v>
      </c>
      <c r="Z277">
        <v>1982.14</v>
      </c>
      <c r="AA277" t="s">
        <v>63</v>
      </c>
      <c r="AB277">
        <v>0</v>
      </c>
      <c r="AC277">
        <v>75.05</v>
      </c>
      <c r="AD277">
        <v>449</v>
      </c>
      <c r="AE277">
        <v>483</v>
      </c>
    </row>
    <row r="278" spans="1:31" x14ac:dyDescent="0.25">
      <c r="A278" t="s">
        <v>1533</v>
      </c>
      <c r="B278" t="s">
        <v>1534</v>
      </c>
      <c r="C278" s="1">
        <v>45065</v>
      </c>
      <c r="D278" s="1">
        <v>44667</v>
      </c>
      <c r="E278" t="s">
        <v>33</v>
      </c>
      <c r="F278" t="s">
        <v>51</v>
      </c>
      <c r="G278" t="s">
        <v>79</v>
      </c>
      <c r="H278" t="s">
        <v>53</v>
      </c>
      <c r="I278" t="s">
        <v>1535</v>
      </c>
      <c r="J278" t="s">
        <v>82</v>
      </c>
      <c r="K278" t="s">
        <v>56</v>
      </c>
      <c r="L278" t="s">
        <v>1536</v>
      </c>
      <c r="M278">
        <v>325.02</v>
      </c>
      <c r="N278">
        <v>30</v>
      </c>
      <c r="O278" t="s">
        <v>1537</v>
      </c>
      <c r="P278" t="s">
        <v>42</v>
      </c>
      <c r="Q278" t="s">
        <v>371</v>
      </c>
      <c r="R278" t="s">
        <v>88</v>
      </c>
      <c r="S278" t="s">
        <v>128</v>
      </c>
      <c r="T278" t="s">
        <v>636</v>
      </c>
      <c r="U278">
        <v>2800</v>
      </c>
      <c r="V278">
        <v>248</v>
      </c>
      <c r="W278">
        <v>12</v>
      </c>
      <c r="X278">
        <v>527.46</v>
      </c>
      <c r="Y278">
        <v>339.63</v>
      </c>
      <c r="Z278">
        <v>867.09</v>
      </c>
      <c r="AA278" t="s">
        <v>63</v>
      </c>
      <c r="AB278">
        <v>0</v>
      </c>
      <c r="AC278">
        <v>73.89</v>
      </c>
      <c r="AD278">
        <v>418</v>
      </c>
      <c r="AE278">
        <v>423</v>
      </c>
    </row>
    <row r="279" spans="1:31" x14ac:dyDescent="0.25">
      <c r="A279" t="s">
        <v>1538</v>
      </c>
      <c r="B279" t="s">
        <v>1539</v>
      </c>
      <c r="C279" s="1">
        <v>45491</v>
      </c>
      <c r="D279" s="1">
        <v>45409</v>
      </c>
      <c r="E279" t="s">
        <v>50</v>
      </c>
      <c r="F279" t="s">
        <v>51</v>
      </c>
      <c r="G279" t="s">
        <v>52</v>
      </c>
      <c r="H279" t="s">
        <v>80</v>
      </c>
      <c r="I279" t="s">
        <v>1540</v>
      </c>
      <c r="J279" t="s">
        <v>96</v>
      </c>
      <c r="K279" t="s">
        <v>39</v>
      </c>
      <c r="L279" t="s">
        <v>1541</v>
      </c>
      <c r="M279">
        <v>211.95</v>
      </c>
      <c r="N279">
        <v>51</v>
      </c>
      <c r="O279" t="s">
        <v>1542</v>
      </c>
      <c r="P279" t="s">
        <v>59</v>
      </c>
      <c r="Q279" t="s">
        <v>926</v>
      </c>
      <c r="R279" t="s">
        <v>61</v>
      </c>
      <c r="S279" t="s">
        <v>74</v>
      </c>
      <c r="T279" t="s">
        <v>196</v>
      </c>
      <c r="U279">
        <v>4698</v>
      </c>
      <c r="V279">
        <v>377</v>
      </c>
      <c r="W279">
        <v>17</v>
      </c>
      <c r="X279">
        <v>383.6</v>
      </c>
      <c r="Y279">
        <v>307.68</v>
      </c>
      <c r="Z279">
        <v>691.28</v>
      </c>
      <c r="AA279" t="s">
        <v>63</v>
      </c>
      <c r="AB279">
        <v>0</v>
      </c>
      <c r="AC279">
        <v>82.64</v>
      </c>
      <c r="AD279">
        <v>464</v>
      </c>
      <c r="AE279">
        <v>419</v>
      </c>
    </row>
    <row r="280" spans="1:31" x14ac:dyDescent="0.25">
      <c r="A280" t="s">
        <v>1543</v>
      </c>
      <c r="B280" t="s">
        <v>1544</v>
      </c>
      <c r="C280" s="1">
        <v>45555</v>
      </c>
      <c r="D280" s="1">
        <v>44720</v>
      </c>
      <c r="E280" t="s">
        <v>66</v>
      </c>
      <c r="F280" t="s">
        <v>51</v>
      </c>
      <c r="G280" t="s">
        <v>115</v>
      </c>
      <c r="H280" t="s">
        <v>53</v>
      </c>
      <c r="I280" t="s">
        <v>1545</v>
      </c>
      <c r="J280" t="s">
        <v>107</v>
      </c>
      <c r="K280" t="s">
        <v>97</v>
      </c>
      <c r="L280" t="s">
        <v>1546</v>
      </c>
      <c r="M280">
        <v>211.08</v>
      </c>
      <c r="N280">
        <v>7</v>
      </c>
      <c r="O280" t="s">
        <v>1547</v>
      </c>
      <c r="P280" t="s">
        <v>110</v>
      </c>
      <c r="Q280" t="s">
        <v>383</v>
      </c>
      <c r="R280" t="s">
        <v>88</v>
      </c>
      <c r="S280" t="s">
        <v>89</v>
      </c>
      <c r="T280" t="s">
        <v>255</v>
      </c>
      <c r="U280">
        <v>4743</v>
      </c>
      <c r="V280">
        <v>53</v>
      </c>
      <c r="W280">
        <v>23</v>
      </c>
      <c r="X280">
        <v>1621.75</v>
      </c>
      <c r="Y280">
        <v>199.73</v>
      </c>
      <c r="Z280">
        <v>1821.48</v>
      </c>
      <c r="AA280" t="s">
        <v>63</v>
      </c>
      <c r="AB280">
        <v>0</v>
      </c>
      <c r="AC280">
        <v>91.3</v>
      </c>
      <c r="AD280">
        <v>123</v>
      </c>
      <c r="AE280">
        <v>90</v>
      </c>
    </row>
    <row r="281" spans="1:31" x14ac:dyDescent="0.25">
      <c r="A281" t="s">
        <v>1548</v>
      </c>
      <c r="B281" t="s">
        <v>1549</v>
      </c>
      <c r="C281" s="1">
        <v>44521</v>
      </c>
      <c r="D281" s="1">
        <v>45004</v>
      </c>
      <c r="E281" t="s">
        <v>66</v>
      </c>
      <c r="F281" t="s">
        <v>51</v>
      </c>
      <c r="G281" t="s">
        <v>337</v>
      </c>
      <c r="H281" t="s">
        <v>116</v>
      </c>
      <c r="I281" t="s">
        <v>1550</v>
      </c>
      <c r="J281" t="s">
        <v>107</v>
      </c>
      <c r="K281" t="s">
        <v>70</v>
      </c>
      <c r="L281" t="s">
        <v>1551</v>
      </c>
      <c r="M281">
        <v>450.76</v>
      </c>
      <c r="N281">
        <v>2</v>
      </c>
      <c r="O281" t="s">
        <v>1552</v>
      </c>
      <c r="P281" t="s">
        <v>142</v>
      </c>
      <c r="Q281" t="s">
        <v>228</v>
      </c>
      <c r="R281" t="s">
        <v>61</v>
      </c>
      <c r="S281" t="s">
        <v>89</v>
      </c>
      <c r="T281" t="s">
        <v>144</v>
      </c>
      <c r="U281">
        <v>747</v>
      </c>
      <c r="V281">
        <v>259</v>
      </c>
      <c r="W281">
        <v>20</v>
      </c>
      <c r="X281">
        <v>489.52</v>
      </c>
      <c r="Y281">
        <v>173.33</v>
      </c>
      <c r="Z281">
        <v>662.85</v>
      </c>
      <c r="AA281" t="s">
        <v>63</v>
      </c>
      <c r="AB281">
        <v>0</v>
      </c>
      <c r="AC281">
        <v>92.26</v>
      </c>
      <c r="AD281">
        <v>301</v>
      </c>
      <c r="AE281">
        <v>254</v>
      </c>
    </row>
    <row r="282" spans="1:31" x14ac:dyDescent="0.25">
      <c r="A282" t="s">
        <v>1553</v>
      </c>
      <c r="B282" t="s">
        <v>1554</v>
      </c>
      <c r="C282" s="1">
        <v>44384</v>
      </c>
      <c r="D282" s="1">
        <v>44422</v>
      </c>
      <c r="E282" t="s">
        <v>66</v>
      </c>
      <c r="F282" t="s">
        <v>147</v>
      </c>
      <c r="G282" t="s">
        <v>52</v>
      </c>
      <c r="H282" t="s">
        <v>116</v>
      </c>
      <c r="I282" t="s">
        <v>1555</v>
      </c>
      <c r="J282" t="s">
        <v>55</v>
      </c>
      <c r="K282" t="s">
        <v>56</v>
      </c>
      <c r="L282" t="s">
        <v>1556</v>
      </c>
      <c r="M282">
        <v>108.24</v>
      </c>
      <c r="N282">
        <v>33</v>
      </c>
      <c r="O282" t="s">
        <v>902</v>
      </c>
      <c r="P282" t="s">
        <v>59</v>
      </c>
      <c r="Q282" t="s">
        <v>135</v>
      </c>
      <c r="R282" t="s">
        <v>44</v>
      </c>
      <c r="S282" t="s">
        <v>74</v>
      </c>
      <c r="T282" t="s">
        <v>183</v>
      </c>
      <c r="U282">
        <v>307</v>
      </c>
      <c r="V282">
        <v>88</v>
      </c>
      <c r="W282">
        <v>5</v>
      </c>
      <c r="X282">
        <v>652.41</v>
      </c>
      <c r="Y282">
        <v>28.53</v>
      </c>
      <c r="Z282">
        <v>680.93999999999994</v>
      </c>
      <c r="AA282" t="s">
        <v>63</v>
      </c>
      <c r="AB282">
        <v>0</v>
      </c>
      <c r="AC282">
        <v>98.29</v>
      </c>
      <c r="AD282">
        <v>151</v>
      </c>
      <c r="AE282">
        <v>118</v>
      </c>
    </row>
    <row r="283" spans="1:31" x14ac:dyDescent="0.25">
      <c r="A283" t="s">
        <v>1557</v>
      </c>
      <c r="B283" t="s">
        <v>1558</v>
      </c>
      <c r="C283" s="1">
        <v>44907</v>
      </c>
      <c r="D283" s="1">
        <v>44743</v>
      </c>
      <c r="E283" t="s">
        <v>33</v>
      </c>
      <c r="F283" t="s">
        <v>34</v>
      </c>
      <c r="G283" t="s">
        <v>105</v>
      </c>
      <c r="H283" t="s">
        <v>80</v>
      </c>
      <c r="I283" t="s">
        <v>1559</v>
      </c>
      <c r="J283" t="s">
        <v>55</v>
      </c>
      <c r="K283" t="s">
        <v>39</v>
      </c>
      <c r="L283" t="s">
        <v>1560</v>
      </c>
      <c r="M283">
        <v>264.10000000000002</v>
      </c>
      <c r="N283">
        <v>39</v>
      </c>
      <c r="O283" t="s">
        <v>1561</v>
      </c>
      <c r="P283" t="s">
        <v>42</v>
      </c>
      <c r="Q283" t="s">
        <v>111</v>
      </c>
      <c r="R283" t="s">
        <v>61</v>
      </c>
      <c r="S283" t="s">
        <v>89</v>
      </c>
      <c r="T283" t="s">
        <v>636</v>
      </c>
      <c r="U283">
        <v>1838</v>
      </c>
      <c r="V283">
        <v>208</v>
      </c>
      <c r="W283">
        <v>25</v>
      </c>
      <c r="X283">
        <v>375.52</v>
      </c>
      <c r="Y283">
        <v>382.97</v>
      </c>
      <c r="Z283">
        <v>758.49</v>
      </c>
      <c r="AA283" t="s">
        <v>63</v>
      </c>
      <c r="AB283">
        <v>0</v>
      </c>
      <c r="AC283">
        <v>82.74</v>
      </c>
      <c r="AD283">
        <v>355</v>
      </c>
      <c r="AE283">
        <v>312</v>
      </c>
    </row>
    <row r="284" spans="1:31" x14ac:dyDescent="0.25">
      <c r="A284" t="s">
        <v>1562</v>
      </c>
      <c r="B284" t="s">
        <v>1563</v>
      </c>
      <c r="C284" s="1">
        <v>44232</v>
      </c>
      <c r="D284" s="1">
        <v>45064</v>
      </c>
      <c r="E284" t="s">
        <v>50</v>
      </c>
      <c r="F284" t="s">
        <v>51</v>
      </c>
      <c r="G284" t="s">
        <v>52</v>
      </c>
      <c r="H284" t="s">
        <v>53</v>
      </c>
      <c r="I284" t="s">
        <v>1564</v>
      </c>
      <c r="J284" t="s">
        <v>82</v>
      </c>
      <c r="K284" t="s">
        <v>56</v>
      </c>
      <c r="L284" t="s">
        <v>1565</v>
      </c>
      <c r="M284">
        <v>355.03</v>
      </c>
      <c r="N284">
        <v>53</v>
      </c>
      <c r="O284" t="s">
        <v>1566</v>
      </c>
      <c r="P284" t="s">
        <v>59</v>
      </c>
      <c r="Q284" t="s">
        <v>364</v>
      </c>
      <c r="R284" t="s">
        <v>88</v>
      </c>
      <c r="S284" t="s">
        <v>128</v>
      </c>
      <c r="T284" t="s">
        <v>242</v>
      </c>
      <c r="U284">
        <v>1985</v>
      </c>
      <c r="V284">
        <v>143</v>
      </c>
      <c r="W284">
        <v>27</v>
      </c>
      <c r="X284">
        <v>1764.97</v>
      </c>
      <c r="Y284">
        <v>295.01</v>
      </c>
      <c r="Z284">
        <v>2059.98</v>
      </c>
      <c r="AA284" t="s">
        <v>63</v>
      </c>
      <c r="AB284">
        <v>0</v>
      </c>
      <c r="AC284">
        <v>89.53</v>
      </c>
      <c r="AD284">
        <v>277</v>
      </c>
      <c r="AE284">
        <v>294</v>
      </c>
    </row>
    <row r="285" spans="1:31" x14ac:dyDescent="0.25">
      <c r="A285" t="s">
        <v>1567</v>
      </c>
      <c r="B285" t="s">
        <v>1568</v>
      </c>
      <c r="C285" s="1">
        <v>45209</v>
      </c>
      <c r="D285" s="1">
        <v>44935</v>
      </c>
      <c r="E285" t="s">
        <v>50</v>
      </c>
      <c r="F285" t="s">
        <v>147</v>
      </c>
      <c r="G285" t="s">
        <v>67</v>
      </c>
      <c r="H285" t="s">
        <v>80</v>
      </c>
      <c r="I285" t="s">
        <v>1569</v>
      </c>
      <c r="J285" t="s">
        <v>96</v>
      </c>
      <c r="K285" t="s">
        <v>39</v>
      </c>
      <c r="L285" t="s">
        <v>1570</v>
      </c>
      <c r="M285">
        <v>441.94</v>
      </c>
      <c r="N285">
        <v>76</v>
      </c>
      <c r="O285" t="s">
        <v>1571</v>
      </c>
      <c r="P285" t="s">
        <v>42</v>
      </c>
      <c r="Q285" t="s">
        <v>706</v>
      </c>
      <c r="R285" t="s">
        <v>44</v>
      </c>
      <c r="S285" t="s">
        <v>101</v>
      </c>
      <c r="T285" t="s">
        <v>176</v>
      </c>
      <c r="U285">
        <v>4650</v>
      </c>
      <c r="V285">
        <v>366</v>
      </c>
      <c r="W285">
        <v>18</v>
      </c>
      <c r="X285">
        <v>352.92</v>
      </c>
      <c r="Y285">
        <v>377.69</v>
      </c>
      <c r="Z285">
        <v>730.61</v>
      </c>
      <c r="AA285" t="s">
        <v>63</v>
      </c>
      <c r="AB285">
        <v>0</v>
      </c>
      <c r="AC285">
        <v>73.06</v>
      </c>
      <c r="AD285">
        <v>168</v>
      </c>
      <c r="AE285">
        <v>166</v>
      </c>
    </row>
    <row r="286" spans="1:31" x14ac:dyDescent="0.25">
      <c r="A286" t="s">
        <v>1572</v>
      </c>
      <c r="B286" t="s">
        <v>1573</v>
      </c>
      <c r="C286" s="1">
        <v>44225</v>
      </c>
      <c r="D286" s="1">
        <v>45495</v>
      </c>
      <c r="E286" t="s">
        <v>66</v>
      </c>
      <c r="F286" t="s">
        <v>34</v>
      </c>
      <c r="G286" t="s">
        <v>115</v>
      </c>
      <c r="H286" t="s">
        <v>116</v>
      </c>
      <c r="I286" t="s">
        <v>1574</v>
      </c>
      <c r="J286" t="s">
        <v>55</v>
      </c>
      <c r="K286" t="s">
        <v>39</v>
      </c>
      <c r="L286" t="s">
        <v>1575</v>
      </c>
      <c r="M286">
        <v>277.82</v>
      </c>
      <c r="N286">
        <v>10</v>
      </c>
      <c r="O286" t="s">
        <v>1576</v>
      </c>
      <c r="P286" t="s">
        <v>142</v>
      </c>
      <c r="Q286" t="s">
        <v>926</v>
      </c>
      <c r="R286" t="s">
        <v>44</v>
      </c>
      <c r="S286" t="s">
        <v>45</v>
      </c>
      <c r="T286" t="s">
        <v>309</v>
      </c>
      <c r="U286">
        <v>754</v>
      </c>
      <c r="V286">
        <v>472</v>
      </c>
      <c r="W286">
        <v>5</v>
      </c>
      <c r="X286">
        <v>171.92</v>
      </c>
      <c r="Y286">
        <v>214.1</v>
      </c>
      <c r="Z286">
        <v>386.02</v>
      </c>
      <c r="AA286" t="s">
        <v>63</v>
      </c>
      <c r="AB286">
        <v>0</v>
      </c>
      <c r="AC286">
        <v>92</v>
      </c>
      <c r="AD286">
        <v>70</v>
      </c>
      <c r="AE286">
        <v>67</v>
      </c>
    </row>
    <row r="287" spans="1:31" x14ac:dyDescent="0.25">
      <c r="A287" t="s">
        <v>1577</v>
      </c>
      <c r="B287" t="s">
        <v>1578</v>
      </c>
      <c r="C287" s="1">
        <v>44316</v>
      </c>
      <c r="D287" s="1">
        <v>43981</v>
      </c>
      <c r="E287" t="s">
        <v>50</v>
      </c>
      <c r="F287" t="s">
        <v>93</v>
      </c>
      <c r="G287" t="s">
        <v>79</v>
      </c>
      <c r="H287" t="s">
        <v>116</v>
      </c>
      <c r="I287" t="s">
        <v>1579</v>
      </c>
      <c r="J287" t="s">
        <v>82</v>
      </c>
      <c r="K287" t="s">
        <v>70</v>
      </c>
      <c r="L287" t="s">
        <v>710</v>
      </c>
      <c r="M287">
        <v>204.53</v>
      </c>
      <c r="N287">
        <v>95</v>
      </c>
      <c r="O287" t="s">
        <v>1580</v>
      </c>
      <c r="P287" t="s">
        <v>142</v>
      </c>
      <c r="Q287" t="s">
        <v>228</v>
      </c>
      <c r="R287" t="s">
        <v>153</v>
      </c>
      <c r="S287" t="s">
        <v>89</v>
      </c>
      <c r="T287" t="s">
        <v>542</v>
      </c>
      <c r="U287">
        <v>4586</v>
      </c>
      <c r="V287">
        <v>84</v>
      </c>
      <c r="W287">
        <v>28</v>
      </c>
      <c r="X287">
        <v>506.68</v>
      </c>
      <c r="Y287">
        <v>455.44</v>
      </c>
      <c r="Z287">
        <v>962.12</v>
      </c>
      <c r="AA287" t="s">
        <v>63</v>
      </c>
      <c r="AB287">
        <v>0</v>
      </c>
      <c r="AC287">
        <v>84.7</v>
      </c>
      <c r="AD287">
        <v>163</v>
      </c>
      <c r="AE287">
        <v>169</v>
      </c>
    </row>
    <row r="288" spans="1:31" x14ac:dyDescent="0.25">
      <c r="A288" t="s">
        <v>1581</v>
      </c>
      <c r="B288" t="s">
        <v>1582</v>
      </c>
      <c r="C288" s="1">
        <v>44850</v>
      </c>
      <c r="D288" s="1">
        <v>43860</v>
      </c>
      <c r="E288" t="s">
        <v>66</v>
      </c>
      <c r="F288" t="s">
        <v>78</v>
      </c>
      <c r="G288" t="s">
        <v>105</v>
      </c>
      <c r="H288" t="s">
        <v>218</v>
      </c>
      <c r="I288" t="s">
        <v>1583</v>
      </c>
      <c r="J288" t="s">
        <v>82</v>
      </c>
      <c r="K288" t="s">
        <v>97</v>
      </c>
      <c r="L288" t="s">
        <v>1584</v>
      </c>
      <c r="M288">
        <v>5.26</v>
      </c>
      <c r="N288">
        <v>37</v>
      </c>
      <c r="O288" t="s">
        <v>1585</v>
      </c>
      <c r="P288" t="s">
        <v>142</v>
      </c>
      <c r="Q288" t="s">
        <v>706</v>
      </c>
      <c r="R288" t="s">
        <v>61</v>
      </c>
      <c r="S288" t="s">
        <v>45</v>
      </c>
      <c r="T288" t="s">
        <v>255</v>
      </c>
      <c r="U288">
        <v>4449</v>
      </c>
      <c r="V288">
        <v>78</v>
      </c>
      <c r="W288">
        <v>11</v>
      </c>
      <c r="X288">
        <v>1410.36</v>
      </c>
      <c r="Y288">
        <v>319.13</v>
      </c>
      <c r="Z288">
        <v>1729.49</v>
      </c>
      <c r="AA288" t="s">
        <v>63</v>
      </c>
      <c r="AB288">
        <v>0</v>
      </c>
      <c r="AC288">
        <v>91.6</v>
      </c>
      <c r="AD288">
        <v>331</v>
      </c>
      <c r="AE288">
        <v>298</v>
      </c>
    </row>
    <row r="289" spans="1:31" x14ac:dyDescent="0.25">
      <c r="A289" t="s">
        <v>1586</v>
      </c>
      <c r="B289" t="s">
        <v>1587</v>
      </c>
      <c r="C289" s="1">
        <v>43895</v>
      </c>
      <c r="D289" s="1">
        <v>44339</v>
      </c>
      <c r="E289" t="s">
        <v>66</v>
      </c>
      <c r="F289" t="s">
        <v>34</v>
      </c>
      <c r="G289" t="s">
        <v>105</v>
      </c>
      <c r="H289" t="s">
        <v>164</v>
      </c>
      <c r="I289" t="s">
        <v>1588</v>
      </c>
      <c r="J289" t="s">
        <v>107</v>
      </c>
      <c r="K289" t="s">
        <v>39</v>
      </c>
      <c r="L289" t="s">
        <v>1589</v>
      </c>
      <c r="M289">
        <v>90.94</v>
      </c>
      <c r="N289">
        <v>66</v>
      </c>
      <c r="O289" t="s">
        <v>1590</v>
      </c>
      <c r="P289" t="s">
        <v>142</v>
      </c>
      <c r="Q289" t="s">
        <v>461</v>
      </c>
      <c r="R289" t="s">
        <v>61</v>
      </c>
      <c r="S289" t="s">
        <v>128</v>
      </c>
      <c r="T289" t="s">
        <v>415</v>
      </c>
      <c r="U289">
        <v>2293</v>
      </c>
      <c r="V289">
        <v>254</v>
      </c>
      <c r="W289">
        <v>16</v>
      </c>
      <c r="X289">
        <v>1546.22</v>
      </c>
      <c r="Y289">
        <v>104.3</v>
      </c>
      <c r="Z289">
        <v>1650.52</v>
      </c>
      <c r="AA289" t="s">
        <v>63</v>
      </c>
      <c r="AB289">
        <v>0</v>
      </c>
      <c r="AC289">
        <v>77.78</v>
      </c>
      <c r="AD289">
        <v>333</v>
      </c>
      <c r="AE289">
        <v>335</v>
      </c>
    </row>
    <row r="290" spans="1:31" x14ac:dyDescent="0.25">
      <c r="A290" t="s">
        <v>1591</v>
      </c>
      <c r="B290" t="s">
        <v>1592</v>
      </c>
      <c r="C290" s="1">
        <v>43856</v>
      </c>
      <c r="D290" s="1">
        <v>45264</v>
      </c>
      <c r="E290" t="s">
        <v>33</v>
      </c>
      <c r="F290" t="s">
        <v>147</v>
      </c>
      <c r="G290" t="s">
        <v>52</v>
      </c>
      <c r="H290" t="s">
        <v>80</v>
      </c>
      <c r="I290" t="s">
        <v>1593</v>
      </c>
      <c r="J290" t="s">
        <v>55</v>
      </c>
      <c r="K290" t="s">
        <v>56</v>
      </c>
      <c r="L290" t="s">
        <v>1594</v>
      </c>
      <c r="M290">
        <v>365.09</v>
      </c>
      <c r="N290">
        <v>53</v>
      </c>
      <c r="O290" t="s">
        <v>1595</v>
      </c>
      <c r="P290" t="s">
        <v>42</v>
      </c>
      <c r="Q290" t="s">
        <v>347</v>
      </c>
      <c r="R290" t="s">
        <v>61</v>
      </c>
      <c r="S290" t="s">
        <v>101</v>
      </c>
      <c r="T290" t="s">
        <v>636</v>
      </c>
      <c r="U290">
        <v>285</v>
      </c>
      <c r="V290">
        <v>402</v>
      </c>
      <c r="W290">
        <v>19</v>
      </c>
      <c r="X290">
        <v>53.83</v>
      </c>
      <c r="Y290">
        <v>291.73</v>
      </c>
      <c r="Z290">
        <v>345.56</v>
      </c>
      <c r="AA290" t="s">
        <v>63</v>
      </c>
      <c r="AB290">
        <v>0</v>
      </c>
      <c r="AC290">
        <v>77.08</v>
      </c>
      <c r="AD290">
        <v>267</v>
      </c>
      <c r="AE290">
        <v>224</v>
      </c>
    </row>
    <row r="291" spans="1:31" x14ac:dyDescent="0.25">
      <c r="A291" t="s">
        <v>1596</v>
      </c>
      <c r="B291" t="s">
        <v>1597</v>
      </c>
      <c r="C291" s="1">
        <v>45330</v>
      </c>
      <c r="D291" s="1">
        <v>44833</v>
      </c>
      <c r="E291" t="s">
        <v>66</v>
      </c>
      <c r="F291" t="s">
        <v>51</v>
      </c>
      <c r="G291" t="s">
        <v>94</v>
      </c>
      <c r="H291" t="s">
        <v>36</v>
      </c>
      <c r="I291" t="s">
        <v>1598</v>
      </c>
      <c r="J291" t="s">
        <v>107</v>
      </c>
      <c r="K291" t="s">
        <v>39</v>
      </c>
      <c r="L291" t="s">
        <v>1599</v>
      </c>
      <c r="M291">
        <v>21.97</v>
      </c>
      <c r="N291">
        <v>57</v>
      </c>
      <c r="O291" t="s">
        <v>1600</v>
      </c>
      <c r="P291" t="s">
        <v>86</v>
      </c>
      <c r="Q291" t="s">
        <v>684</v>
      </c>
      <c r="R291" t="s">
        <v>61</v>
      </c>
      <c r="S291" t="s">
        <v>101</v>
      </c>
      <c r="T291" t="s">
        <v>1059</v>
      </c>
      <c r="U291">
        <v>2866</v>
      </c>
      <c r="V291">
        <v>162</v>
      </c>
      <c r="W291">
        <v>27</v>
      </c>
      <c r="X291">
        <v>1151.29</v>
      </c>
      <c r="Y291">
        <v>93.95</v>
      </c>
      <c r="Z291">
        <v>1245.24</v>
      </c>
      <c r="AA291" t="s">
        <v>63</v>
      </c>
      <c r="AB291">
        <v>0</v>
      </c>
      <c r="AC291">
        <v>96.48</v>
      </c>
      <c r="AD291">
        <v>59</v>
      </c>
      <c r="AE291">
        <v>23</v>
      </c>
    </row>
    <row r="292" spans="1:31" x14ac:dyDescent="0.25">
      <c r="A292" t="s">
        <v>1601</v>
      </c>
      <c r="B292" t="s">
        <v>1602</v>
      </c>
      <c r="C292" s="1">
        <v>44794</v>
      </c>
      <c r="D292" s="1">
        <v>45480</v>
      </c>
      <c r="E292" t="s">
        <v>66</v>
      </c>
      <c r="F292" t="s">
        <v>78</v>
      </c>
      <c r="G292" t="s">
        <v>94</v>
      </c>
      <c r="H292" t="s">
        <v>36</v>
      </c>
      <c r="I292" t="s">
        <v>1603</v>
      </c>
      <c r="J292" t="s">
        <v>96</v>
      </c>
      <c r="K292" t="s">
        <v>39</v>
      </c>
      <c r="L292" t="s">
        <v>1604</v>
      </c>
      <c r="M292">
        <v>110.03</v>
      </c>
      <c r="N292">
        <v>65</v>
      </c>
      <c r="O292" t="s">
        <v>1471</v>
      </c>
      <c r="P292" t="s">
        <v>110</v>
      </c>
      <c r="Q292" t="s">
        <v>228</v>
      </c>
      <c r="R292" t="s">
        <v>88</v>
      </c>
      <c r="S292" t="s">
        <v>89</v>
      </c>
      <c r="T292" t="s">
        <v>75</v>
      </c>
      <c r="U292">
        <v>83</v>
      </c>
      <c r="V292">
        <v>333</v>
      </c>
      <c r="W292">
        <v>4</v>
      </c>
      <c r="X292">
        <v>140.91999999999999</v>
      </c>
      <c r="Y292">
        <v>89.97</v>
      </c>
      <c r="Z292">
        <v>230.89</v>
      </c>
      <c r="AA292" t="s">
        <v>63</v>
      </c>
      <c r="AB292">
        <v>0</v>
      </c>
      <c r="AC292">
        <v>94.85</v>
      </c>
      <c r="AD292">
        <v>249</v>
      </c>
      <c r="AE292">
        <v>251</v>
      </c>
    </row>
    <row r="293" spans="1:31" x14ac:dyDescent="0.25">
      <c r="A293" t="s">
        <v>1605</v>
      </c>
      <c r="B293" t="s">
        <v>1606</v>
      </c>
      <c r="C293" s="1">
        <v>44571</v>
      </c>
      <c r="D293" s="1">
        <v>45202</v>
      </c>
      <c r="E293" t="s">
        <v>50</v>
      </c>
      <c r="F293" t="s">
        <v>93</v>
      </c>
      <c r="G293" t="s">
        <v>52</v>
      </c>
      <c r="H293" t="s">
        <v>68</v>
      </c>
      <c r="I293" t="s">
        <v>1607</v>
      </c>
      <c r="J293" t="s">
        <v>82</v>
      </c>
      <c r="K293" t="s">
        <v>39</v>
      </c>
      <c r="L293" t="s">
        <v>1608</v>
      </c>
      <c r="M293">
        <v>101.92</v>
      </c>
      <c r="N293">
        <v>7</v>
      </c>
      <c r="O293" t="s">
        <v>1609</v>
      </c>
      <c r="P293" t="s">
        <v>42</v>
      </c>
      <c r="Q293" t="s">
        <v>120</v>
      </c>
      <c r="R293" t="s">
        <v>44</v>
      </c>
      <c r="S293" t="s">
        <v>45</v>
      </c>
      <c r="T293" t="s">
        <v>121</v>
      </c>
      <c r="U293">
        <v>2030</v>
      </c>
      <c r="V293">
        <v>487</v>
      </c>
      <c r="W293">
        <v>11</v>
      </c>
      <c r="X293">
        <v>1122.43</v>
      </c>
      <c r="Y293">
        <v>216.32</v>
      </c>
      <c r="Z293">
        <v>1338.75</v>
      </c>
      <c r="AA293" t="s">
        <v>63</v>
      </c>
      <c r="AB293">
        <v>0</v>
      </c>
      <c r="AC293">
        <v>71.97</v>
      </c>
      <c r="AD293">
        <v>260</v>
      </c>
      <c r="AE293">
        <v>239</v>
      </c>
    </row>
    <row r="294" spans="1:31" x14ac:dyDescent="0.25">
      <c r="A294" t="s">
        <v>1610</v>
      </c>
      <c r="B294" t="s">
        <v>638</v>
      </c>
      <c r="C294" s="1">
        <v>44087</v>
      </c>
      <c r="D294" s="1">
        <v>44970</v>
      </c>
      <c r="E294" t="s">
        <v>66</v>
      </c>
      <c r="F294" t="s">
        <v>93</v>
      </c>
      <c r="G294" t="s">
        <v>52</v>
      </c>
      <c r="H294" t="s">
        <v>36</v>
      </c>
      <c r="I294" t="s">
        <v>1611</v>
      </c>
      <c r="J294" t="s">
        <v>38</v>
      </c>
      <c r="K294" t="s">
        <v>97</v>
      </c>
      <c r="L294" t="s">
        <v>1612</v>
      </c>
      <c r="M294">
        <v>33.07</v>
      </c>
      <c r="N294">
        <v>65</v>
      </c>
      <c r="O294" t="s">
        <v>1613</v>
      </c>
      <c r="P294" t="s">
        <v>110</v>
      </c>
      <c r="Q294" t="s">
        <v>609</v>
      </c>
      <c r="R294" t="s">
        <v>44</v>
      </c>
      <c r="S294" t="s">
        <v>45</v>
      </c>
      <c r="T294" t="s">
        <v>434</v>
      </c>
      <c r="U294">
        <v>608</v>
      </c>
      <c r="V294">
        <v>168</v>
      </c>
      <c r="W294">
        <v>12</v>
      </c>
      <c r="X294">
        <v>73.69</v>
      </c>
      <c r="Y294">
        <v>273.7</v>
      </c>
      <c r="Z294">
        <v>347.39</v>
      </c>
      <c r="AA294" t="s">
        <v>63</v>
      </c>
      <c r="AB294">
        <v>0</v>
      </c>
      <c r="AC294">
        <v>87.06</v>
      </c>
      <c r="AD294">
        <v>427</v>
      </c>
      <c r="AE294">
        <v>472</v>
      </c>
    </row>
    <row r="295" spans="1:31" x14ac:dyDescent="0.25">
      <c r="A295" t="s">
        <v>1614</v>
      </c>
      <c r="B295" t="s">
        <v>1615</v>
      </c>
      <c r="C295" s="1">
        <v>45392</v>
      </c>
      <c r="D295" s="1">
        <v>44999</v>
      </c>
      <c r="E295" t="s">
        <v>50</v>
      </c>
      <c r="F295" t="s">
        <v>51</v>
      </c>
      <c r="G295" t="s">
        <v>105</v>
      </c>
      <c r="H295" t="s">
        <v>80</v>
      </c>
      <c r="I295" t="s">
        <v>1616</v>
      </c>
      <c r="J295" t="s">
        <v>82</v>
      </c>
      <c r="K295" t="s">
        <v>83</v>
      </c>
      <c r="L295" t="s">
        <v>1617</v>
      </c>
      <c r="M295">
        <v>144.46</v>
      </c>
      <c r="N295">
        <v>56</v>
      </c>
      <c r="O295" t="s">
        <v>1618</v>
      </c>
      <c r="P295" t="s">
        <v>59</v>
      </c>
      <c r="Q295" t="s">
        <v>234</v>
      </c>
      <c r="R295" t="s">
        <v>61</v>
      </c>
      <c r="S295" t="s">
        <v>101</v>
      </c>
      <c r="T295" t="s">
        <v>434</v>
      </c>
      <c r="U295">
        <v>1851</v>
      </c>
      <c r="V295">
        <v>172</v>
      </c>
      <c r="W295">
        <v>1</v>
      </c>
      <c r="X295">
        <v>1762.62</v>
      </c>
      <c r="Y295">
        <v>303.47000000000003</v>
      </c>
      <c r="Z295">
        <v>2066.09</v>
      </c>
      <c r="AA295" t="s">
        <v>63</v>
      </c>
      <c r="AB295">
        <v>0</v>
      </c>
      <c r="AC295">
        <v>84.33</v>
      </c>
      <c r="AD295">
        <v>378</v>
      </c>
      <c r="AE295">
        <v>328</v>
      </c>
    </row>
    <row r="296" spans="1:31" x14ac:dyDescent="0.25">
      <c r="A296" t="s">
        <v>1619</v>
      </c>
      <c r="B296" t="s">
        <v>1620</v>
      </c>
      <c r="C296" s="1">
        <v>45344</v>
      </c>
      <c r="D296" s="1">
        <v>45443</v>
      </c>
      <c r="E296" t="s">
        <v>66</v>
      </c>
      <c r="F296" t="s">
        <v>78</v>
      </c>
      <c r="G296" t="s">
        <v>337</v>
      </c>
      <c r="H296" t="s">
        <v>116</v>
      </c>
      <c r="I296" t="s">
        <v>1621</v>
      </c>
      <c r="J296" t="s">
        <v>38</v>
      </c>
      <c r="K296" t="s">
        <v>56</v>
      </c>
      <c r="L296" t="s">
        <v>1622</v>
      </c>
      <c r="M296">
        <v>396.52</v>
      </c>
      <c r="N296">
        <v>35</v>
      </c>
      <c r="O296" t="s">
        <v>1623</v>
      </c>
      <c r="P296" t="s">
        <v>86</v>
      </c>
      <c r="Q296" t="s">
        <v>160</v>
      </c>
      <c r="R296" t="s">
        <v>61</v>
      </c>
      <c r="S296" t="s">
        <v>74</v>
      </c>
      <c r="T296" t="s">
        <v>129</v>
      </c>
      <c r="U296">
        <v>1721</v>
      </c>
      <c r="V296">
        <v>73</v>
      </c>
      <c r="W296">
        <v>8</v>
      </c>
      <c r="X296">
        <v>1945.35</v>
      </c>
      <c r="Y296">
        <v>348.3</v>
      </c>
      <c r="Z296">
        <v>2293.65</v>
      </c>
      <c r="AA296" t="s">
        <v>63</v>
      </c>
      <c r="AB296">
        <v>0</v>
      </c>
      <c r="AC296">
        <v>71.03</v>
      </c>
      <c r="AD296">
        <v>369</v>
      </c>
      <c r="AE296">
        <v>403</v>
      </c>
    </row>
    <row r="297" spans="1:31" x14ac:dyDescent="0.25">
      <c r="A297" t="s">
        <v>1624</v>
      </c>
      <c r="B297" t="s">
        <v>1625</v>
      </c>
      <c r="C297" s="1">
        <v>44109</v>
      </c>
      <c r="D297" s="1">
        <v>43893</v>
      </c>
      <c r="E297" t="s">
        <v>50</v>
      </c>
      <c r="F297" t="s">
        <v>93</v>
      </c>
      <c r="G297" t="s">
        <v>115</v>
      </c>
      <c r="H297" t="s">
        <v>148</v>
      </c>
      <c r="I297" t="s">
        <v>1626</v>
      </c>
      <c r="J297" t="s">
        <v>82</v>
      </c>
      <c r="K297" t="s">
        <v>83</v>
      </c>
      <c r="L297" t="s">
        <v>1627</v>
      </c>
      <c r="M297">
        <v>138.62</v>
      </c>
      <c r="N297">
        <v>47</v>
      </c>
      <c r="O297" t="s">
        <v>1628</v>
      </c>
      <c r="P297" t="s">
        <v>86</v>
      </c>
      <c r="Q297" t="s">
        <v>87</v>
      </c>
      <c r="R297" t="s">
        <v>153</v>
      </c>
      <c r="S297" t="s">
        <v>89</v>
      </c>
      <c r="T297" t="s">
        <v>279</v>
      </c>
      <c r="U297">
        <v>992</v>
      </c>
      <c r="V297">
        <v>349</v>
      </c>
      <c r="W297">
        <v>16</v>
      </c>
      <c r="X297">
        <v>904.79</v>
      </c>
      <c r="Y297">
        <v>473.67</v>
      </c>
      <c r="Z297">
        <v>1378.46</v>
      </c>
      <c r="AA297" t="s">
        <v>63</v>
      </c>
      <c r="AB297">
        <v>0</v>
      </c>
      <c r="AC297">
        <v>88.19</v>
      </c>
      <c r="AD297">
        <v>405</v>
      </c>
      <c r="AE297">
        <v>360</v>
      </c>
    </row>
    <row r="298" spans="1:31" x14ac:dyDescent="0.25">
      <c r="A298" t="s">
        <v>1629</v>
      </c>
      <c r="B298" t="s">
        <v>1630</v>
      </c>
      <c r="C298" s="1">
        <v>44044</v>
      </c>
      <c r="D298" s="1">
        <v>45479</v>
      </c>
      <c r="E298" t="s">
        <v>50</v>
      </c>
      <c r="F298" t="s">
        <v>147</v>
      </c>
      <c r="G298" t="s">
        <v>52</v>
      </c>
      <c r="H298" t="s">
        <v>53</v>
      </c>
      <c r="I298" t="s">
        <v>1631</v>
      </c>
      <c r="J298" t="s">
        <v>38</v>
      </c>
      <c r="K298" t="s">
        <v>56</v>
      </c>
      <c r="L298" t="s">
        <v>1632</v>
      </c>
      <c r="M298">
        <v>305.33</v>
      </c>
      <c r="N298">
        <v>12</v>
      </c>
      <c r="O298" t="s">
        <v>1633</v>
      </c>
      <c r="P298" t="s">
        <v>42</v>
      </c>
      <c r="Q298" t="s">
        <v>152</v>
      </c>
      <c r="R298" t="s">
        <v>153</v>
      </c>
      <c r="S298" t="s">
        <v>89</v>
      </c>
      <c r="T298" t="s">
        <v>673</v>
      </c>
      <c r="U298">
        <v>3362</v>
      </c>
      <c r="V298">
        <v>430</v>
      </c>
      <c r="W298">
        <v>21</v>
      </c>
      <c r="X298">
        <v>405.48</v>
      </c>
      <c r="Y298">
        <v>206.84</v>
      </c>
      <c r="Z298">
        <v>612.32000000000005</v>
      </c>
      <c r="AA298" t="s">
        <v>63</v>
      </c>
      <c r="AB298">
        <v>0</v>
      </c>
      <c r="AC298">
        <v>85.83</v>
      </c>
      <c r="AD298">
        <v>111</v>
      </c>
      <c r="AE298">
        <v>115</v>
      </c>
    </row>
    <row r="299" spans="1:31" x14ac:dyDescent="0.25">
      <c r="A299" t="s">
        <v>1634</v>
      </c>
      <c r="B299" t="s">
        <v>1635</v>
      </c>
      <c r="C299" s="1">
        <v>45066</v>
      </c>
      <c r="D299" s="1">
        <v>44766</v>
      </c>
      <c r="E299" t="s">
        <v>66</v>
      </c>
      <c r="F299" t="s">
        <v>147</v>
      </c>
      <c r="G299" t="s">
        <v>79</v>
      </c>
      <c r="H299" t="s">
        <v>80</v>
      </c>
      <c r="I299" t="s">
        <v>1636</v>
      </c>
      <c r="J299" t="s">
        <v>107</v>
      </c>
      <c r="K299" t="s">
        <v>39</v>
      </c>
      <c r="L299" t="s">
        <v>1637</v>
      </c>
      <c r="M299">
        <v>238.75</v>
      </c>
      <c r="N299">
        <v>56</v>
      </c>
      <c r="O299" t="s">
        <v>1638</v>
      </c>
      <c r="P299" t="s">
        <v>142</v>
      </c>
      <c r="Q299" t="s">
        <v>364</v>
      </c>
      <c r="R299" t="s">
        <v>61</v>
      </c>
      <c r="S299" t="s">
        <v>74</v>
      </c>
      <c r="T299" t="s">
        <v>169</v>
      </c>
      <c r="U299">
        <v>4978</v>
      </c>
      <c r="V299">
        <v>253</v>
      </c>
      <c r="W299">
        <v>15</v>
      </c>
      <c r="X299">
        <v>1984.19</v>
      </c>
      <c r="Y299">
        <v>49.04</v>
      </c>
      <c r="Z299">
        <v>2033.23</v>
      </c>
      <c r="AA299" t="s">
        <v>63</v>
      </c>
      <c r="AB299">
        <v>0</v>
      </c>
      <c r="AC299">
        <v>91.56</v>
      </c>
      <c r="AD299">
        <v>164</v>
      </c>
      <c r="AE299">
        <v>176</v>
      </c>
    </row>
    <row r="300" spans="1:31" x14ac:dyDescent="0.25">
      <c r="A300" t="s">
        <v>1639</v>
      </c>
      <c r="B300" t="s">
        <v>1640</v>
      </c>
      <c r="C300" s="1">
        <v>45123</v>
      </c>
      <c r="D300" s="1">
        <v>44500</v>
      </c>
      <c r="E300" t="s">
        <v>66</v>
      </c>
      <c r="F300" t="s">
        <v>78</v>
      </c>
      <c r="G300" t="s">
        <v>35</v>
      </c>
      <c r="H300" t="s">
        <v>218</v>
      </c>
      <c r="I300" t="s">
        <v>1641</v>
      </c>
      <c r="J300" t="s">
        <v>82</v>
      </c>
      <c r="K300" t="s">
        <v>39</v>
      </c>
      <c r="L300" t="s">
        <v>1642</v>
      </c>
      <c r="M300">
        <v>309.58</v>
      </c>
      <c r="N300">
        <v>9</v>
      </c>
      <c r="O300" t="s">
        <v>1643</v>
      </c>
      <c r="P300" t="s">
        <v>110</v>
      </c>
      <c r="Q300" t="s">
        <v>404</v>
      </c>
      <c r="R300" t="s">
        <v>61</v>
      </c>
      <c r="S300" t="s">
        <v>45</v>
      </c>
      <c r="T300" t="s">
        <v>1023</v>
      </c>
      <c r="U300">
        <v>4543</v>
      </c>
      <c r="V300">
        <v>482</v>
      </c>
      <c r="W300">
        <v>16</v>
      </c>
      <c r="X300">
        <v>269</v>
      </c>
      <c r="Y300">
        <v>55.68</v>
      </c>
      <c r="Z300">
        <v>324.68</v>
      </c>
      <c r="AA300" t="s">
        <v>63</v>
      </c>
      <c r="AB300">
        <v>0</v>
      </c>
      <c r="AC300">
        <v>92.82</v>
      </c>
      <c r="AD300">
        <v>365</v>
      </c>
      <c r="AE300">
        <v>391</v>
      </c>
    </row>
    <row r="301" spans="1:31" x14ac:dyDescent="0.25">
      <c r="A301" t="s">
        <v>1644</v>
      </c>
      <c r="B301" t="s">
        <v>1645</v>
      </c>
      <c r="C301" s="1">
        <v>45084</v>
      </c>
      <c r="D301" s="1">
        <v>44764</v>
      </c>
      <c r="E301" t="s">
        <v>66</v>
      </c>
      <c r="F301" t="s">
        <v>51</v>
      </c>
      <c r="G301" t="s">
        <v>105</v>
      </c>
      <c r="H301" t="s">
        <v>36</v>
      </c>
      <c r="I301" t="s">
        <v>1646</v>
      </c>
      <c r="J301" t="s">
        <v>107</v>
      </c>
      <c r="K301" t="s">
        <v>83</v>
      </c>
      <c r="L301" t="s">
        <v>1647</v>
      </c>
      <c r="M301">
        <v>363.21</v>
      </c>
      <c r="N301">
        <v>34</v>
      </c>
      <c r="O301" t="s">
        <v>1648</v>
      </c>
      <c r="P301" t="s">
        <v>110</v>
      </c>
      <c r="Q301" t="s">
        <v>143</v>
      </c>
      <c r="R301" t="s">
        <v>44</v>
      </c>
      <c r="S301" t="s">
        <v>128</v>
      </c>
      <c r="T301" t="s">
        <v>297</v>
      </c>
      <c r="U301">
        <v>2032</v>
      </c>
      <c r="V301">
        <v>95</v>
      </c>
      <c r="W301">
        <v>25</v>
      </c>
      <c r="X301">
        <v>1697.48</v>
      </c>
      <c r="Y301">
        <v>289.43</v>
      </c>
      <c r="Z301">
        <v>1986.91</v>
      </c>
      <c r="AA301" t="s">
        <v>63</v>
      </c>
      <c r="AB301">
        <v>0</v>
      </c>
      <c r="AC301">
        <v>78.680000000000007</v>
      </c>
      <c r="AD301">
        <v>381</v>
      </c>
      <c r="AE301">
        <v>399</v>
      </c>
    </row>
    <row r="302" spans="1:31" x14ac:dyDescent="0.25">
      <c r="A302" t="s">
        <v>1649</v>
      </c>
      <c r="B302" t="s">
        <v>1650</v>
      </c>
      <c r="C302" s="1">
        <v>43882</v>
      </c>
      <c r="D302" s="1">
        <v>44940</v>
      </c>
      <c r="E302" t="s">
        <v>66</v>
      </c>
      <c r="F302" t="s">
        <v>93</v>
      </c>
      <c r="G302" t="s">
        <v>94</v>
      </c>
      <c r="H302" t="s">
        <v>68</v>
      </c>
      <c r="I302" t="s">
        <v>1651</v>
      </c>
      <c r="J302" t="s">
        <v>96</v>
      </c>
      <c r="K302" t="s">
        <v>83</v>
      </c>
      <c r="L302" t="s">
        <v>1652</v>
      </c>
      <c r="M302">
        <v>345.87</v>
      </c>
      <c r="N302">
        <v>62</v>
      </c>
      <c r="O302" t="s">
        <v>1653</v>
      </c>
      <c r="P302" t="s">
        <v>59</v>
      </c>
      <c r="Q302" t="s">
        <v>364</v>
      </c>
      <c r="R302" t="s">
        <v>153</v>
      </c>
      <c r="S302" t="s">
        <v>74</v>
      </c>
      <c r="T302" t="s">
        <v>262</v>
      </c>
      <c r="U302">
        <v>3903</v>
      </c>
      <c r="V302">
        <v>482</v>
      </c>
      <c r="W302">
        <v>26</v>
      </c>
      <c r="X302">
        <v>404.86</v>
      </c>
      <c r="Y302">
        <v>196.95</v>
      </c>
      <c r="Z302">
        <v>601.80999999999995</v>
      </c>
      <c r="AA302" t="s">
        <v>63</v>
      </c>
      <c r="AB302">
        <v>0</v>
      </c>
      <c r="AC302">
        <v>80.16</v>
      </c>
      <c r="AD302">
        <v>415</v>
      </c>
      <c r="AE302">
        <v>425</v>
      </c>
    </row>
    <row r="303" spans="1:31" x14ac:dyDescent="0.25">
      <c r="A303" t="s">
        <v>1654</v>
      </c>
      <c r="B303" t="s">
        <v>1655</v>
      </c>
      <c r="C303" s="1">
        <v>45003</v>
      </c>
      <c r="D303" s="1">
        <v>44206</v>
      </c>
      <c r="E303" t="s">
        <v>33</v>
      </c>
      <c r="F303" t="s">
        <v>34</v>
      </c>
      <c r="G303" t="s">
        <v>35</v>
      </c>
      <c r="H303" t="s">
        <v>148</v>
      </c>
      <c r="I303" t="s">
        <v>1656</v>
      </c>
      <c r="J303" t="s">
        <v>38</v>
      </c>
      <c r="K303" t="s">
        <v>39</v>
      </c>
      <c r="L303" t="s">
        <v>1657</v>
      </c>
      <c r="M303">
        <v>177.83</v>
      </c>
      <c r="N303">
        <v>50</v>
      </c>
      <c r="O303" t="s">
        <v>1658</v>
      </c>
      <c r="P303" t="s">
        <v>142</v>
      </c>
      <c r="Q303" t="s">
        <v>609</v>
      </c>
      <c r="R303" t="s">
        <v>153</v>
      </c>
      <c r="S303" t="s">
        <v>45</v>
      </c>
      <c r="T303" t="s">
        <v>1023</v>
      </c>
      <c r="U303">
        <v>4429</v>
      </c>
      <c r="V303">
        <v>117</v>
      </c>
      <c r="W303">
        <v>26</v>
      </c>
      <c r="X303">
        <v>334.83</v>
      </c>
      <c r="Y303">
        <v>80.260000000000005</v>
      </c>
      <c r="Z303">
        <v>415.09</v>
      </c>
      <c r="AA303" t="s">
        <v>63</v>
      </c>
      <c r="AB303">
        <v>0</v>
      </c>
      <c r="AC303">
        <v>87.83</v>
      </c>
      <c r="AD303">
        <v>65</v>
      </c>
      <c r="AE303">
        <v>31</v>
      </c>
    </row>
    <row r="304" spans="1:31" x14ac:dyDescent="0.25">
      <c r="A304" t="s">
        <v>1659</v>
      </c>
      <c r="B304" t="s">
        <v>1660</v>
      </c>
      <c r="C304" s="1">
        <v>44862</v>
      </c>
      <c r="D304" s="1">
        <v>45649</v>
      </c>
      <c r="E304" t="s">
        <v>66</v>
      </c>
      <c r="F304" t="s">
        <v>93</v>
      </c>
      <c r="G304" t="s">
        <v>52</v>
      </c>
      <c r="H304" t="s">
        <v>218</v>
      </c>
      <c r="I304" t="s">
        <v>1661</v>
      </c>
      <c r="J304" t="s">
        <v>107</v>
      </c>
      <c r="K304" t="s">
        <v>39</v>
      </c>
      <c r="L304" t="s">
        <v>1662</v>
      </c>
      <c r="M304">
        <v>184.33</v>
      </c>
      <c r="N304">
        <v>82</v>
      </c>
      <c r="O304" t="s">
        <v>1658</v>
      </c>
      <c r="P304" t="s">
        <v>86</v>
      </c>
      <c r="Q304" t="s">
        <v>152</v>
      </c>
      <c r="R304" t="s">
        <v>61</v>
      </c>
      <c r="S304" t="s">
        <v>101</v>
      </c>
      <c r="T304" t="s">
        <v>939</v>
      </c>
      <c r="U304">
        <v>3932</v>
      </c>
      <c r="V304">
        <v>319</v>
      </c>
      <c r="W304">
        <v>9</v>
      </c>
      <c r="X304">
        <v>1592.65</v>
      </c>
      <c r="Y304">
        <v>161.07</v>
      </c>
      <c r="Z304">
        <v>1753.72</v>
      </c>
      <c r="AA304" t="s">
        <v>63</v>
      </c>
      <c r="AB304">
        <v>0</v>
      </c>
      <c r="AC304">
        <v>77.31</v>
      </c>
      <c r="AD304">
        <v>123</v>
      </c>
      <c r="AE304">
        <v>142</v>
      </c>
    </row>
    <row r="305" spans="1:31" x14ac:dyDescent="0.25">
      <c r="A305" t="s">
        <v>1663</v>
      </c>
      <c r="B305" t="s">
        <v>1664</v>
      </c>
      <c r="C305" s="1">
        <v>45335</v>
      </c>
      <c r="D305" s="1">
        <v>44931</v>
      </c>
      <c r="E305" t="s">
        <v>66</v>
      </c>
      <c r="F305" t="s">
        <v>93</v>
      </c>
      <c r="G305" t="s">
        <v>67</v>
      </c>
      <c r="H305" t="s">
        <v>36</v>
      </c>
      <c r="I305" t="s">
        <v>1665</v>
      </c>
      <c r="J305" t="s">
        <v>82</v>
      </c>
      <c r="K305" t="s">
        <v>56</v>
      </c>
      <c r="L305" t="s">
        <v>1666</v>
      </c>
      <c r="M305">
        <v>340.66</v>
      </c>
      <c r="N305">
        <v>84</v>
      </c>
      <c r="O305" t="s">
        <v>1667</v>
      </c>
      <c r="P305" t="s">
        <v>42</v>
      </c>
      <c r="Q305" t="s">
        <v>290</v>
      </c>
      <c r="R305" t="s">
        <v>153</v>
      </c>
      <c r="S305" t="s">
        <v>89</v>
      </c>
      <c r="T305" t="s">
        <v>636</v>
      </c>
      <c r="U305">
        <v>3647</v>
      </c>
      <c r="V305">
        <v>454</v>
      </c>
      <c r="W305">
        <v>19</v>
      </c>
      <c r="X305">
        <v>50.33</v>
      </c>
      <c r="Y305">
        <v>82.03</v>
      </c>
      <c r="Z305">
        <v>132.36000000000001</v>
      </c>
      <c r="AA305" t="s">
        <v>47</v>
      </c>
      <c r="AB305">
        <v>4</v>
      </c>
      <c r="AC305">
        <v>95.52</v>
      </c>
      <c r="AD305">
        <v>399</v>
      </c>
      <c r="AE305">
        <v>368</v>
      </c>
    </row>
    <row r="306" spans="1:31" x14ac:dyDescent="0.25">
      <c r="A306" t="s">
        <v>1668</v>
      </c>
      <c r="B306" t="s">
        <v>1669</v>
      </c>
      <c r="C306" s="1">
        <v>45614</v>
      </c>
      <c r="D306" s="1">
        <v>44153</v>
      </c>
      <c r="E306" t="s">
        <v>66</v>
      </c>
      <c r="F306" t="s">
        <v>78</v>
      </c>
      <c r="G306" t="s">
        <v>67</v>
      </c>
      <c r="H306" t="s">
        <v>36</v>
      </c>
      <c r="I306" t="s">
        <v>1670</v>
      </c>
      <c r="J306" t="s">
        <v>82</v>
      </c>
      <c r="K306" t="s">
        <v>56</v>
      </c>
      <c r="L306" t="s">
        <v>1671</v>
      </c>
      <c r="M306">
        <v>433.4</v>
      </c>
      <c r="N306">
        <v>76</v>
      </c>
      <c r="O306" t="s">
        <v>1672</v>
      </c>
      <c r="P306" t="s">
        <v>59</v>
      </c>
      <c r="Q306" t="s">
        <v>347</v>
      </c>
      <c r="R306" t="s">
        <v>88</v>
      </c>
      <c r="S306" t="s">
        <v>74</v>
      </c>
      <c r="T306" t="s">
        <v>154</v>
      </c>
      <c r="U306">
        <v>2468</v>
      </c>
      <c r="V306">
        <v>131</v>
      </c>
      <c r="W306">
        <v>6</v>
      </c>
      <c r="X306">
        <v>1819.76</v>
      </c>
      <c r="Y306">
        <v>145.19</v>
      </c>
      <c r="Z306">
        <v>1964.95</v>
      </c>
      <c r="AA306" t="s">
        <v>47</v>
      </c>
      <c r="AB306">
        <v>10</v>
      </c>
      <c r="AC306">
        <v>75.8</v>
      </c>
      <c r="AD306">
        <v>407</v>
      </c>
      <c r="AE306">
        <v>402</v>
      </c>
    </row>
    <row r="307" spans="1:31" x14ac:dyDescent="0.25">
      <c r="A307" t="s">
        <v>1673</v>
      </c>
      <c r="B307" t="s">
        <v>1674</v>
      </c>
      <c r="C307" s="1">
        <v>45093</v>
      </c>
      <c r="D307" s="1">
        <v>44937</v>
      </c>
      <c r="E307" t="s">
        <v>33</v>
      </c>
      <c r="F307" t="s">
        <v>78</v>
      </c>
      <c r="G307" t="s">
        <v>115</v>
      </c>
      <c r="H307" t="s">
        <v>36</v>
      </c>
      <c r="I307" t="s">
        <v>1675</v>
      </c>
      <c r="J307" t="s">
        <v>55</v>
      </c>
      <c r="K307" t="s">
        <v>39</v>
      </c>
      <c r="L307" t="s">
        <v>1676</v>
      </c>
      <c r="M307">
        <v>375.69</v>
      </c>
      <c r="N307">
        <v>41</v>
      </c>
      <c r="O307" t="s">
        <v>1677</v>
      </c>
      <c r="P307" t="s">
        <v>142</v>
      </c>
      <c r="Q307" t="s">
        <v>529</v>
      </c>
      <c r="R307" t="s">
        <v>153</v>
      </c>
      <c r="S307" t="s">
        <v>89</v>
      </c>
      <c r="T307" t="s">
        <v>372</v>
      </c>
      <c r="U307">
        <v>129</v>
      </c>
      <c r="V307">
        <v>128</v>
      </c>
      <c r="W307">
        <v>9</v>
      </c>
      <c r="X307">
        <v>1754.62</v>
      </c>
      <c r="Y307">
        <v>144.32</v>
      </c>
      <c r="Z307">
        <v>1898.94</v>
      </c>
      <c r="AA307" t="s">
        <v>63</v>
      </c>
      <c r="AB307">
        <v>0</v>
      </c>
      <c r="AC307">
        <v>72.11</v>
      </c>
      <c r="AD307">
        <v>232</v>
      </c>
      <c r="AE307">
        <v>188</v>
      </c>
    </row>
    <row r="308" spans="1:31" x14ac:dyDescent="0.25">
      <c r="A308" t="s">
        <v>1678</v>
      </c>
      <c r="B308" t="s">
        <v>1679</v>
      </c>
      <c r="C308" s="1">
        <v>44848</v>
      </c>
      <c r="D308" s="1">
        <v>44440</v>
      </c>
      <c r="E308" t="s">
        <v>50</v>
      </c>
      <c r="F308" t="s">
        <v>93</v>
      </c>
      <c r="G308" t="s">
        <v>35</v>
      </c>
      <c r="H308" t="s">
        <v>148</v>
      </c>
      <c r="I308" t="s">
        <v>1680</v>
      </c>
      <c r="J308" t="s">
        <v>96</v>
      </c>
      <c r="K308" t="s">
        <v>70</v>
      </c>
      <c r="L308" t="s">
        <v>1681</v>
      </c>
      <c r="M308">
        <v>82.76</v>
      </c>
      <c r="N308">
        <v>77</v>
      </c>
      <c r="O308" t="s">
        <v>1087</v>
      </c>
      <c r="P308" t="s">
        <v>110</v>
      </c>
      <c r="Q308" t="s">
        <v>529</v>
      </c>
      <c r="R308" t="s">
        <v>88</v>
      </c>
      <c r="S308" t="s">
        <v>89</v>
      </c>
      <c r="T308" t="s">
        <v>169</v>
      </c>
      <c r="U308">
        <v>1851</v>
      </c>
      <c r="V308">
        <v>112</v>
      </c>
      <c r="W308">
        <v>28</v>
      </c>
      <c r="X308">
        <v>1596.99</v>
      </c>
      <c r="Y308">
        <v>176.93</v>
      </c>
      <c r="Z308">
        <v>1773.92</v>
      </c>
      <c r="AA308" t="s">
        <v>47</v>
      </c>
      <c r="AB308">
        <v>14</v>
      </c>
      <c r="AC308">
        <v>83.36</v>
      </c>
      <c r="AD308">
        <v>158</v>
      </c>
      <c r="AE308">
        <v>130</v>
      </c>
    </row>
    <row r="309" spans="1:31" x14ac:dyDescent="0.25">
      <c r="A309" t="s">
        <v>1682</v>
      </c>
      <c r="B309" t="s">
        <v>1683</v>
      </c>
      <c r="C309" s="1">
        <v>45502</v>
      </c>
      <c r="D309" s="1">
        <v>45636</v>
      </c>
      <c r="E309" t="s">
        <v>66</v>
      </c>
      <c r="F309" t="s">
        <v>51</v>
      </c>
      <c r="G309" t="s">
        <v>35</v>
      </c>
      <c r="H309" t="s">
        <v>116</v>
      </c>
      <c r="I309" t="s">
        <v>1684</v>
      </c>
      <c r="J309" t="s">
        <v>38</v>
      </c>
      <c r="K309" t="s">
        <v>56</v>
      </c>
      <c r="L309" t="s">
        <v>1685</v>
      </c>
      <c r="M309">
        <v>81.53</v>
      </c>
      <c r="N309">
        <v>50</v>
      </c>
      <c r="O309" t="s">
        <v>1686</v>
      </c>
      <c r="P309" t="s">
        <v>42</v>
      </c>
      <c r="Q309" t="s">
        <v>135</v>
      </c>
      <c r="R309" t="s">
        <v>88</v>
      </c>
      <c r="S309" t="s">
        <v>45</v>
      </c>
      <c r="T309" t="s">
        <v>273</v>
      </c>
      <c r="U309">
        <v>4826</v>
      </c>
      <c r="V309">
        <v>189</v>
      </c>
      <c r="W309">
        <v>10</v>
      </c>
      <c r="X309">
        <v>967.82</v>
      </c>
      <c r="Y309">
        <v>329.7</v>
      </c>
      <c r="Z309">
        <v>1297.52</v>
      </c>
      <c r="AA309" t="s">
        <v>63</v>
      </c>
      <c r="AB309">
        <v>0</v>
      </c>
      <c r="AC309">
        <v>83.75</v>
      </c>
      <c r="AD309">
        <v>448</v>
      </c>
      <c r="AE309">
        <v>465</v>
      </c>
    </row>
    <row r="310" spans="1:31" x14ac:dyDescent="0.25">
      <c r="A310" t="s">
        <v>1687</v>
      </c>
      <c r="B310" t="s">
        <v>1688</v>
      </c>
      <c r="C310" s="1">
        <v>45220</v>
      </c>
      <c r="D310" s="1">
        <v>44674</v>
      </c>
      <c r="E310" t="s">
        <v>66</v>
      </c>
      <c r="F310" t="s">
        <v>34</v>
      </c>
      <c r="G310" t="s">
        <v>35</v>
      </c>
      <c r="H310" t="s">
        <v>36</v>
      </c>
      <c r="I310" t="s">
        <v>1689</v>
      </c>
      <c r="J310" t="s">
        <v>96</v>
      </c>
      <c r="K310" t="s">
        <v>70</v>
      </c>
      <c r="L310" t="s">
        <v>1690</v>
      </c>
      <c r="M310">
        <v>337.23</v>
      </c>
      <c r="N310">
        <v>32</v>
      </c>
      <c r="O310" t="s">
        <v>1691</v>
      </c>
      <c r="P310" t="s">
        <v>110</v>
      </c>
      <c r="Q310" t="s">
        <v>340</v>
      </c>
      <c r="R310" t="s">
        <v>153</v>
      </c>
      <c r="S310" t="s">
        <v>128</v>
      </c>
      <c r="T310" t="s">
        <v>365</v>
      </c>
      <c r="U310">
        <v>3801</v>
      </c>
      <c r="V310">
        <v>464</v>
      </c>
      <c r="W310">
        <v>17</v>
      </c>
      <c r="X310">
        <v>1538.88</v>
      </c>
      <c r="Y310">
        <v>440.06</v>
      </c>
      <c r="Z310">
        <v>1978.94</v>
      </c>
      <c r="AA310" t="s">
        <v>63</v>
      </c>
      <c r="AB310">
        <v>0</v>
      </c>
      <c r="AC310">
        <v>99.82</v>
      </c>
      <c r="AD310">
        <v>433</v>
      </c>
      <c r="AE310">
        <v>471</v>
      </c>
    </row>
    <row r="311" spans="1:31" x14ac:dyDescent="0.25">
      <c r="A311" t="s">
        <v>1692</v>
      </c>
      <c r="B311" t="s">
        <v>1693</v>
      </c>
      <c r="C311" s="1">
        <v>44111</v>
      </c>
      <c r="D311" s="1">
        <v>45460</v>
      </c>
      <c r="E311" t="s">
        <v>50</v>
      </c>
      <c r="F311" t="s">
        <v>51</v>
      </c>
      <c r="G311" t="s">
        <v>94</v>
      </c>
      <c r="H311" t="s">
        <v>116</v>
      </c>
      <c r="I311" t="s">
        <v>1694</v>
      </c>
      <c r="J311" t="s">
        <v>82</v>
      </c>
      <c r="K311" t="s">
        <v>83</v>
      </c>
      <c r="L311" t="s">
        <v>1695</v>
      </c>
      <c r="M311">
        <v>162.47</v>
      </c>
      <c r="N311">
        <v>12</v>
      </c>
      <c r="O311" t="s">
        <v>1696</v>
      </c>
      <c r="P311" t="s">
        <v>86</v>
      </c>
      <c r="Q311" t="s">
        <v>290</v>
      </c>
      <c r="R311" t="s">
        <v>153</v>
      </c>
      <c r="S311" t="s">
        <v>74</v>
      </c>
      <c r="T311" t="s">
        <v>642</v>
      </c>
      <c r="U311">
        <v>69</v>
      </c>
      <c r="V311">
        <v>339</v>
      </c>
      <c r="W311">
        <v>7</v>
      </c>
      <c r="X311">
        <v>232.22</v>
      </c>
      <c r="Y311">
        <v>187.88</v>
      </c>
      <c r="Z311">
        <v>420.1</v>
      </c>
      <c r="AA311" t="s">
        <v>63</v>
      </c>
      <c r="AB311">
        <v>0</v>
      </c>
      <c r="AC311">
        <v>92.21</v>
      </c>
      <c r="AD311">
        <v>481</v>
      </c>
      <c r="AE311">
        <v>433</v>
      </c>
    </row>
    <row r="312" spans="1:31" x14ac:dyDescent="0.25">
      <c r="A312" t="s">
        <v>1697</v>
      </c>
      <c r="B312" t="s">
        <v>1698</v>
      </c>
      <c r="C312" s="1">
        <v>45397</v>
      </c>
      <c r="D312" s="1">
        <v>44273</v>
      </c>
      <c r="E312" t="s">
        <v>66</v>
      </c>
      <c r="F312" t="s">
        <v>93</v>
      </c>
      <c r="G312" t="s">
        <v>52</v>
      </c>
      <c r="H312" t="s">
        <v>164</v>
      </c>
      <c r="I312" t="s">
        <v>1699</v>
      </c>
      <c r="J312" t="s">
        <v>82</v>
      </c>
      <c r="K312" t="s">
        <v>97</v>
      </c>
      <c r="L312" t="s">
        <v>1700</v>
      </c>
      <c r="M312">
        <v>381.67</v>
      </c>
      <c r="N312">
        <v>87</v>
      </c>
      <c r="O312" t="s">
        <v>1701</v>
      </c>
      <c r="P312" t="s">
        <v>142</v>
      </c>
      <c r="Q312" t="s">
        <v>87</v>
      </c>
      <c r="R312" t="s">
        <v>44</v>
      </c>
      <c r="S312" t="s">
        <v>89</v>
      </c>
      <c r="T312" t="s">
        <v>422</v>
      </c>
      <c r="U312">
        <v>3637</v>
      </c>
      <c r="V312">
        <v>387</v>
      </c>
      <c r="W312">
        <v>2</v>
      </c>
      <c r="X312">
        <v>1327.73</v>
      </c>
      <c r="Y312">
        <v>57.99</v>
      </c>
      <c r="Z312">
        <v>1385.72</v>
      </c>
      <c r="AA312" t="s">
        <v>63</v>
      </c>
      <c r="AB312">
        <v>0</v>
      </c>
      <c r="AC312">
        <v>92.12</v>
      </c>
      <c r="AD312">
        <v>190</v>
      </c>
      <c r="AE312">
        <v>225</v>
      </c>
    </row>
    <row r="313" spans="1:31" x14ac:dyDescent="0.25">
      <c r="A313" t="s">
        <v>1702</v>
      </c>
      <c r="B313" t="s">
        <v>1703</v>
      </c>
      <c r="C313" s="1">
        <v>44227</v>
      </c>
      <c r="D313" s="1">
        <v>45478</v>
      </c>
      <c r="E313" t="s">
        <v>66</v>
      </c>
      <c r="F313" t="s">
        <v>34</v>
      </c>
      <c r="G313" t="s">
        <v>115</v>
      </c>
      <c r="H313" t="s">
        <v>116</v>
      </c>
      <c r="I313" t="s">
        <v>1704</v>
      </c>
      <c r="J313" t="s">
        <v>96</v>
      </c>
      <c r="K313" t="s">
        <v>56</v>
      </c>
      <c r="L313" t="s">
        <v>1705</v>
      </c>
      <c r="M313">
        <v>34.590000000000003</v>
      </c>
      <c r="N313">
        <v>83</v>
      </c>
      <c r="O313" t="s">
        <v>1706</v>
      </c>
      <c r="P313" t="s">
        <v>59</v>
      </c>
      <c r="Q313" t="s">
        <v>461</v>
      </c>
      <c r="R313" t="s">
        <v>88</v>
      </c>
      <c r="S313" t="s">
        <v>74</v>
      </c>
      <c r="T313" t="s">
        <v>530</v>
      </c>
      <c r="U313">
        <v>4274</v>
      </c>
      <c r="V313">
        <v>386</v>
      </c>
      <c r="W313">
        <v>22</v>
      </c>
      <c r="X313">
        <v>105.9</v>
      </c>
      <c r="Y313">
        <v>114.25</v>
      </c>
      <c r="Z313">
        <v>220.15</v>
      </c>
      <c r="AA313" t="s">
        <v>63</v>
      </c>
      <c r="AB313">
        <v>0</v>
      </c>
      <c r="AC313">
        <v>77.599999999999994</v>
      </c>
      <c r="AD313">
        <v>120</v>
      </c>
      <c r="AE313">
        <v>139</v>
      </c>
    </row>
    <row r="314" spans="1:31" x14ac:dyDescent="0.25">
      <c r="A314" t="s">
        <v>1707</v>
      </c>
      <c r="B314" t="s">
        <v>1708</v>
      </c>
      <c r="C314" s="1">
        <v>45650</v>
      </c>
      <c r="D314" s="1">
        <v>45333</v>
      </c>
      <c r="E314" t="s">
        <v>50</v>
      </c>
      <c r="F314" t="s">
        <v>34</v>
      </c>
      <c r="G314" t="s">
        <v>115</v>
      </c>
      <c r="H314" t="s">
        <v>116</v>
      </c>
      <c r="I314" t="s">
        <v>1709</v>
      </c>
      <c r="J314" t="s">
        <v>55</v>
      </c>
      <c r="K314" t="s">
        <v>70</v>
      </c>
      <c r="L314" t="s">
        <v>1710</v>
      </c>
      <c r="M314">
        <v>474.38</v>
      </c>
      <c r="N314">
        <v>62</v>
      </c>
      <c r="O314" t="s">
        <v>1002</v>
      </c>
      <c r="P314" t="s">
        <v>142</v>
      </c>
      <c r="Q314" t="s">
        <v>143</v>
      </c>
      <c r="R314" t="s">
        <v>61</v>
      </c>
      <c r="S314" t="s">
        <v>101</v>
      </c>
      <c r="T314" t="s">
        <v>242</v>
      </c>
      <c r="U314">
        <v>4372</v>
      </c>
      <c r="V314">
        <v>308</v>
      </c>
      <c r="W314">
        <v>22</v>
      </c>
      <c r="X314">
        <v>1808.28</v>
      </c>
      <c r="Y314">
        <v>385.12</v>
      </c>
      <c r="Z314">
        <v>2193.4</v>
      </c>
      <c r="AA314" t="s">
        <v>63</v>
      </c>
      <c r="AB314">
        <v>0</v>
      </c>
      <c r="AC314">
        <v>97.24</v>
      </c>
      <c r="AD314">
        <v>74</v>
      </c>
      <c r="AE314">
        <v>113</v>
      </c>
    </row>
    <row r="315" spans="1:31" x14ac:dyDescent="0.25">
      <c r="A315" t="s">
        <v>1711</v>
      </c>
      <c r="B315" t="s">
        <v>1712</v>
      </c>
      <c r="C315" s="1">
        <v>44371</v>
      </c>
      <c r="D315" s="1">
        <v>44268</v>
      </c>
      <c r="E315" t="s">
        <v>50</v>
      </c>
      <c r="F315" t="s">
        <v>147</v>
      </c>
      <c r="G315" t="s">
        <v>337</v>
      </c>
      <c r="H315" t="s">
        <v>80</v>
      </c>
      <c r="I315" t="s">
        <v>1713</v>
      </c>
      <c r="J315" t="s">
        <v>38</v>
      </c>
      <c r="K315" t="s">
        <v>70</v>
      </c>
      <c r="L315" t="s">
        <v>1714</v>
      </c>
      <c r="M315">
        <v>81.760000000000005</v>
      </c>
      <c r="N315">
        <v>60</v>
      </c>
      <c r="O315" t="s">
        <v>1715</v>
      </c>
      <c r="P315" t="s">
        <v>142</v>
      </c>
      <c r="Q315" t="s">
        <v>364</v>
      </c>
      <c r="R315" t="s">
        <v>61</v>
      </c>
      <c r="S315" t="s">
        <v>101</v>
      </c>
      <c r="T315" t="s">
        <v>1194</v>
      </c>
      <c r="U315">
        <v>3495</v>
      </c>
      <c r="V315">
        <v>125</v>
      </c>
      <c r="W315">
        <v>22</v>
      </c>
      <c r="X315">
        <v>169.91</v>
      </c>
      <c r="Y315">
        <v>235.23</v>
      </c>
      <c r="Z315">
        <v>405.14</v>
      </c>
      <c r="AA315" t="s">
        <v>63</v>
      </c>
      <c r="AB315">
        <v>0</v>
      </c>
      <c r="AC315">
        <v>84.05</v>
      </c>
      <c r="AD315">
        <v>109</v>
      </c>
      <c r="AE315">
        <v>84</v>
      </c>
    </row>
    <row r="316" spans="1:31" x14ac:dyDescent="0.25">
      <c r="A316" t="s">
        <v>1716</v>
      </c>
      <c r="B316" t="s">
        <v>1717</v>
      </c>
      <c r="C316" s="1">
        <v>45300</v>
      </c>
      <c r="D316" s="1">
        <v>45153</v>
      </c>
      <c r="E316" t="s">
        <v>50</v>
      </c>
      <c r="F316" t="s">
        <v>34</v>
      </c>
      <c r="G316" t="s">
        <v>67</v>
      </c>
      <c r="H316" t="s">
        <v>164</v>
      </c>
      <c r="I316" t="s">
        <v>1718</v>
      </c>
      <c r="J316" t="s">
        <v>96</v>
      </c>
      <c r="K316" t="s">
        <v>70</v>
      </c>
      <c r="L316" t="s">
        <v>1719</v>
      </c>
      <c r="M316">
        <v>115.69</v>
      </c>
      <c r="N316">
        <v>69</v>
      </c>
      <c r="O316" t="s">
        <v>1720</v>
      </c>
      <c r="P316" t="s">
        <v>59</v>
      </c>
      <c r="Q316" t="s">
        <v>100</v>
      </c>
      <c r="R316" t="s">
        <v>44</v>
      </c>
      <c r="S316" t="s">
        <v>74</v>
      </c>
      <c r="T316" t="s">
        <v>279</v>
      </c>
      <c r="U316">
        <v>2791</v>
      </c>
      <c r="V316">
        <v>174</v>
      </c>
      <c r="W316">
        <v>16</v>
      </c>
      <c r="X316">
        <v>245.36</v>
      </c>
      <c r="Y316">
        <v>367.06</v>
      </c>
      <c r="Z316">
        <v>612.42000000000007</v>
      </c>
      <c r="AA316" t="s">
        <v>63</v>
      </c>
      <c r="AB316">
        <v>0</v>
      </c>
      <c r="AC316">
        <v>77.78</v>
      </c>
      <c r="AD316">
        <v>423</v>
      </c>
      <c r="AE316">
        <v>383</v>
      </c>
    </row>
    <row r="317" spans="1:31" x14ac:dyDescent="0.25">
      <c r="A317" t="s">
        <v>1721</v>
      </c>
      <c r="B317" t="s">
        <v>1722</v>
      </c>
      <c r="C317" s="1">
        <v>43892</v>
      </c>
      <c r="D317" s="1">
        <v>45587</v>
      </c>
      <c r="E317" t="s">
        <v>66</v>
      </c>
      <c r="F317" t="s">
        <v>51</v>
      </c>
      <c r="G317" t="s">
        <v>52</v>
      </c>
      <c r="H317" t="s">
        <v>218</v>
      </c>
      <c r="I317" t="s">
        <v>1723</v>
      </c>
      <c r="J317" t="s">
        <v>38</v>
      </c>
      <c r="K317" t="s">
        <v>56</v>
      </c>
      <c r="L317" t="s">
        <v>1724</v>
      </c>
      <c r="M317">
        <v>260.05</v>
      </c>
      <c r="N317">
        <v>59</v>
      </c>
      <c r="O317" t="s">
        <v>1121</v>
      </c>
      <c r="P317" t="s">
        <v>142</v>
      </c>
      <c r="Q317" t="s">
        <v>364</v>
      </c>
      <c r="R317" t="s">
        <v>44</v>
      </c>
      <c r="S317" t="s">
        <v>89</v>
      </c>
      <c r="T317" t="s">
        <v>102</v>
      </c>
      <c r="U317">
        <v>1081</v>
      </c>
      <c r="V317">
        <v>327</v>
      </c>
      <c r="W317">
        <v>27</v>
      </c>
      <c r="X317">
        <v>1818.91</v>
      </c>
      <c r="Y317">
        <v>372.44</v>
      </c>
      <c r="Z317">
        <v>2191.35</v>
      </c>
      <c r="AA317" t="s">
        <v>63</v>
      </c>
      <c r="AB317">
        <v>0</v>
      </c>
      <c r="AC317">
        <v>79.650000000000006</v>
      </c>
      <c r="AD317">
        <v>291</v>
      </c>
      <c r="AE317">
        <v>260</v>
      </c>
    </row>
    <row r="318" spans="1:31" x14ac:dyDescent="0.25">
      <c r="A318" t="s">
        <v>1725</v>
      </c>
      <c r="B318" t="s">
        <v>1726</v>
      </c>
      <c r="C318" s="1">
        <v>43949</v>
      </c>
      <c r="D318" s="1">
        <v>45231</v>
      </c>
      <c r="E318" t="s">
        <v>50</v>
      </c>
      <c r="F318" t="s">
        <v>51</v>
      </c>
      <c r="G318" t="s">
        <v>79</v>
      </c>
      <c r="H318" t="s">
        <v>164</v>
      </c>
      <c r="I318" t="s">
        <v>1727</v>
      </c>
      <c r="J318" t="s">
        <v>107</v>
      </c>
      <c r="K318" t="s">
        <v>83</v>
      </c>
      <c r="L318" t="s">
        <v>1728</v>
      </c>
      <c r="M318">
        <v>18.329999999999998</v>
      </c>
      <c r="N318">
        <v>13</v>
      </c>
      <c r="O318" t="s">
        <v>1729</v>
      </c>
      <c r="P318" t="s">
        <v>86</v>
      </c>
      <c r="Q318" t="s">
        <v>234</v>
      </c>
      <c r="R318" t="s">
        <v>61</v>
      </c>
      <c r="S318" t="s">
        <v>89</v>
      </c>
      <c r="T318" t="s">
        <v>559</v>
      </c>
      <c r="U318">
        <v>1012</v>
      </c>
      <c r="V318">
        <v>357</v>
      </c>
      <c r="W318">
        <v>28</v>
      </c>
      <c r="X318">
        <v>1759.5</v>
      </c>
      <c r="Y318">
        <v>153.87</v>
      </c>
      <c r="Z318">
        <v>1913.37</v>
      </c>
      <c r="AA318" t="s">
        <v>63</v>
      </c>
      <c r="AB318">
        <v>0</v>
      </c>
      <c r="AC318">
        <v>83.64</v>
      </c>
      <c r="AD318">
        <v>244</v>
      </c>
      <c r="AE318">
        <v>236</v>
      </c>
    </row>
    <row r="319" spans="1:31" x14ac:dyDescent="0.25">
      <c r="A319" t="s">
        <v>1730</v>
      </c>
      <c r="B319" t="s">
        <v>1009</v>
      </c>
      <c r="C319" s="1">
        <v>44066</v>
      </c>
      <c r="D319" s="1">
        <v>44742</v>
      </c>
      <c r="E319" t="s">
        <v>66</v>
      </c>
      <c r="F319" t="s">
        <v>147</v>
      </c>
      <c r="G319" t="s">
        <v>35</v>
      </c>
      <c r="H319" t="s">
        <v>116</v>
      </c>
      <c r="I319" t="s">
        <v>1731</v>
      </c>
      <c r="J319" t="s">
        <v>38</v>
      </c>
      <c r="K319" t="s">
        <v>39</v>
      </c>
      <c r="L319" t="s">
        <v>1732</v>
      </c>
      <c r="M319">
        <v>161.59</v>
      </c>
      <c r="N319">
        <v>49</v>
      </c>
      <c r="O319" t="s">
        <v>1733</v>
      </c>
      <c r="P319" t="s">
        <v>86</v>
      </c>
      <c r="Q319" t="s">
        <v>997</v>
      </c>
      <c r="R319" t="s">
        <v>61</v>
      </c>
      <c r="S319" t="s">
        <v>101</v>
      </c>
      <c r="T319" t="s">
        <v>530</v>
      </c>
      <c r="U319">
        <v>1119</v>
      </c>
      <c r="V319">
        <v>430</v>
      </c>
      <c r="W319">
        <v>22</v>
      </c>
      <c r="X319">
        <v>390.29</v>
      </c>
      <c r="Y319">
        <v>21.3</v>
      </c>
      <c r="Z319">
        <v>411.59</v>
      </c>
      <c r="AA319" t="s">
        <v>63</v>
      </c>
      <c r="AB319">
        <v>0</v>
      </c>
      <c r="AC319">
        <v>96.28</v>
      </c>
      <c r="AD319">
        <v>266</v>
      </c>
      <c r="AE319">
        <v>226</v>
      </c>
    </row>
    <row r="320" spans="1:31" x14ac:dyDescent="0.25">
      <c r="A320" t="s">
        <v>1734</v>
      </c>
      <c r="B320" t="s">
        <v>1735</v>
      </c>
      <c r="C320" s="1">
        <v>45005</v>
      </c>
      <c r="D320" s="1">
        <v>44140</v>
      </c>
      <c r="E320" t="s">
        <v>66</v>
      </c>
      <c r="F320" t="s">
        <v>34</v>
      </c>
      <c r="G320" t="s">
        <v>67</v>
      </c>
      <c r="H320" t="s">
        <v>164</v>
      </c>
      <c r="I320" t="s">
        <v>1736</v>
      </c>
      <c r="J320" t="s">
        <v>38</v>
      </c>
      <c r="K320" t="s">
        <v>70</v>
      </c>
      <c r="L320" t="s">
        <v>1737</v>
      </c>
      <c r="M320">
        <v>434.8</v>
      </c>
      <c r="N320">
        <v>98</v>
      </c>
      <c r="O320" t="s">
        <v>1012</v>
      </c>
      <c r="P320" t="s">
        <v>110</v>
      </c>
      <c r="Q320" t="s">
        <v>60</v>
      </c>
      <c r="R320" t="s">
        <v>61</v>
      </c>
      <c r="S320" t="s">
        <v>128</v>
      </c>
      <c r="T320" t="s">
        <v>161</v>
      </c>
      <c r="U320">
        <v>3115</v>
      </c>
      <c r="V320">
        <v>321</v>
      </c>
      <c r="W320">
        <v>27</v>
      </c>
      <c r="X320">
        <v>1285.57</v>
      </c>
      <c r="Y320">
        <v>395.25</v>
      </c>
      <c r="Z320">
        <v>1680.82</v>
      </c>
      <c r="AA320" t="s">
        <v>63</v>
      </c>
      <c r="AB320">
        <v>0</v>
      </c>
      <c r="AC320">
        <v>83.3</v>
      </c>
      <c r="AD320">
        <v>441</v>
      </c>
      <c r="AE320">
        <v>468</v>
      </c>
    </row>
    <row r="321" spans="1:31" x14ac:dyDescent="0.25">
      <c r="A321" t="s">
        <v>1738</v>
      </c>
      <c r="B321" t="s">
        <v>1739</v>
      </c>
      <c r="C321" s="1">
        <v>44116</v>
      </c>
      <c r="D321" s="1">
        <v>44278</v>
      </c>
      <c r="E321" t="s">
        <v>66</v>
      </c>
      <c r="F321" t="s">
        <v>147</v>
      </c>
      <c r="G321" t="s">
        <v>79</v>
      </c>
      <c r="H321" t="s">
        <v>116</v>
      </c>
      <c r="I321" t="s">
        <v>1740</v>
      </c>
      <c r="J321" t="s">
        <v>107</v>
      </c>
      <c r="K321" t="s">
        <v>83</v>
      </c>
      <c r="L321" t="s">
        <v>1741</v>
      </c>
      <c r="M321">
        <v>148.68</v>
      </c>
      <c r="N321">
        <v>12</v>
      </c>
      <c r="O321" t="s">
        <v>1742</v>
      </c>
      <c r="P321" t="s">
        <v>110</v>
      </c>
      <c r="Q321" t="s">
        <v>322</v>
      </c>
      <c r="R321" t="s">
        <v>61</v>
      </c>
      <c r="S321" t="s">
        <v>74</v>
      </c>
      <c r="T321" t="s">
        <v>161</v>
      </c>
      <c r="U321">
        <v>2949</v>
      </c>
      <c r="V321">
        <v>360</v>
      </c>
      <c r="W321">
        <v>16</v>
      </c>
      <c r="X321">
        <v>847.71</v>
      </c>
      <c r="Y321">
        <v>457.99</v>
      </c>
      <c r="Z321">
        <v>1305.7</v>
      </c>
      <c r="AA321" t="s">
        <v>63</v>
      </c>
      <c r="AB321">
        <v>0</v>
      </c>
      <c r="AC321">
        <v>81.19</v>
      </c>
      <c r="AD321">
        <v>81</v>
      </c>
      <c r="AE321">
        <v>74</v>
      </c>
    </row>
    <row r="322" spans="1:31" x14ac:dyDescent="0.25">
      <c r="A322" t="s">
        <v>1743</v>
      </c>
      <c r="B322" t="s">
        <v>1744</v>
      </c>
      <c r="C322" s="1">
        <v>45553</v>
      </c>
      <c r="D322" s="1">
        <v>44899</v>
      </c>
      <c r="E322" t="s">
        <v>50</v>
      </c>
      <c r="F322" t="s">
        <v>34</v>
      </c>
      <c r="G322" t="s">
        <v>337</v>
      </c>
      <c r="H322" t="s">
        <v>36</v>
      </c>
      <c r="I322" t="s">
        <v>1745</v>
      </c>
      <c r="J322" t="s">
        <v>82</v>
      </c>
      <c r="K322" t="s">
        <v>83</v>
      </c>
      <c r="L322" t="s">
        <v>1746</v>
      </c>
      <c r="M322">
        <v>444.98</v>
      </c>
      <c r="N322">
        <v>31</v>
      </c>
      <c r="O322" t="s">
        <v>1747</v>
      </c>
      <c r="P322" t="s">
        <v>42</v>
      </c>
      <c r="Q322" t="s">
        <v>315</v>
      </c>
      <c r="R322" t="s">
        <v>44</v>
      </c>
      <c r="S322" t="s">
        <v>45</v>
      </c>
      <c r="T322" t="s">
        <v>169</v>
      </c>
      <c r="U322">
        <v>1050</v>
      </c>
      <c r="V322">
        <v>259</v>
      </c>
      <c r="W322">
        <v>18</v>
      </c>
      <c r="X322">
        <v>1375.21</v>
      </c>
      <c r="Y322">
        <v>166.39</v>
      </c>
      <c r="Z322">
        <v>1541.6</v>
      </c>
      <c r="AA322" t="s">
        <v>63</v>
      </c>
      <c r="AB322">
        <v>0</v>
      </c>
      <c r="AC322">
        <v>89.92</v>
      </c>
      <c r="AD322">
        <v>378</v>
      </c>
      <c r="AE322">
        <v>370</v>
      </c>
    </row>
    <row r="323" spans="1:31" x14ac:dyDescent="0.25">
      <c r="A323" t="s">
        <v>1748</v>
      </c>
      <c r="B323" t="s">
        <v>1749</v>
      </c>
      <c r="C323" s="1">
        <v>44892</v>
      </c>
      <c r="D323" s="1">
        <v>45004</v>
      </c>
      <c r="E323" t="s">
        <v>66</v>
      </c>
      <c r="F323" t="s">
        <v>78</v>
      </c>
      <c r="G323" t="s">
        <v>52</v>
      </c>
      <c r="H323" t="s">
        <v>53</v>
      </c>
      <c r="I323" t="s">
        <v>1750</v>
      </c>
      <c r="J323" t="s">
        <v>107</v>
      </c>
      <c r="K323" t="s">
        <v>70</v>
      </c>
      <c r="L323" t="s">
        <v>1751</v>
      </c>
      <c r="M323">
        <v>67.19</v>
      </c>
      <c r="N323">
        <v>33</v>
      </c>
      <c r="O323" t="s">
        <v>1752</v>
      </c>
      <c r="P323" t="s">
        <v>42</v>
      </c>
      <c r="Q323" t="s">
        <v>100</v>
      </c>
      <c r="R323" t="s">
        <v>61</v>
      </c>
      <c r="S323" t="s">
        <v>128</v>
      </c>
      <c r="T323" t="s">
        <v>559</v>
      </c>
      <c r="U323">
        <v>2248</v>
      </c>
      <c r="V323">
        <v>74</v>
      </c>
      <c r="W323">
        <v>17</v>
      </c>
      <c r="X323">
        <v>1632.49</v>
      </c>
      <c r="Y323">
        <v>184.66</v>
      </c>
      <c r="Z323">
        <v>1817.15</v>
      </c>
      <c r="AA323" t="s">
        <v>63</v>
      </c>
      <c r="AB323">
        <v>0</v>
      </c>
      <c r="AC323">
        <v>91.71</v>
      </c>
      <c r="AD323">
        <v>172</v>
      </c>
      <c r="AE323">
        <v>197</v>
      </c>
    </row>
    <row r="324" spans="1:31" x14ac:dyDescent="0.25">
      <c r="A324" t="s">
        <v>1753</v>
      </c>
      <c r="B324" t="s">
        <v>1754</v>
      </c>
      <c r="C324" s="1">
        <v>43879</v>
      </c>
      <c r="D324" s="1">
        <v>44157</v>
      </c>
      <c r="E324" t="s">
        <v>50</v>
      </c>
      <c r="F324" t="s">
        <v>34</v>
      </c>
      <c r="G324" t="s">
        <v>52</v>
      </c>
      <c r="H324" t="s">
        <v>116</v>
      </c>
      <c r="I324" t="s">
        <v>1755</v>
      </c>
      <c r="J324" t="s">
        <v>55</v>
      </c>
      <c r="K324" t="s">
        <v>97</v>
      </c>
      <c r="L324" t="s">
        <v>1756</v>
      </c>
      <c r="M324">
        <v>368.08</v>
      </c>
      <c r="N324">
        <v>26</v>
      </c>
      <c r="O324" t="s">
        <v>334</v>
      </c>
      <c r="P324" t="s">
        <v>42</v>
      </c>
      <c r="Q324" t="s">
        <v>189</v>
      </c>
      <c r="R324" t="s">
        <v>61</v>
      </c>
      <c r="S324" t="s">
        <v>128</v>
      </c>
      <c r="T324" t="s">
        <v>316</v>
      </c>
      <c r="U324">
        <v>990</v>
      </c>
      <c r="V324">
        <v>223</v>
      </c>
      <c r="W324">
        <v>1</v>
      </c>
      <c r="X324">
        <v>602.34</v>
      </c>
      <c r="Y324">
        <v>68.13</v>
      </c>
      <c r="Z324">
        <v>670.47</v>
      </c>
      <c r="AA324" t="s">
        <v>63</v>
      </c>
      <c r="AB324">
        <v>0</v>
      </c>
      <c r="AC324">
        <v>77.27</v>
      </c>
      <c r="AD324">
        <v>114</v>
      </c>
      <c r="AE324">
        <v>115</v>
      </c>
    </row>
    <row r="325" spans="1:31" x14ac:dyDescent="0.25">
      <c r="A325" t="s">
        <v>1757</v>
      </c>
      <c r="B325" t="s">
        <v>1758</v>
      </c>
      <c r="C325" s="1">
        <v>44779</v>
      </c>
      <c r="D325" s="1">
        <v>45455</v>
      </c>
      <c r="E325" t="s">
        <v>66</v>
      </c>
      <c r="F325" t="s">
        <v>51</v>
      </c>
      <c r="G325" t="s">
        <v>67</v>
      </c>
      <c r="H325" t="s">
        <v>36</v>
      </c>
      <c r="I325" t="s">
        <v>1759</v>
      </c>
      <c r="J325" t="s">
        <v>96</v>
      </c>
      <c r="K325" t="s">
        <v>83</v>
      </c>
      <c r="L325" t="s">
        <v>1760</v>
      </c>
      <c r="M325">
        <v>74.599999999999994</v>
      </c>
      <c r="N325">
        <v>48</v>
      </c>
      <c r="O325" t="s">
        <v>1761</v>
      </c>
      <c r="P325" t="s">
        <v>142</v>
      </c>
      <c r="Q325" t="s">
        <v>290</v>
      </c>
      <c r="R325" t="s">
        <v>44</v>
      </c>
      <c r="S325" t="s">
        <v>74</v>
      </c>
      <c r="T325" t="s">
        <v>365</v>
      </c>
      <c r="U325">
        <v>3024</v>
      </c>
      <c r="V325">
        <v>353</v>
      </c>
      <c r="W325">
        <v>26</v>
      </c>
      <c r="X325">
        <v>571.69000000000005</v>
      </c>
      <c r="Y325">
        <v>10.44</v>
      </c>
      <c r="Z325">
        <v>582.13000000000011</v>
      </c>
      <c r="AA325" t="s">
        <v>63</v>
      </c>
      <c r="AB325">
        <v>0</v>
      </c>
      <c r="AC325">
        <v>71.540000000000006</v>
      </c>
      <c r="AD325">
        <v>477</v>
      </c>
      <c r="AE325">
        <v>437</v>
      </c>
    </row>
    <row r="326" spans="1:31" x14ac:dyDescent="0.25">
      <c r="A326" t="s">
        <v>1762</v>
      </c>
      <c r="B326" t="s">
        <v>1763</v>
      </c>
      <c r="C326" s="1">
        <v>45025</v>
      </c>
      <c r="D326" s="1">
        <v>44180</v>
      </c>
      <c r="E326" t="s">
        <v>66</v>
      </c>
      <c r="F326" t="s">
        <v>78</v>
      </c>
      <c r="G326" t="s">
        <v>67</v>
      </c>
      <c r="H326" t="s">
        <v>148</v>
      </c>
      <c r="I326" t="s">
        <v>1764</v>
      </c>
      <c r="J326" t="s">
        <v>55</v>
      </c>
      <c r="K326" t="s">
        <v>70</v>
      </c>
      <c r="L326" t="s">
        <v>1765</v>
      </c>
      <c r="M326">
        <v>488.27</v>
      </c>
      <c r="N326">
        <v>31</v>
      </c>
      <c r="O326" t="s">
        <v>1766</v>
      </c>
      <c r="P326" t="s">
        <v>59</v>
      </c>
      <c r="Q326" t="s">
        <v>152</v>
      </c>
      <c r="R326" t="s">
        <v>44</v>
      </c>
      <c r="S326" t="s">
        <v>45</v>
      </c>
      <c r="T326" t="s">
        <v>927</v>
      </c>
      <c r="U326">
        <v>1605</v>
      </c>
      <c r="V326">
        <v>229</v>
      </c>
      <c r="W326">
        <v>10</v>
      </c>
      <c r="X326">
        <v>1398.28</v>
      </c>
      <c r="Y326">
        <v>12.55</v>
      </c>
      <c r="Z326">
        <v>1410.83</v>
      </c>
      <c r="AA326" t="s">
        <v>63</v>
      </c>
      <c r="AB326">
        <v>0</v>
      </c>
      <c r="AC326">
        <v>92.16</v>
      </c>
      <c r="AD326">
        <v>396</v>
      </c>
      <c r="AE326">
        <v>394</v>
      </c>
    </row>
    <row r="327" spans="1:31" x14ac:dyDescent="0.25">
      <c r="A327" t="s">
        <v>1767</v>
      </c>
      <c r="B327" t="s">
        <v>1768</v>
      </c>
      <c r="C327" s="1">
        <v>43885</v>
      </c>
      <c r="D327" s="1">
        <v>44122</v>
      </c>
      <c r="E327" t="s">
        <v>66</v>
      </c>
      <c r="F327" t="s">
        <v>51</v>
      </c>
      <c r="G327" t="s">
        <v>52</v>
      </c>
      <c r="H327" t="s">
        <v>53</v>
      </c>
      <c r="I327" t="s">
        <v>1769</v>
      </c>
      <c r="J327" t="s">
        <v>96</v>
      </c>
      <c r="K327" t="s">
        <v>83</v>
      </c>
      <c r="L327" t="s">
        <v>1770</v>
      </c>
      <c r="M327">
        <v>412.38</v>
      </c>
      <c r="N327">
        <v>71</v>
      </c>
      <c r="O327" t="s">
        <v>1304</v>
      </c>
      <c r="P327" t="s">
        <v>59</v>
      </c>
      <c r="Q327" t="s">
        <v>100</v>
      </c>
      <c r="R327" t="s">
        <v>44</v>
      </c>
      <c r="S327" t="s">
        <v>128</v>
      </c>
      <c r="T327" t="s">
        <v>273</v>
      </c>
      <c r="U327">
        <v>4511</v>
      </c>
      <c r="V327">
        <v>54</v>
      </c>
      <c r="W327">
        <v>20</v>
      </c>
      <c r="X327">
        <v>1633.48</v>
      </c>
      <c r="Y327">
        <v>53.47</v>
      </c>
      <c r="Z327">
        <v>1686.95</v>
      </c>
      <c r="AA327" t="s">
        <v>63</v>
      </c>
      <c r="AB327">
        <v>0</v>
      </c>
      <c r="AC327">
        <v>83.12</v>
      </c>
      <c r="AD327">
        <v>411</v>
      </c>
      <c r="AE327">
        <v>445</v>
      </c>
    </row>
    <row r="328" spans="1:31" x14ac:dyDescent="0.25">
      <c r="A328" t="s">
        <v>1771</v>
      </c>
      <c r="B328" t="s">
        <v>1772</v>
      </c>
      <c r="C328" s="1">
        <v>45633</v>
      </c>
      <c r="D328" s="1">
        <v>44915</v>
      </c>
      <c r="E328" t="s">
        <v>33</v>
      </c>
      <c r="F328" t="s">
        <v>51</v>
      </c>
      <c r="G328" t="s">
        <v>115</v>
      </c>
      <c r="H328" t="s">
        <v>68</v>
      </c>
      <c r="I328" t="s">
        <v>1773</v>
      </c>
      <c r="J328" t="s">
        <v>96</v>
      </c>
      <c r="K328" t="s">
        <v>56</v>
      </c>
      <c r="L328" t="s">
        <v>1774</v>
      </c>
      <c r="M328">
        <v>288.37</v>
      </c>
      <c r="N328">
        <v>82</v>
      </c>
      <c r="O328" t="s">
        <v>284</v>
      </c>
      <c r="P328" t="s">
        <v>110</v>
      </c>
      <c r="Q328" t="s">
        <v>111</v>
      </c>
      <c r="R328" t="s">
        <v>61</v>
      </c>
      <c r="S328" t="s">
        <v>45</v>
      </c>
      <c r="T328" t="s">
        <v>262</v>
      </c>
      <c r="U328">
        <v>3927</v>
      </c>
      <c r="V328">
        <v>377</v>
      </c>
      <c r="W328">
        <v>27</v>
      </c>
      <c r="X328">
        <v>109.87</v>
      </c>
      <c r="Y328">
        <v>424.9</v>
      </c>
      <c r="Z328">
        <v>534.77</v>
      </c>
      <c r="AA328" t="s">
        <v>63</v>
      </c>
      <c r="AB328">
        <v>0</v>
      </c>
      <c r="AC328">
        <v>78.31</v>
      </c>
      <c r="AD328">
        <v>426</v>
      </c>
      <c r="AE328">
        <v>399</v>
      </c>
    </row>
    <row r="329" spans="1:31" x14ac:dyDescent="0.25">
      <c r="A329" t="s">
        <v>1775</v>
      </c>
      <c r="B329" t="s">
        <v>1776</v>
      </c>
      <c r="C329" s="1">
        <v>44428</v>
      </c>
      <c r="D329" s="1">
        <v>43976</v>
      </c>
      <c r="E329" t="s">
        <v>33</v>
      </c>
      <c r="F329" t="s">
        <v>78</v>
      </c>
      <c r="G329" t="s">
        <v>35</v>
      </c>
      <c r="H329" t="s">
        <v>164</v>
      </c>
      <c r="I329" t="s">
        <v>1777</v>
      </c>
      <c r="J329" t="s">
        <v>96</v>
      </c>
      <c r="K329" t="s">
        <v>70</v>
      </c>
      <c r="L329" t="s">
        <v>1778</v>
      </c>
      <c r="M329">
        <v>85.45</v>
      </c>
      <c r="N329">
        <v>27</v>
      </c>
      <c r="O329" t="s">
        <v>1779</v>
      </c>
      <c r="P329" t="s">
        <v>42</v>
      </c>
      <c r="Q329" t="s">
        <v>143</v>
      </c>
      <c r="R329" t="s">
        <v>61</v>
      </c>
      <c r="S329" t="s">
        <v>89</v>
      </c>
      <c r="T329" t="s">
        <v>365</v>
      </c>
      <c r="U329">
        <v>1917</v>
      </c>
      <c r="V329">
        <v>355</v>
      </c>
      <c r="W329">
        <v>7</v>
      </c>
      <c r="X329">
        <v>167.97</v>
      </c>
      <c r="Y329">
        <v>319.38</v>
      </c>
      <c r="Z329">
        <v>487.35</v>
      </c>
      <c r="AA329" t="s">
        <v>63</v>
      </c>
      <c r="AB329">
        <v>0</v>
      </c>
      <c r="AC329">
        <v>97.17</v>
      </c>
      <c r="AD329">
        <v>166</v>
      </c>
      <c r="AE329">
        <v>165</v>
      </c>
    </row>
    <row r="330" spans="1:31" x14ac:dyDescent="0.25">
      <c r="A330" t="s">
        <v>1780</v>
      </c>
      <c r="B330" t="s">
        <v>1781</v>
      </c>
      <c r="C330" s="1">
        <v>45220</v>
      </c>
      <c r="D330" s="1">
        <v>43891</v>
      </c>
      <c r="E330" t="s">
        <v>50</v>
      </c>
      <c r="F330" t="s">
        <v>78</v>
      </c>
      <c r="G330" t="s">
        <v>79</v>
      </c>
      <c r="H330" t="s">
        <v>36</v>
      </c>
      <c r="I330" t="s">
        <v>1782</v>
      </c>
      <c r="J330" t="s">
        <v>96</v>
      </c>
      <c r="K330" t="s">
        <v>39</v>
      </c>
      <c r="L330" t="s">
        <v>1783</v>
      </c>
      <c r="M330">
        <v>201.32</v>
      </c>
      <c r="N330">
        <v>13</v>
      </c>
      <c r="O330" t="s">
        <v>932</v>
      </c>
      <c r="P330" t="s">
        <v>86</v>
      </c>
      <c r="Q330" t="s">
        <v>322</v>
      </c>
      <c r="R330" t="s">
        <v>44</v>
      </c>
      <c r="S330" t="s">
        <v>128</v>
      </c>
      <c r="T330" t="s">
        <v>559</v>
      </c>
      <c r="U330">
        <v>71</v>
      </c>
      <c r="V330">
        <v>400</v>
      </c>
      <c r="W330">
        <v>24</v>
      </c>
      <c r="X330">
        <v>140.58000000000001</v>
      </c>
      <c r="Y330">
        <v>113.57</v>
      </c>
      <c r="Z330">
        <v>254.15</v>
      </c>
      <c r="AA330" t="s">
        <v>63</v>
      </c>
      <c r="AB330">
        <v>0</v>
      </c>
      <c r="AC330">
        <v>82.27</v>
      </c>
      <c r="AD330">
        <v>255</v>
      </c>
      <c r="AE330">
        <v>208</v>
      </c>
    </row>
    <row r="331" spans="1:31" x14ac:dyDescent="0.25">
      <c r="A331" t="s">
        <v>1784</v>
      </c>
      <c r="B331" t="s">
        <v>1785</v>
      </c>
      <c r="C331" s="1">
        <v>43900</v>
      </c>
      <c r="D331" s="1">
        <v>45118</v>
      </c>
      <c r="E331" t="s">
        <v>50</v>
      </c>
      <c r="F331" t="s">
        <v>93</v>
      </c>
      <c r="G331" t="s">
        <v>94</v>
      </c>
      <c r="H331" t="s">
        <v>36</v>
      </c>
      <c r="I331" t="s">
        <v>1420</v>
      </c>
      <c r="J331" t="s">
        <v>96</v>
      </c>
      <c r="K331" t="s">
        <v>39</v>
      </c>
      <c r="L331" t="s">
        <v>1786</v>
      </c>
      <c r="M331">
        <v>114.67</v>
      </c>
      <c r="N331">
        <v>92</v>
      </c>
      <c r="O331" t="s">
        <v>1787</v>
      </c>
      <c r="P331" t="s">
        <v>142</v>
      </c>
      <c r="Q331" t="s">
        <v>87</v>
      </c>
      <c r="R331" t="s">
        <v>88</v>
      </c>
      <c r="S331" t="s">
        <v>128</v>
      </c>
      <c r="T331" t="s">
        <v>559</v>
      </c>
      <c r="U331">
        <v>864</v>
      </c>
      <c r="V331">
        <v>419</v>
      </c>
      <c r="W331">
        <v>4</v>
      </c>
      <c r="X331">
        <v>1669.6</v>
      </c>
      <c r="Y331">
        <v>397.87</v>
      </c>
      <c r="Z331">
        <v>2067.4699999999998</v>
      </c>
      <c r="AA331" t="s">
        <v>63</v>
      </c>
      <c r="AB331">
        <v>0</v>
      </c>
      <c r="AC331">
        <v>78.87</v>
      </c>
      <c r="AD331">
        <v>456</v>
      </c>
      <c r="AE331">
        <v>471</v>
      </c>
    </row>
    <row r="332" spans="1:31" x14ac:dyDescent="0.25">
      <c r="A332" t="s">
        <v>1788</v>
      </c>
      <c r="B332" t="s">
        <v>1789</v>
      </c>
      <c r="C332" s="1">
        <v>44505</v>
      </c>
      <c r="D332" s="1">
        <v>44323</v>
      </c>
      <c r="E332" t="s">
        <v>50</v>
      </c>
      <c r="F332" t="s">
        <v>93</v>
      </c>
      <c r="G332" t="s">
        <v>115</v>
      </c>
      <c r="H332" t="s">
        <v>80</v>
      </c>
      <c r="I332" t="s">
        <v>1790</v>
      </c>
      <c r="J332" t="s">
        <v>38</v>
      </c>
      <c r="K332" t="s">
        <v>70</v>
      </c>
      <c r="L332" t="s">
        <v>808</v>
      </c>
      <c r="M332">
        <v>20.45</v>
      </c>
      <c r="N332">
        <v>5</v>
      </c>
      <c r="O332" t="s">
        <v>1791</v>
      </c>
      <c r="P332" t="s">
        <v>59</v>
      </c>
      <c r="Q332" t="s">
        <v>189</v>
      </c>
      <c r="R332" t="s">
        <v>88</v>
      </c>
      <c r="S332" t="s">
        <v>74</v>
      </c>
      <c r="T332" t="s">
        <v>262</v>
      </c>
      <c r="U332">
        <v>1259</v>
      </c>
      <c r="V332">
        <v>275</v>
      </c>
      <c r="W332">
        <v>5</v>
      </c>
      <c r="X332">
        <v>1881.61</v>
      </c>
      <c r="Y332">
        <v>334.16</v>
      </c>
      <c r="Z332">
        <v>2215.77</v>
      </c>
      <c r="AA332" t="s">
        <v>63</v>
      </c>
      <c r="AB332">
        <v>0</v>
      </c>
      <c r="AC332">
        <v>74.05</v>
      </c>
      <c r="AD332">
        <v>289</v>
      </c>
      <c r="AE332">
        <v>273</v>
      </c>
    </row>
    <row r="333" spans="1:31" x14ac:dyDescent="0.25">
      <c r="A333" t="s">
        <v>1792</v>
      </c>
      <c r="B333" t="s">
        <v>1793</v>
      </c>
      <c r="C333" s="1">
        <v>44866</v>
      </c>
      <c r="D333" s="1">
        <v>45077</v>
      </c>
      <c r="E333" t="s">
        <v>66</v>
      </c>
      <c r="F333" t="s">
        <v>93</v>
      </c>
      <c r="G333" t="s">
        <v>105</v>
      </c>
      <c r="H333" t="s">
        <v>68</v>
      </c>
      <c r="I333" t="s">
        <v>1794</v>
      </c>
      <c r="J333" t="s">
        <v>107</v>
      </c>
      <c r="K333" t="s">
        <v>83</v>
      </c>
      <c r="L333" t="s">
        <v>1795</v>
      </c>
      <c r="M333">
        <v>443.34</v>
      </c>
      <c r="N333">
        <v>20</v>
      </c>
      <c r="O333" t="s">
        <v>1618</v>
      </c>
      <c r="P333" t="s">
        <v>86</v>
      </c>
      <c r="Q333" t="s">
        <v>371</v>
      </c>
      <c r="R333" t="s">
        <v>44</v>
      </c>
      <c r="S333" t="s">
        <v>128</v>
      </c>
      <c r="T333" t="s">
        <v>927</v>
      </c>
      <c r="U333">
        <v>3253</v>
      </c>
      <c r="V333">
        <v>205</v>
      </c>
      <c r="W333">
        <v>23</v>
      </c>
      <c r="X333">
        <v>319.27</v>
      </c>
      <c r="Y333">
        <v>264.20999999999998</v>
      </c>
      <c r="Z333">
        <v>583.48</v>
      </c>
      <c r="AA333" t="s">
        <v>63</v>
      </c>
      <c r="AB333">
        <v>0</v>
      </c>
      <c r="AC333">
        <v>89.79</v>
      </c>
      <c r="AD333">
        <v>372</v>
      </c>
      <c r="AE333">
        <v>346</v>
      </c>
    </row>
    <row r="334" spans="1:31" x14ac:dyDescent="0.25">
      <c r="A334" t="s">
        <v>1796</v>
      </c>
      <c r="B334" t="s">
        <v>1797</v>
      </c>
      <c r="C334" s="1">
        <v>44090</v>
      </c>
      <c r="D334" s="1">
        <v>44433</v>
      </c>
      <c r="E334" t="s">
        <v>50</v>
      </c>
      <c r="F334" t="s">
        <v>93</v>
      </c>
      <c r="G334" t="s">
        <v>337</v>
      </c>
      <c r="H334" t="s">
        <v>116</v>
      </c>
      <c r="I334" t="s">
        <v>1798</v>
      </c>
      <c r="J334" t="s">
        <v>55</v>
      </c>
      <c r="K334" t="s">
        <v>56</v>
      </c>
      <c r="L334" t="s">
        <v>1799</v>
      </c>
      <c r="M334">
        <v>265.19</v>
      </c>
      <c r="N334">
        <v>43</v>
      </c>
      <c r="O334" t="s">
        <v>1800</v>
      </c>
      <c r="P334" t="s">
        <v>142</v>
      </c>
      <c r="Q334" t="s">
        <v>234</v>
      </c>
      <c r="R334" t="s">
        <v>61</v>
      </c>
      <c r="S334" t="s">
        <v>128</v>
      </c>
      <c r="T334" t="s">
        <v>939</v>
      </c>
      <c r="U334">
        <v>1614</v>
      </c>
      <c r="V334">
        <v>161</v>
      </c>
      <c r="W334">
        <v>24</v>
      </c>
      <c r="X334">
        <v>320.54000000000002</v>
      </c>
      <c r="Y334">
        <v>495.57</v>
      </c>
      <c r="Z334">
        <v>816.11</v>
      </c>
      <c r="AA334" t="s">
        <v>63</v>
      </c>
      <c r="AB334">
        <v>0</v>
      </c>
      <c r="AC334">
        <v>82.78</v>
      </c>
      <c r="AD334">
        <v>207</v>
      </c>
      <c r="AE334">
        <v>179</v>
      </c>
    </row>
    <row r="335" spans="1:31" x14ac:dyDescent="0.25">
      <c r="A335" t="s">
        <v>1801</v>
      </c>
      <c r="B335" t="s">
        <v>1802</v>
      </c>
      <c r="C335" s="1">
        <v>44876</v>
      </c>
      <c r="D335" s="1">
        <v>44082</v>
      </c>
      <c r="E335" t="s">
        <v>66</v>
      </c>
      <c r="F335" t="s">
        <v>78</v>
      </c>
      <c r="G335" t="s">
        <v>67</v>
      </c>
      <c r="H335" t="s">
        <v>68</v>
      </c>
      <c r="I335" t="s">
        <v>1803</v>
      </c>
      <c r="J335" t="s">
        <v>38</v>
      </c>
      <c r="K335" t="s">
        <v>39</v>
      </c>
      <c r="L335" t="s">
        <v>1804</v>
      </c>
      <c r="M335">
        <v>367.36</v>
      </c>
      <c r="N335">
        <v>50</v>
      </c>
      <c r="O335" t="s">
        <v>790</v>
      </c>
      <c r="P335" t="s">
        <v>86</v>
      </c>
      <c r="Q335" t="s">
        <v>926</v>
      </c>
      <c r="R335" t="s">
        <v>88</v>
      </c>
      <c r="S335" t="s">
        <v>128</v>
      </c>
      <c r="T335" t="s">
        <v>222</v>
      </c>
      <c r="U335">
        <v>3373</v>
      </c>
      <c r="V335">
        <v>107</v>
      </c>
      <c r="W335">
        <v>21</v>
      </c>
      <c r="X335">
        <v>1142.1099999999999</v>
      </c>
      <c r="Y335">
        <v>326.73</v>
      </c>
      <c r="Z335">
        <v>1468.84</v>
      </c>
      <c r="AA335" t="s">
        <v>63</v>
      </c>
      <c r="AB335">
        <v>0</v>
      </c>
      <c r="AC335">
        <v>79.959999999999994</v>
      </c>
      <c r="AD335">
        <v>476</v>
      </c>
      <c r="AE335">
        <v>436</v>
      </c>
    </row>
    <row r="336" spans="1:31" x14ac:dyDescent="0.25">
      <c r="A336" t="s">
        <v>1805</v>
      </c>
      <c r="B336" t="s">
        <v>1806</v>
      </c>
      <c r="C336" s="1">
        <v>43874</v>
      </c>
      <c r="D336" s="1">
        <v>44778</v>
      </c>
      <c r="E336" t="s">
        <v>66</v>
      </c>
      <c r="F336" t="s">
        <v>147</v>
      </c>
      <c r="G336" t="s">
        <v>79</v>
      </c>
      <c r="H336" t="s">
        <v>148</v>
      </c>
      <c r="I336" t="s">
        <v>1807</v>
      </c>
      <c r="J336" t="s">
        <v>82</v>
      </c>
      <c r="K336" t="s">
        <v>70</v>
      </c>
      <c r="L336" t="s">
        <v>1808</v>
      </c>
      <c r="M336">
        <v>62.8</v>
      </c>
      <c r="N336">
        <v>75</v>
      </c>
      <c r="O336" t="s">
        <v>1691</v>
      </c>
      <c r="P336" t="s">
        <v>142</v>
      </c>
      <c r="Q336" t="s">
        <v>609</v>
      </c>
      <c r="R336" t="s">
        <v>61</v>
      </c>
      <c r="S336" t="s">
        <v>45</v>
      </c>
      <c r="T336" t="s">
        <v>341</v>
      </c>
      <c r="U336">
        <v>2668</v>
      </c>
      <c r="V336">
        <v>481</v>
      </c>
      <c r="W336">
        <v>9</v>
      </c>
      <c r="X336">
        <v>80.31</v>
      </c>
      <c r="Y336">
        <v>125.24</v>
      </c>
      <c r="Z336">
        <v>205.55</v>
      </c>
      <c r="AA336" t="s">
        <v>63</v>
      </c>
      <c r="AB336">
        <v>0</v>
      </c>
      <c r="AC336">
        <v>99.17</v>
      </c>
      <c r="AD336">
        <v>408</v>
      </c>
      <c r="AE336">
        <v>406</v>
      </c>
    </row>
    <row r="337" spans="1:31" x14ac:dyDescent="0.25">
      <c r="A337" t="s">
        <v>1809</v>
      </c>
      <c r="B337" t="s">
        <v>1810</v>
      </c>
      <c r="C337" s="1">
        <v>45560</v>
      </c>
      <c r="D337" s="1">
        <v>44805</v>
      </c>
      <c r="E337" t="s">
        <v>66</v>
      </c>
      <c r="F337" t="s">
        <v>34</v>
      </c>
      <c r="G337" t="s">
        <v>35</v>
      </c>
      <c r="H337" t="s">
        <v>53</v>
      </c>
      <c r="I337" t="s">
        <v>1811</v>
      </c>
      <c r="J337" t="s">
        <v>107</v>
      </c>
      <c r="K337" t="s">
        <v>56</v>
      </c>
      <c r="L337" t="s">
        <v>1812</v>
      </c>
      <c r="M337">
        <v>121.68</v>
      </c>
      <c r="N337">
        <v>59</v>
      </c>
      <c r="O337" t="s">
        <v>1813</v>
      </c>
      <c r="P337" t="s">
        <v>59</v>
      </c>
      <c r="Q337" t="s">
        <v>111</v>
      </c>
      <c r="R337" t="s">
        <v>88</v>
      </c>
      <c r="S337" t="s">
        <v>74</v>
      </c>
      <c r="T337" t="s">
        <v>642</v>
      </c>
      <c r="U337">
        <v>2504</v>
      </c>
      <c r="V337">
        <v>97</v>
      </c>
      <c r="W337">
        <v>5</v>
      </c>
      <c r="X337">
        <v>141.19999999999999</v>
      </c>
      <c r="Y337">
        <v>171.69</v>
      </c>
      <c r="Z337">
        <v>312.89</v>
      </c>
      <c r="AA337" t="s">
        <v>47</v>
      </c>
      <c r="AB337">
        <v>5</v>
      </c>
      <c r="AC337">
        <v>88.32</v>
      </c>
      <c r="AD337">
        <v>418</v>
      </c>
      <c r="AE337">
        <v>421</v>
      </c>
    </row>
    <row r="338" spans="1:31" x14ac:dyDescent="0.25">
      <c r="A338" t="s">
        <v>1814</v>
      </c>
      <c r="B338" t="s">
        <v>1815</v>
      </c>
      <c r="C338" s="1">
        <v>44076</v>
      </c>
      <c r="D338" s="1">
        <v>44567</v>
      </c>
      <c r="E338" t="s">
        <v>66</v>
      </c>
      <c r="F338" t="s">
        <v>93</v>
      </c>
      <c r="G338" t="s">
        <v>67</v>
      </c>
      <c r="H338" t="s">
        <v>116</v>
      </c>
      <c r="I338" t="s">
        <v>1816</v>
      </c>
      <c r="J338" t="s">
        <v>96</v>
      </c>
      <c r="K338" t="s">
        <v>97</v>
      </c>
      <c r="L338" t="s">
        <v>1817</v>
      </c>
      <c r="M338">
        <v>462.78</v>
      </c>
      <c r="N338">
        <v>59</v>
      </c>
      <c r="O338" t="s">
        <v>1818</v>
      </c>
      <c r="P338" t="s">
        <v>86</v>
      </c>
      <c r="Q338" t="s">
        <v>315</v>
      </c>
      <c r="R338" t="s">
        <v>61</v>
      </c>
      <c r="S338" t="s">
        <v>74</v>
      </c>
      <c r="T338" t="s">
        <v>169</v>
      </c>
      <c r="U338">
        <v>4228</v>
      </c>
      <c r="V338">
        <v>401</v>
      </c>
      <c r="W338">
        <v>17</v>
      </c>
      <c r="X338">
        <v>777.06</v>
      </c>
      <c r="Y338">
        <v>330.13</v>
      </c>
      <c r="Z338">
        <v>1107.19</v>
      </c>
      <c r="AA338" t="s">
        <v>63</v>
      </c>
      <c r="AB338">
        <v>0</v>
      </c>
      <c r="AC338">
        <v>87.28</v>
      </c>
      <c r="AD338">
        <v>214</v>
      </c>
      <c r="AE338">
        <v>193</v>
      </c>
    </row>
    <row r="339" spans="1:31" x14ac:dyDescent="0.25">
      <c r="A339" t="s">
        <v>1819</v>
      </c>
      <c r="B339" t="s">
        <v>1820</v>
      </c>
      <c r="C339" s="1">
        <v>44798</v>
      </c>
      <c r="D339" s="1">
        <v>45433</v>
      </c>
      <c r="E339" t="s">
        <v>66</v>
      </c>
      <c r="F339" t="s">
        <v>147</v>
      </c>
      <c r="G339" t="s">
        <v>337</v>
      </c>
      <c r="H339" t="s">
        <v>218</v>
      </c>
      <c r="I339" t="s">
        <v>1821</v>
      </c>
      <c r="J339" t="s">
        <v>82</v>
      </c>
      <c r="K339" t="s">
        <v>70</v>
      </c>
      <c r="L339" t="s">
        <v>1822</v>
      </c>
      <c r="M339">
        <v>63.77</v>
      </c>
      <c r="N339">
        <v>20</v>
      </c>
      <c r="O339" t="s">
        <v>1823</v>
      </c>
      <c r="P339" t="s">
        <v>110</v>
      </c>
      <c r="Q339" t="s">
        <v>706</v>
      </c>
      <c r="R339" t="s">
        <v>88</v>
      </c>
      <c r="S339" t="s">
        <v>74</v>
      </c>
      <c r="T339" t="s">
        <v>1023</v>
      </c>
      <c r="U339">
        <v>3926</v>
      </c>
      <c r="V339">
        <v>84</v>
      </c>
      <c r="W339">
        <v>10</v>
      </c>
      <c r="X339">
        <v>1378.05</v>
      </c>
      <c r="Y339">
        <v>33.08</v>
      </c>
      <c r="Z339">
        <v>1411.13</v>
      </c>
      <c r="AA339" t="s">
        <v>63</v>
      </c>
      <c r="AB339">
        <v>0</v>
      </c>
      <c r="AC339">
        <v>88.5</v>
      </c>
      <c r="AD339">
        <v>206</v>
      </c>
      <c r="AE339">
        <v>246</v>
      </c>
    </row>
    <row r="340" spans="1:31" x14ac:dyDescent="0.25">
      <c r="A340" t="s">
        <v>1824</v>
      </c>
      <c r="B340" t="s">
        <v>1825</v>
      </c>
      <c r="C340" s="1">
        <v>44814</v>
      </c>
      <c r="D340" s="1">
        <v>44912</v>
      </c>
      <c r="E340" t="s">
        <v>66</v>
      </c>
      <c r="F340" t="s">
        <v>34</v>
      </c>
      <c r="G340" t="s">
        <v>105</v>
      </c>
      <c r="H340" t="s">
        <v>164</v>
      </c>
      <c r="I340" t="s">
        <v>1826</v>
      </c>
      <c r="J340" t="s">
        <v>96</v>
      </c>
      <c r="K340" t="s">
        <v>39</v>
      </c>
      <c r="L340" t="s">
        <v>1756</v>
      </c>
      <c r="M340">
        <v>144.91999999999999</v>
      </c>
      <c r="N340">
        <v>97</v>
      </c>
      <c r="O340" t="s">
        <v>1827</v>
      </c>
      <c r="P340" t="s">
        <v>110</v>
      </c>
      <c r="Q340" t="s">
        <v>228</v>
      </c>
      <c r="R340" t="s">
        <v>153</v>
      </c>
      <c r="S340" t="s">
        <v>128</v>
      </c>
      <c r="T340" t="s">
        <v>372</v>
      </c>
      <c r="U340">
        <v>2514</v>
      </c>
      <c r="V340">
        <v>280</v>
      </c>
      <c r="W340">
        <v>25</v>
      </c>
      <c r="X340">
        <v>157.4</v>
      </c>
      <c r="Y340">
        <v>22.03</v>
      </c>
      <c r="Z340">
        <v>179.43</v>
      </c>
      <c r="AA340" t="s">
        <v>63</v>
      </c>
      <c r="AB340">
        <v>0</v>
      </c>
      <c r="AC340">
        <v>73.319999999999993</v>
      </c>
      <c r="AD340">
        <v>484</v>
      </c>
      <c r="AE340">
        <v>530</v>
      </c>
    </row>
    <row r="341" spans="1:31" x14ac:dyDescent="0.25">
      <c r="A341" t="s">
        <v>1828</v>
      </c>
      <c r="B341" t="s">
        <v>1829</v>
      </c>
      <c r="C341" s="1">
        <v>43849</v>
      </c>
      <c r="D341" s="1">
        <v>43930</v>
      </c>
      <c r="E341" t="s">
        <v>66</v>
      </c>
      <c r="F341" t="s">
        <v>78</v>
      </c>
      <c r="G341" t="s">
        <v>79</v>
      </c>
      <c r="H341" t="s">
        <v>36</v>
      </c>
      <c r="I341" t="s">
        <v>1830</v>
      </c>
      <c r="J341" t="s">
        <v>38</v>
      </c>
      <c r="K341" t="s">
        <v>70</v>
      </c>
      <c r="L341" t="s">
        <v>1831</v>
      </c>
      <c r="M341">
        <v>400.03</v>
      </c>
      <c r="N341">
        <v>10</v>
      </c>
      <c r="O341" t="s">
        <v>1628</v>
      </c>
      <c r="P341" t="s">
        <v>110</v>
      </c>
      <c r="Q341" t="s">
        <v>234</v>
      </c>
      <c r="R341" t="s">
        <v>61</v>
      </c>
      <c r="S341" t="s">
        <v>128</v>
      </c>
      <c r="T341" t="s">
        <v>303</v>
      </c>
      <c r="U341">
        <v>4892</v>
      </c>
      <c r="V341">
        <v>246</v>
      </c>
      <c r="W341">
        <v>26</v>
      </c>
      <c r="X341">
        <v>530.94000000000005</v>
      </c>
      <c r="Y341">
        <v>290.38</v>
      </c>
      <c r="Z341">
        <v>821.32</v>
      </c>
      <c r="AA341" t="s">
        <v>63</v>
      </c>
      <c r="AB341">
        <v>0</v>
      </c>
      <c r="AC341">
        <v>99.65</v>
      </c>
      <c r="AD341">
        <v>284</v>
      </c>
      <c r="AE341">
        <v>254</v>
      </c>
    </row>
    <row r="342" spans="1:31" x14ac:dyDescent="0.25">
      <c r="A342" t="s">
        <v>1832</v>
      </c>
      <c r="B342" t="s">
        <v>1833</v>
      </c>
      <c r="C342" s="1">
        <v>44052</v>
      </c>
      <c r="D342" s="1">
        <v>45497</v>
      </c>
      <c r="E342" t="s">
        <v>66</v>
      </c>
      <c r="F342" t="s">
        <v>93</v>
      </c>
      <c r="G342" t="s">
        <v>105</v>
      </c>
      <c r="H342" t="s">
        <v>36</v>
      </c>
      <c r="I342" t="s">
        <v>1834</v>
      </c>
      <c r="J342" t="s">
        <v>55</v>
      </c>
      <c r="K342" t="s">
        <v>83</v>
      </c>
      <c r="L342" t="s">
        <v>1835</v>
      </c>
      <c r="M342">
        <v>316.11</v>
      </c>
      <c r="N342">
        <v>33</v>
      </c>
      <c r="O342" t="s">
        <v>1658</v>
      </c>
      <c r="P342" t="s">
        <v>142</v>
      </c>
      <c r="Q342" t="s">
        <v>175</v>
      </c>
      <c r="R342" t="s">
        <v>153</v>
      </c>
      <c r="S342" t="s">
        <v>101</v>
      </c>
      <c r="T342" t="s">
        <v>316</v>
      </c>
      <c r="U342">
        <v>132</v>
      </c>
      <c r="V342">
        <v>165</v>
      </c>
      <c r="W342">
        <v>4</v>
      </c>
      <c r="X342">
        <v>198.14</v>
      </c>
      <c r="Y342">
        <v>321.39</v>
      </c>
      <c r="Z342">
        <v>519.53</v>
      </c>
      <c r="AA342" t="s">
        <v>63</v>
      </c>
      <c r="AB342">
        <v>0</v>
      </c>
      <c r="AC342">
        <v>89.11</v>
      </c>
      <c r="AD342">
        <v>58</v>
      </c>
      <c r="AE342">
        <v>68</v>
      </c>
    </row>
    <row r="343" spans="1:31" x14ac:dyDescent="0.25">
      <c r="A343" t="s">
        <v>1836</v>
      </c>
      <c r="B343" t="s">
        <v>1837</v>
      </c>
      <c r="C343" s="1">
        <v>45348</v>
      </c>
      <c r="D343" s="1">
        <v>45302</v>
      </c>
      <c r="E343" t="s">
        <v>66</v>
      </c>
      <c r="F343" t="s">
        <v>51</v>
      </c>
      <c r="G343" t="s">
        <v>337</v>
      </c>
      <c r="H343" t="s">
        <v>148</v>
      </c>
      <c r="I343" t="s">
        <v>1838</v>
      </c>
      <c r="J343" t="s">
        <v>55</v>
      </c>
      <c r="K343" t="s">
        <v>56</v>
      </c>
      <c r="L343" t="s">
        <v>1839</v>
      </c>
      <c r="M343">
        <v>191.27</v>
      </c>
      <c r="N343">
        <v>67</v>
      </c>
      <c r="O343" t="s">
        <v>1840</v>
      </c>
      <c r="P343" t="s">
        <v>142</v>
      </c>
      <c r="Q343" t="s">
        <v>558</v>
      </c>
      <c r="R343" t="s">
        <v>153</v>
      </c>
      <c r="S343" t="s">
        <v>128</v>
      </c>
      <c r="T343" t="s">
        <v>154</v>
      </c>
      <c r="U343">
        <v>3972</v>
      </c>
      <c r="V343">
        <v>317</v>
      </c>
      <c r="W343">
        <v>14</v>
      </c>
      <c r="X343">
        <v>1525.9</v>
      </c>
      <c r="Y343">
        <v>465.54</v>
      </c>
      <c r="Z343">
        <v>1991.44</v>
      </c>
      <c r="AA343" t="s">
        <v>63</v>
      </c>
      <c r="AB343">
        <v>0</v>
      </c>
      <c r="AC343">
        <v>70.47</v>
      </c>
      <c r="AD343">
        <v>70</v>
      </c>
      <c r="AE343">
        <v>43</v>
      </c>
    </row>
    <row r="344" spans="1:31" x14ac:dyDescent="0.25">
      <c r="A344" t="s">
        <v>1841</v>
      </c>
      <c r="B344" t="s">
        <v>1842</v>
      </c>
      <c r="C344" s="1">
        <v>44471</v>
      </c>
      <c r="D344" s="1">
        <v>45604</v>
      </c>
      <c r="E344" t="s">
        <v>50</v>
      </c>
      <c r="F344" t="s">
        <v>51</v>
      </c>
      <c r="G344" t="s">
        <v>115</v>
      </c>
      <c r="H344" t="s">
        <v>53</v>
      </c>
      <c r="I344" t="s">
        <v>1843</v>
      </c>
      <c r="J344" t="s">
        <v>82</v>
      </c>
      <c r="K344" t="s">
        <v>56</v>
      </c>
      <c r="L344" t="s">
        <v>1844</v>
      </c>
      <c r="M344">
        <v>186.61</v>
      </c>
      <c r="N344">
        <v>75</v>
      </c>
      <c r="O344" t="s">
        <v>1845</v>
      </c>
      <c r="P344" t="s">
        <v>110</v>
      </c>
      <c r="Q344" t="s">
        <v>461</v>
      </c>
      <c r="R344" t="s">
        <v>88</v>
      </c>
      <c r="S344" t="s">
        <v>128</v>
      </c>
      <c r="T344" t="s">
        <v>273</v>
      </c>
      <c r="U344">
        <v>808</v>
      </c>
      <c r="V344">
        <v>460</v>
      </c>
      <c r="W344">
        <v>12</v>
      </c>
      <c r="X344">
        <v>79.27</v>
      </c>
      <c r="Y344">
        <v>128.79</v>
      </c>
      <c r="Z344">
        <v>208.06</v>
      </c>
      <c r="AA344" t="s">
        <v>63</v>
      </c>
      <c r="AB344">
        <v>0</v>
      </c>
      <c r="AC344">
        <v>74.25</v>
      </c>
      <c r="AD344">
        <v>358</v>
      </c>
      <c r="AE344">
        <v>363</v>
      </c>
    </row>
    <row r="345" spans="1:31" x14ac:dyDescent="0.25">
      <c r="A345" t="s">
        <v>1846</v>
      </c>
      <c r="B345" t="s">
        <v>1847</v>
      </c>
      <c r="C345" s="1">
        <v>44479</v>
      </c>
      <c r="D345" s="1">
        <v>45176</v>
      </c>
      <c r="E345" t="s">
        <v>50</v>
      </c>
      <c r="F345" t="s">
        <v>51</v>
      </c>
      <c r="G345" t="s">
        <v>105</v>
      </c>
      <c r="H345" t="s">
        <v>148</v>
      </c>
      <c r="I345" t="s">
        <v>1848</v>
      </c>
      <c r="J345" t="s">
        <v>38</v>
      </c>
      <c r="K345" t="s">
        <v>97</v>
      </c>
      <c r="L345" t="s">
        <v>1849</v>
      </c>
      <c r="M345">
        <v>309.44</v>
      </c>
      <c r="N345">
        <v>81</v>
      </c>
      <c r="O345" t="s">
        <v>1850</v>
      </c>
      <c r="P345" t="s">
        <v>142</v>
      </c>
      <c r="Q345" t="s">
        <v>241</v>
      </c>
      <c r="R345" t="s">
        <v>153</v>
      </c>
      <c r="S345" t="s">
        <v>74</v>
      </c>
      <c r="T345" t="s">
        <v>673</v>
      </c>
      <c r="U345">
        <v>1093</v>
      </c>
      <c r="V345">
        <v>364</v>
      </c>
      <c r="W345">
        <v>17</v>
      </c>
      <c r="X345">
        <v>1412.55</v>
      </c>
      <c r="Y345">
        <v>61.49</v>
      </c>
      <c r="Z345">
        <v>1474.04</v>
      </c>
      <c r="AA345" t="s">
        <v>63</v>
      </c>
      <c r="AB345">
        <v>0</v>
      </c>
      <c r="AC345">
        <v>81.3</v>
      </c>
      <c r="AD345">
        <v>106</v>
      </c>
      <c r="AE345">
        <v>122</v>
      </c>
    </row>
    <row r="346" spans="1:31" x14ac:dyDescent="0.25">
      <c r="A346" t="s">
        <v>1851</v>
      </c>
      <c r="B346" t="s">
        <v>999</v>
      </c>
      <c r="C346" s="1">
        <v>43995</v>
      </c>
      <c r="D346" s="1">
        <v>45099</v>
      </c>
      <c r="E346" t="s">
        <v>50</v>
      </c>
      <c r="F346" t="s">
        <v>93</v>
      </c>
      <c r="G346" t="s">
        <v>105</v>
      </c>
      <c r="H346" t="s">
        <v>116</v>
      </c>
      <c r="I346" t="s">
        <v>1852</v>
      </c>
      <c r="J346" t="s">
        <v>107</v>
      </c>
      <c r="K346" t="s">
        <v>97</v>
      </c>
      <c r="L346" t="s">
        <v>1853</v>
      </c>
      <c r="M346">
        <v>205.63</v>
      </c>
      <c r="N346">
        <v>42</v>
      </c>
      <c r="O346" t="s">
        <v>1854</v>
      </c>
      <c r="P346" t="s">
        <v>42</v>
      </c>
      <c r="Q346" t="s">
        <v>120</v>
      </c>
      <c r="R346" t="s">
        <v>44</v>
      </c>
      <c r="S346" t="s">
        <v>89</v>
      </c>
      <c r="T346" t="s">
        <v>291</v>
      </c>
      <c r="U346">
        <v>4722</v>
      </c>
      <c r="V346">
        <v>277</v>
      </c>
      <c r="W346">
        <v>1</v>
      </c>
      <c r="X346">
        <v>513.46</v>
      </c>
      <c r="Y346">
        <v>112.75</v>
      </c>
      <c r="Z346">
        <v>626.21</v>
      </c>
      <c r="AA346" t="s">
        <v>63</v>
      </c>
      <c r="AB346">
        <v>0</v>
      </c>
      <c r="AC346">
        <v>72.45</v>
      </c>
      <c r="AD346">
        <v>381</v>
      </c>
      <c r="AE346">
        <v>333</v>
      </c>
    </row>
    <row r="347" spans="1:31" x14ac:dyDescent="0.25">
      <c r="A347" t="s">
        <v>1855</v>
      </c>
      <c r="B347" t="s">
        <v>1856</v>
      </c>
      <c r="C347" s="1">
        <v>44767</v>
      </c>
      <c r="D347" s="1">
        <v>44744</v>
      </c>
      <c r="E347" t="s">
        <v>66</v>
      </c>
      <c r="F347" t="s">
        <v>34</v>
      </c>
      <c r="G347" t="s">
        <v>115</v>
      </c>
      <c r="H347" t="s">
        <v>36</v>
      </c>
      <c r="I347" t="s">
        <v>1857</v>
      </c>
      <c r="J347" t="s">
        <v>107</v>
      </c>
      <c r="K347" t="s">
        <v>97</v>
      </c>
      <c r="L347" t="s">
        <v>1858</v>
      </c>
      <c r="M347">
        <v>278.58999999999997</v>
      </c>
      <c r="N347">
        <v>50</v>
      </c>
      <c r="O347" t="s">
        <v>1859</v>
      </c>
      <c r="P347" t="s">
        <v>110</v>
      </c>
      <c r="Q347" t="s">
        <v>421</v>
      </c>
      <c r="R347" t="s">
        <v>44</v>
      </c>
      <c r="S347" t="s">
        <v>101</v>
      </c>
      <c r="T347" t="s">
        <v>927</v>
      </c>
      <c r="U347">
        <v>2455</v>
      </c>
      <c r="V347">
        <v>416</v>
      </c>
      <c r="W347">
        <v>5</v>
      </c>
      <c r="X347">
        <v>1072.46</v>
      </c>
      <c r="Y347">
        <v>499.12</v>
      </c>
      <c r="Z347">
        <v>1571.58</v>
      </c>
      <c r="AA347" t="s">
        <v>63</v>
      </c>
      <c r="AB347">
        <v>0</v>
      </c>
      <c r="AC347">
        <v>86.57</v>
      </c>
      <c r="AD347">
        <v>301</v>
      </c>
      <c r="AE347">
        <v>329</v>
      </c>
    </row>
    <row r="348" spans="1:31" x14ac:dyDescent="0.25">
      <c r="A348" t="s">
        <v>1860</v>
      </c>
      <c r="B348" t="s">
        <v>1861</v>
      </c>
      <c r="C348" s="1">
        <v>45658</v>
      </c>
      <c r="D348" s="1">
        <v>45388</v>
      </c>
      <c r="E348" t="s">
        <v>66</v>
      </c>
      <c r="F348" t="s">
        <v>78</v>
      </c>
      <c r="G348" t="s">
        <v>337</v>
      </c>
      <c r="H348" t="s">
        <v>53</v>
      </c>
      <c r="I348" t="s">
        <v>1862</v>
      </c>
      <c r="J348" t="s">
        <v>107</v>
      </c>
      <c r="K348" t="s">
        <v>56</v>
      </c>
      <c r="L348" t="s">
        <v>1863</v>
      </c>
      <c r="M348">
        <v>223.18</v>
      </c>
      <c r="N348">
        <v>68</v>
      </c>
      <c r="O348" t="s">
        <v>1864</v>
      </c>
      <c r="P348" t="s">
        <v>110</v>
      </c>
      <c r="Q348" t="s">
        <v>383</v>
      </c>
      <c r="R348" t="s">
        <v>153</v>
      </c>
      <c r="S348" t="s">
        <v>128</v>
      </c>
      <c r="T348" t="s">
        <v>329</v>
      </c>
      <c r="U348">
        <v>1473</v>
      </c>
      <c r="V348">
        <v>179</v>
      </c>
      <c r="W348">
        <v>15</v>
      </c>
      <c r="X348">
        <v>1734.08</v>
      </c>
      <c r="Y348">
        <v>284.95</v>
      </c>
      <c r="Z348">
        <v>2019.03</v>
      </c>
      <c r="AA348" t="s">
        <v>63</v>
      </c>
      <c r="AB348">
        <v>0</v>
      </c>
      <c r="AC348">
        <v>71.88</v>
      </c>
      <c r="AD348">
        <v>460</v>
      </c>
      <c r="AE348">
        <v>419</v>
      </c>
    </row>
    <row r="349" spans="1:31" x14ac:dyDescent="0.25">
      <c r="A349" t="s">
        <v>1865</v>
      </c>
      <c r="B349" t="s">
        <v>1866</v>
      </c>
      <c r="C349" s="1">
        <v>44652</v>
      </c>
      <c r="D349" s="1">
        <v>44208</v>
      </c>
      <c r="E349" t="s">
        <v>50</v>
      </c>
      <c r="F349" t="s">
        <v>78</v>
      </c>
      <c r="G349" t="s">
        <v>115</v>
      </c>
      <c r="H349" t="s">
        <v>148</v>
      </c>
      <c r="I349" t="s">
        <v>1867</v>
      </c>
      <c r="J349" t="s">
        <v>82</v>
      </c>
      <c r="K349" t="s">
        <v>83</v>
      </c>
      <c r="L349" t="s">
        <v>1868</v>
      </c>
      <c r="M349">
        <v>86.81</v>
      </c>
      <c r="N349">
        <v>19</v>
      </c>
      <c r="O349" t="s">
        <v>1869</v>
      </c>
      <c r="P349" t="s">
        <v>110</v>
      </c>
      <c r="Q349" t="s">
        <v>461</v>
      </c>
      <c r="R349" t="s">
        <v>153</v>
      </c>
      <c r="S349" t="s">
        <v>74</v>
      </c>
      <c r="T349" t="s">
        <v>939</v>
      </c>
      <c r="U349">
        <v>2914</v>
      </c>
      <c r="V349">
        <v>113</v>
      </c>
      <c r="W349">
        <v>12</v>
      </c>
      <c r="X349">
        <v>1427.11</v>
      </c>
      <c r="Y349">
        <v>362.56</v>
      </c>
      <c r="Z349">
        <v>1789.67</v>
      </c>
      <c r="AA349" t="s">
        <v>47</v>
      </c>
      <c r="AB349">
        <v>4</v>
      </c>
      <c r="AC349">
        <v>80.069999999999993</v>
      </c>
      <c r="AD349">
        <v>451</v>
      </c>
      <c r="AE349">
        <v>439</v>
      </c>
    </row>
    <row r="350" spans="1:31" x14ac:dyDescent="0.25">
      <c r="A350" t="s">
        <v>1870</v>
      </c>
      <c r="B350" t="s">
        <v>1871</v>
      </c>
      <c r="C350" s="1">
        <v>45464</v>
      </c>
      <c r="D350" s="1">
        <v>43994</v>
      </c>
      <c r="E350" t="s">
        <v>66</v>
      </c>
      <c r="F350" t="s">
        <v>34</v>
      </c>
      <c r="G350" t="s">
        <v>337</v>
      </c>
      <c r="H350" t="s">
        <v>164</v>
      </c>
      <c r="I350" t="s">
        <v>1872</v>
      </c>
      <c r="J350" t="s">
        <v>96</v>
      </c>
      <c r="K350" t="s">
        <v>39</v>
      </c>
      <c r="L350" t="s">
        <v>1873</v>
      </c>
      <c r="M350">
        <v>498.44</v>
      </c>
      <c r="N350">
        <v>74</v>
      </c>
      <c r="O350" t="s">
        <v>593</v>
      </c>
      <c r="P350" t="s">
        <v>110</v>
      </c>
      <c r="Q350" t="s">
        <v>455</v>
      </c>
      <c r="R350" t="s">
        <v>61</v>
      </c>
      <c r="S350" t="s">
        <v>128</v>
      </c>
      <c r="T350" t="s">
        <v>203</v>
      </c>
      <c r="U350">
        <v>4767</v>
      </c>
      <c r="V350">
        <v>359</v>
      </c>
      <c r="W350">
        <v>16</v>
      </c>
      <c r="X350">
        <v>1248.83</v>
      </c>
      <c r="Y350">
        <v>468.69</v>
      </c>
      <c r="Z350">
        <v>1717.52</v>
      </c>
      <c r="AA350" t="s">
        <v>63</v>
      </c>
      <c r="AB350">
        <v>0</v>
      </c>
      <c r="AC350">
        <v>84.74</v>
      </c>
      <c r="AD350">
        <v>387</v>
      </c>
      <c r="AE350">
        <v>436</v>
      </c>
    </row>
    <row r="351" spans="1:31" x14ac:dyDescent="0.25">
      <c r="A351" t="s">
        <v>1874</v>
      </c>
      <c r="B351" t="s">
        <v>1875</v>
      </c>
      <c r="C351" s="1">
        <v>45594</v>
      </c>
      <c r="D351" s="1">
        <v>44528</v>
      </c>
      <c r="E351" t="s">
        <v>66</v>
      </c>
      <c r="F351" t="s">
        <v>147</v>
      </c>
      <c r="G351" t="s">
        <v>79</v>
      </c>
      <c r="H351" t="s">
        <v>148</v>
      </c>
      <c r="I351" t="s">
        <v>1876</v>
      </c>
      <c r="J351" t="s">
        <v>38</v>
      </c>
      <c r="K351" t="s">
        <v>70</v>
      </c>
      <c r="L351" t="s">
        <v>1877</v>
      </c>
      <c r="M351">
        <v>371.52</v>
      </c>
      <c r="N351">
        <v>55</v>
      </c>
      <c r="O351" t="s">
        <v>427</v>
      </c>
      <c r="P351" t="s">
        <v>59</v>
      </c>
      <c r="Q351" t="s">
        <v>43</v>
      </c>
      <c r="R351" t="s">
        <v>88</v>
      </c>
      <c r="S351" t="s">
        <v>89</v>
      </c>
      <c r="T351" t="s">
        <v>75</v>
      </c>
      <c r="U351">
        <v>2923</v>
      </c>
      <c r="V351">
        <v>126</v>
      </c>
      <c r="W351">
        <v>1</v>
      </c>
      <c r="X351">
        <v>1166.24</v>
      </c>
      <c r="Y351">
        <v>105.64</v>
      </c>
      <c r="Z351">
        <v>1271.8800000000001</v>
      </c>
      <c r="AA351" t="s">
        <v>63</v>
      </c>
      <c r="AB351">
        <v>0</v>
      </c>
      <c r="AC351">
        <v>98.16</v>
      </c>
      <c r="AD351">
        <v>98</v>
      </c>
      <c r="AE351">
        <v>118</v>
      </c>
    </row>
    <row r="352" spans="1:31" x14ac:dyDescent="0.25">
      <c r="A352" t="s">
        <v>1878</v>
      </c>
      <c r="B352" t="s">
        <v>1879</v>
      </c>
      <c r="C352" s="1">
        <v>44459</v>
      </c>
      <c r="D352" s="1">
        <v>45257</v>
      </c>
      <c r="E352" t="s">
        <v>66</v>
      </c>
      <c r="F352" t="s">
        <v>147</v>
      </c>
      <c r="G352" t="s">
        <v>337</v>
      </c>
      <c r="H352" t="s">
        <v>116</v>
      </c>
      <c r="I352" t="s">
        <v>1880</v>
      </c>
      <c r="J352" t="s">
        <v>38</v>
      </c>
      <c r="K352" t="s">
        <v>70</v>
      </c>
      <c r="L352" t="s">
        <v>1881</v>
      </c>
      <c r="M352">
        <v>104.87</v>
      </c>
      <c r="N352">
        <v>70</v>
      </c>
      <c r="O352" t="s">
        <v>513</v>
      </c>
      <c r="P352" t="s">
        <v>110</v>
      </c>
      <c r="Q352" t="s">
        <v>1277</v>
      </c>
      <c r="R352" t="s">
        <v>88</v>
      </c>
      <c r="S352" t="s">
        <v>45</v>
      </c>
      <c r="T352" t="s">
        <v>183</v>
      </c>
      <c r="U352">
        <v>183</v>
      </c>
      <c r="V352">
        <v>469</v>
      </c>
      <c r="W352">
        <v>3</v>
      </c>
      <c r="X352">
        <v>1379.4</v>
      </c>
      <c r="Y352">
        <v>54.44</v>
      </c>
      <c r="Z352">
        <v>1433.84</v>
      </c>
      <c r="AA352" t="s">
        <v>63</v>
      </c>
      <c r="AB352">
        <v>0</v>
      </c>
      <c r="AC352">
        <v>81.92</v>
      </c>
      <c r="AD352">
        <v>411</v>
      </c>
      <c r="AE352">
        <v>429</v>
      </c>
    </row>
    <row r="353" spans="1:31" x14ac:dyDescent="0.25">
      <c r="A353" t="s">
        <v>1882</v>
      </c>
      <c r="B353" t="s">
        <v>1883</v>
      </c>
      <c r="C353" s="1">
        <v>43902</v>
      </c>
      <c r="D353" s="1">
        <v>44990</v>
      </c>
      <c r="E353" t="s">
        <v>66</v>
      </c>
      <c r="F353" t="s">
        <v>78</v>
      </c>
      <c r="G353" t="s">
        <v>337</v>
      </c>
      <c r="H353" t="s">
        <v>116</v>
      </c>
      <c r="I353" t="s">
        <v>1884</v>
      </c>
      <c r="J353" t="s">
        <v>96</v>
      </c>
      <c r="K353" t="s">
        <v>56</v>
      </c>
      <c r="L353" t="s">
        <v>1885</v>
      </c>
      <c r="M353">
        <v>191.2</v>
      </c>
      <c r="N353">
        <v>3</v>
      </c>
      <c r="O353" t="s">
        <v>1886</v>
      </c>
      <c r="P353" t="s">
        <v>59</v>
      </c>
      <c r="Q353" t="s">
        <v>182</v>
      </c>
      <c r="R353" t="s">
        <v>61</v>
      </c>
      <c r="S353" t="s">
        <v>101</v>
      </c>
      <c r="T353" t="s">
        <v>542</v>
      </c>
      <c r="U353">
        <v>146</v>
      </c>
      <c r="V353">
        <v>494</v>
      </c>
      <c r="W353">
        <v>11</v>
      </c>
      <c r="X353">
        <v>1530.76</v>
      </c>
      <c r="Y353">
        <v>381.05</v>
      </c>
      <c r="Z353">
        <v>1911.81</v>
      </c>
      <c r="AA353" t="s">
        <v>63</v>
      </c>
      <c r="AB353">
        <v>0</v>
      </c>
      <c r="AC353">
        <v>86.62</v>
      </c>
      <c r="AD353">
        <v>137</v>
      </c>
      <c r="AE353">
        <v>186</v>
      </c>
    </row>
    <row r="354" spans="1:31" x14ac:dyDescent="0.25">
      <c r="A354" t="s">
        <v>1887</v>
      </c>
      <c r="B354" t="s">
        <v>1888</v>
      </c>
      <c r="C354" s="1">
        <v>44459</v>
      </c>
      <c r="D354" s="1">
        <v>45433</v>
      </c>
      <c r="E354" t="s">
        <v>66</v>
      </c>
      <c r="F354" t="s">
        <v>51</v>
      </c>
      <c r="G354" t="s">
        <v>94</v>
      </c>
      <c r="H354" t="s">
        <v>80</v>
      </c>
      <c r="I354" t="s">
        <v>1889</v>
      </c>
      <c r="J354" t="s">
        <v>96</v>
      </c>
      <c r="K354" t="s">
        <v>56</v>
      </c>
      <c r="L354" t="s">
        <v>1890</v>
      </c>
      <c r="M354">
        <v>402.36</v>
      </c>
      <c r="N354">
        <v>7</v>
      </c>
      <c r="O354" t="s">
        <v>1891</v>
      </c>
      <c r="P354" t="s">
        <v>86</v>
      </c>
      <c r="Q354" t="s">
        <v>100</v>
      </c>
      <c r="R354" t="s">
        <v>44</v>
      </c>
      <c r="S354" t="s">
        <v>101</v>
      </c>
      <c r="T354" t="s">
        <v>235</v>
      </c>
      <c r="U354">
        <v>2215</v>
      </c>
      <c r="V354">
        <v>268</v>
      </c>
      <c r="W354">
        <v>27</v>
      </c>
      <c r="X354">
        <v>830.28</v>
      </c>
      <c r="Y354">
        <v>311.27</v>
      </c>
      <c r="Z354">
        <v>1141.55</v>
      </c>
      <c r="AA354" t="s">
        <v>63</v>
      </c>
      <c r="AB354">
        <v>0</v>
      </c>
      <c r="AC354">
        <v>87.84</v>
      </c>
      <c r="AD354">
        <v>65</v>
      </c>
      <c r="AE354">
        <v>84</v>
      </c>
    </row>
    <row r="355" spans="1:31" x14ac:dyDescent="0.25">
      <c r="A355" t="s">
        <v>1892</v>
      </c>
      <c r="B355" t="s">
        <v>1893</v>
      </c>
      <c r="C355" s="1">
        <v>43948</v>
      </c>
      <c r="D355" s="1">
        <v>44601</v>
      </c>
      <c r="E355" t="s">
        <v>66</v>
      </c>
      <c r="F355" t="s">
        <v>34</v>
      </c>
      <c r="G355" t="s">
        <v>52</v>
      </c>
      <c r="H355" t="s">
        <v>164</v>
      </c>
      <c r="I355" t="s">
        <v>1894</v>
      </c>
      <c r="J355" t="s">
        <v>38</v>
      </c>
      <c r="K355" t="s">
        <v>97</v>
      </c>
      <c r="L355" t="s">
        <v>1895</v>
      </c>
      <c r="M355">
        <v>48.83</v>
      </c>
      <c r="N355">
        <v>66</v>
      </c>
      <c r="O355" t="s">
        <v>1896</v>
      </c>
      <c r="P355" t="s">
        <v>110</v>
      </c>
      <c r="Q355" t="s">
        <v>322</v>
      </c>
      <c r="R355" t="s">
        <v>153</v>
      </c>
      <c r="S355" t="s">
        <v>101</v>
      </c>
      <c r="T355" t="s">
        <v>530</v>
      </c>
      <c r="U355">
        <v>2438</v>
      </c>
      <c r="V355">
        <v>328</v>
      </c>
      <c r="W355">
        <v>26</v>
      </c>
      <c r="X355">
        <v>221.8</v>
      </c>
      <c r="Y355">
        <v>311.77999999999997</v>
      </c>
      <c r="Z355">
        <v>533.57999999999993</v>
      </c>
      <c r="AA355" t="s">
        <v>63</v>
      </c>
      <c r="AB355">
        <v>0</v>
      </c>
      <c r="AC355">
        <v>75.98</v>
      </c>
      <c r="AD355">
        <v>110</v>
      </c>
      <c r="AE355">
        <v>69</v>
      </c>
    </row>
    <row r="356" spans="1:31" x14ac:dyDescent="0.25">
      <c r="A356" t="s">
        <v>1897</v>
      </c>
      <c r="B356" t="s">
        <v>1898</v>
      </c>
      <c r="C356" s="1">
        <v>45110</v>
      </c>
      <c r="D356" s="1">
        <v>44077</v>
      </c>
      <c r="E356" t="s">
        <v>50</v>
      </c>
      <c r="F356" t="s">
        <v>78</v>
      </c>
      <c r="G356" t="s">
        <v>337</v>
      </c>
      <c r="H356" t="s">
        <v>218</v>
      </c>
      <c r="I356" t="s">
        <v>1899</v>
      </c>
      <c r="J356" t="s">
        <v>55</v>
      </c>
      <c r="K356" t="s">
        <v>56</v>
      </c>
      <c r="L356" t="s">
        <v>1450</v>
      </c>
      <c r="M356">
        <v>106.09</v>
      </c>
      <c r="N356">
        <v>74</v>
      </c>
      <c r="O356" t="s">
        <v>1900</v>
      </c>
      <c r="P356" t="s">
        <v>142</v>
      </c>
      <c r="Q356" t="s">
        <v>290</v>
      </c>
      <c r="R356" t="s">
        <v>61</v>
      </c>
      <c r="S356" t="s">
        <v>89</v>
      </c>
      <c r="T356" t="s">
        <v>405</v>
      </c>
      <c r="U356">
        <v>3171</v>
      </c>
      <c r="V356">
        <v>71</v>
      </c>
      <c r="W356">
        <v>11</v>
      </c>
      <c r="X356">
        <v>1975.47</v>
      </c>
      <c r="Y356">
        <v>265.37</v>
      </c>
      <c r="Z356">
        <v>2240.84</v>
      </c>
      <c r="AA356" t="s">
        <v>63</v>
      </c>
      <c r="AB356">
        <v>0</v>
      </c>
      <c r="AC356">
        <v>86.6</v>
      </c>
      <c r="AD356">
        <v>388</v>
      </c>
      <c r="AE356">
        <v>363</v>
      </c>
    </row>
    <row r="357" spans="1:31" x14ac:dyDescent="0.25">
      <c r="A357" t="s">
        <v>1901</v>
      </c>
      <c r="B357" t="s">
        <v>1902</v>
      </c>
      <c r="C357" s="1">
        <v>44930</v>
      </c>
      <c r="D357" s="1">
        <v>44775</v>
      </c>
      <c r="E357" t="s">
        <v>66</v>
      </c>
      <c r="F357" t="s">
        <v>93</v>
      </c>
      <c r="G357" t="s">
        <v>94</v>
      </c>
      <c r="H357" t="s">
        <v>53</v>
      </c>
      <c r="I357" t="s">
        <v>1903</v>
      </c>
      <c r="J357" t="s">
        <v>96</v>
      </c>
      <c r="K357" t="s">
        <v>39</v>
      </c>
      <c r="L357" t="s">
        <v>1904</v>
      </c>
      <c r="M357">
        <v>258.41000000000003</v>
      </c>
      <c r="N357">
        <v>76</v>
      </c>
      <c r="O357" t="s">
        <v>1905</v>
      </c>
      <c r="P357" t="s">
        <v>86</v>
      </c>
      <c r="Q357" t="s">
        <v>428</v>
      </c>
      <c r="R357" t="s">
        <v>61</v>
      </c>
      <c r="S357" t="s">
        <v>101</v>
      </c>
      <c r="T357" t="s">
        <v>121</v>
      </c>
      <c r="U357">
        <v>1113</v>
      </c>
      <c r="V357">
        <v>284</v>
      </c>
      <c r="W357">
        <v>2</v>
      </c>
      <c r="X357">
        <v>1828.76</v>
      </c>
      <c r="Y357">
        <v>60.18</v>
      </c>
      <c r="Z357">
        <v>1888.94</v>
      </c>
      <c r="AA357" t="s">
        <v>47</v>
      </c>
      <c r="AB357">
        <v>1</v>
      </c>
      <c r="AC357">
        <v>81.41</v>
      </c>
      <c r="AD357">
        <v>181</v>
      </c>
      <c r="AE357">
        <v>166</v>
      </c>
    </row>
    <row r="358" spans="1:31" x14ac:dyDescent="0.25">
      <c r="A358" t="s">
        <v>1906</v>
      </c>
      <c r="B358" t="s">
        <v>1907</v>
      </c>
      <c r="C358" s="1">
        <v>44223</v>
      </c>
      <c r="D358" s="1">
        <v>44715</v>
      </c>
      <c r="E358" t="s">
        <v>66</v>
      </c>
      <c r="F358" t="s">
        <v>93</v>
      </c>
      <c r="G358" t="s">
        <v>115</v>
      </c>
      <c r="H358" t="s">
        <v>53</v>
      </c>
      <c r="I358" t="s">
        <v>1908</v>
      </c>
      <c r="J358" t="s">
        <v>55</v>
      </c>
      <c r="K358" t="s">
        <v>56</v>
      </c>
      <c r="L358" t="s">
        <v>1909</v>
      </c>
      <c r="M358">
        <v>360.32</v>
      </c>
      <c r="N358">
        <v>5</v>
      </c>
      <c r="O358" t="s">
        <v>1910</v>
      </c>
      <c r="P358" t="s">
        <v>86</v>
      </c>
      <c r="Q358" t="s">
        <v>371</v>
      </c>
      <c r="R358" t="s">
        <v>153</v>
      </c>
      <c r="S358" t="s">
        <v>45</v>
      </c>
      <c r="T358" t="s">
        <v>309</v>
      </c>
      <c r="U358">
        <v>4861</v>
      </c>
      <c r="V358">
        <v>67</v>
      </c>
      <c r="W358">
        <v>2</v>
      </c>
      <c r="X358">
        <v>985.14</v>
      </c>
      <c r="Y358">
        <v>113.09</v>
      </c>
      <c r="Z358">
        <v>1098.23</v>
      </c>
      <c r="AA358" t="s">
        <v>63</v>
      </c>
      <c r="AB358">
        <v>0</v>
      </c>
      <c r="AC358">
        <v>78.25</v>
      </c>
      <c r="AD358">
        <v>386</v>
      </c>
      <c r="AE358">
        <v>424</v>
      </c>
    </row>
    <row r="359" spans="1:31" x14ac:dyDescent="0.25">
      <c r="A359" t="s">
        <v>1911</v>
      </c>
      <c r="B359" t="s">
        <v>1912</v>
      </c>
      <c r="C359" s="1">
        <v>45652</v>
      </c>
      <c r="D359" s="1">
        <v>44500</v>
      </c>
      <c r="E359" t="s">
        <v>66</v>
      </c>
      <c r="F359" t="s">
        <v>34</v>
      </c>
      <c r="G359" t="s">
        <v>52</v>
      </c>
      <c r="H359" t="s">
        <v>116</v>
      </c>
      <c r="I359" t="s">
        <v>1913</v>
      </c>
      <c r="J359" t="s">
        <v>55</v>
      </c>
      <c r="K359" t="s">
        <v>97</v>
      </c>
      <c r="L359" t="s">
        <v>1914</v>
      </c>
      <c r="M359">
        <v>30.84</v>
      </c>
      <c r="N359">
        <v>68</v>
      </c>
      <c r="O359" t="s">
        <v>1658</v>
      </c>
      <c r="P359" t="s">
        <v>86</v>
      </c>
      <c r="Q359" t="s">
        <v>228</v>
      </c>
      <c r="R359" t="s">
        <v>153</v>
      </c>
      <c r="S359" t="s">
        <v>45</v>
      </c>
      <c r="T359" t="s">
        <v>316</v>
      </c>
      <c r="U359">
        <v>2793</v>
      </c>
      <c r="V359">
        <v>253</v>
      </c>
      <c r="W359">
        <v>5</v>
      </c>
      <c r="X359">
        <v>206.88</v>
      </c>
      <c r="Y359">
        <v>462.69</v>
      </c>
      <c r="Z359">
        <v>669.56999999999994</v>
      </c>
      <c r="AA359" t="s">
        <v>63</v>
      </c>
      <c r="AB359">
        <v>0</v>
      </c>
      <c r="AC359">
        <v>93.75</v>
      </c>
      <c r="AD359">
        <v>286</v>
      </c>
      <c r="AE359">
        <v>262</v>
      </c>
    </row>
    <row r="360" spans="1:31" x14ac:dyDescent="0.25">
      <c r="A360" t="s">
        <v>1915</v>
      </c>
      <c r="B360" t="s">
        <v>1916</v>
      </c>
      <c r="C360" s="1">
        <v>44956</v>
      </c>
      <c r="D360" s="1">
        <v>44774</v>
      </c>
      <c r="E360" t="s">
        <v>50</v>
      </c>
      <c r="F360" t="s">
        <v>51</v>
      </c>
      <c r="G360" t="s">
        <v>94</v>
      </c>
      <c r="H360" t="s">
        <v>148</v>
      </c>
      <c r="I360" t="s">
        <v>1917</v>
      </c>
      <c r="J360" t="s">
        <v>107</v>
      </c>
      <c r="K360" t="s">
        <v>39</v>
      </c>
      <c r="L360" t="s">
        <v>1918</v>
      </c>
      <c r="M360">
        <v>242.6</v>
      </c>
      <c r="N360">
        <v>86</v>
      </c>
      <c r="O360" t="s">
        <v>1818</v>
      </c>
      <c r="P360" t="s">
        <v>59</v>
      </c>
      <c r="Q360" t="s">
        <v>558</v>
      </c>
      <c r="R360" t="s">
        <v>61</v>
      </c>
      <c r="S360" t="s">
        <v>101</v>
      </c>
      <c r="T360" t="s">
        <v>309</v>
      </c>
      <c r="U360">
        <v>2937</v>
      </c>
      <c r="V360">
        <v>216</v>
      </c>
      <c r="W360">
        <v>23</v>
      </c>
      <c r="X360">
        <v>526.51</v>
      </c>
      <c r="Y360">
        <v>176.92</v>
      </c>
      <c r="Z360">
        <v>703.43</v>
      </c>
      <c r="AA360" t="s">
        <v>63</v>
      </c>
      <c r="AB360">
        <v>0</v>
      </c>
      <c r="AC360">
        <v>81.239999999999995</v>
      </c>
      <c r="AD360">
        <v>74</v>
      </c>
      <c r="AE360">
        <v>76</v>
      </c>
    </row>
    <row r="361" spans="1:31" x14ac:dyDescent="0.25">
      <c r="A361" t="s">
        <v>1919</v>
      </c>
      <c r="B361" t="s">
        <v>1920</v>
      </c>
      <c r="C361" s="1">
        <v>43836</v>
      </c>
      <c r="D361" s="1">
        <v>44380</v>
      </c>
      <c r="E361" t="s">
        <v>66</v>
      </c>
      <c r="F361" t="s">
        <v>93</v>
      </c>
      <c r="G361" t="s">
        <v>115</v>
      </c>
      <c r="H361" t="s">
        <v>36</v>
      </c>
      <c r="I361" t="s">
        <v>1921</v>
      </c>
      <c r="J361" t="s">
        <v>82</v>
      </c>
      <c r="K361" t="s">
        <v>56</v>
      </c>
      <c r="L361" t="s">
        <v>1922</v>
      </c>
      <c r="M361">
        <v>27.11</v>
      </c>
      <c r="N361">
        <v>98</v>
      </c>
      <c r="O361" t="s">
        <v>1923</v>
      </c>
      <c r="P361" t="s">
        <v>59</v>
      </c>
      <c r="Q361" t="s">
        <v>189</v>
      </c>
      <c r="R361" t="s">
        <v>88</v>
      </c>
      <c r="S361" t="s">
        <v>89</v>
      </c>
      <c r="T361" t="s">
        <v>625</v>
      </c>
      <c r="U361">
        <v>4323</v>
      </c>
      <c r="V361">
        <v>430</v>
      </c>
      <c r="W361">
        <v>25</v>
      </c>
      <c r="X361">
        <v>470.01</v>
      </c>
      <c r="Y361">
        <v>74.89</v>
      </c>
      <c r="Z361">
        <v>544.9</v>
      </c>
      <c r="AA361" t="s">
        <v>63</v>
      </c>
      <c r="AB361">
        <v>0</v>
      </c>
      <c r="AC361">
        <v>92.17</v>
      </c>
      <c r="AD361">
        <v>139</v>
      </c>
      <c r="AE361">
        <v>149</v>
      </c>
    </row>
    <row r="362" spans="1:31" x14ac:dyDescent="0.25">
      <c r="A362" t="s">
        <v>1924</v>
      </c>
      <c r="B362" t="s">
        <v>1925</v>
      </c>
      <c r="C362" s="1">
        <v>44653</v>
      </c>
      <c r="D362" s="1">
        <v>44006</v>
      </c>
      <c r="E362" t="s">
        <v>66</v>
      </c>
      <c r="F362" t="s">
        <v>93</v>
      </c>
      <c r="G362" t="s">
        <v>35</v>
      </c>
      <c r="H362" t="s">
        <v>218</v>
      </c>
      <c r="I362" t="s">
        <v>1926</v>
      </c>
      <c r="J362" t="s">
        <v>107</v>
      </c>
      <c r="K362" t="s">
        <v>83</v>
      </c>
      <c r="L362" t="s">
        <v>1927</v>
      </c>
      <c r="M362">
        <v>32.19</v>
      </c>
      <c r="N362">
        <v>89</v>
      </c>
      <c r="O362" t="s">
        <v>1928</v>
      </c>
      <c r="P362" t="s">
        <v>86</v>
      </c>
      <c r="Q362" t="s">
        <v>514</v>
      </c>
      <c r="R362" t="s">
        <v>88</v>
      </c>
      <c r="S362" t="s">
        <v>74</v>
      </c>
      <c r="T362" t="s">
        <v>262</v>
      </c>
      <c r="U362">
        <v>4336</v>
      </c>
      <c r="V362">
        <v>235</v>
      </c>
      <c r="W362">
        <v>25</v>
      </c>
      <c r="X362">
        <v>950.02</v>
      </c>
      <c r="Y362">
        <v>146.97</v>
      </c>
      <c r="Z362">
        <v>1096.99</v>
      </c>
      <c r="AA362" t="s">
        <v>63</v>
      </c>
      <c r="AB362">
        <v>0</v>
      </c>
      <c r="AC362">
        <v>75.56</v>
      </c>
      <c r="AD362">
        <v>468</v>
      </c>
      <c r="AE362">
        <v>497</v>
      </c>
    </row>
    <row r="363" spans="1:31" x14ac:dyDescent="0.25">
      <c r="A363" t="s">
        <v>1929</v>
      </c>
      <c r="B363" t="s">
        <v>1930</v>
      </c>
      <c r="C363" s="1">
        <v>45474</v>
      </c>
      <c r="D363" s="1">
        <v>44492</v>
      </c>
      <c r="E363" t="s">
        <v>66</v>
      </c>
      <c r="F363" t="s">
        <v>78</v>
      </c>
      <c r="G363" t="s">
        <v>115</v>
      </c>
      <c r="H363" t="s">
        <v>36</v>
      </c>
      <c r="I363" t="s">
        <v>1931</v>
      </c>
      <c r="J363" t="s">
        <v>38</v>
      </c>
      <c r="K363" t="s">
        <v>39</v>
      </c>
      <c r="L363" t="s">
        <v>1932</v>
      </c>
      <c r="M363">
        <v>331.21</v>
      </c>
      <c r="N363">
        <v>51</v>
      </c>
      <c r="O363" t="s">
        <v>1073</v>
      </c>
      <c r="P363" t="s">
        <v>59</v>
      </c>
      <c r="Q363" t="s">
        <v>228</v>
      </c>
      <c r="R363" t="s">
        <v>88</v>
      </c>
      <c r="S363" t="s">
        <v>74</v>
      </c>
      <c r="T363" t="s">
        <v>652</v>
      </c>
      <c r="U363">
        <v>1762</v>
      </c>
      <c r="V363">
        <v>425</v>
      </c>
      <c r="W363">
        <v>19</v>
      </c>
      <c r="X363">
        <v>659.16</v>
      </c>
      <c r="Y363">
        <v>39.67</v>
      </c>
      <c r="Z363">
        <v>698.82999999999993</v>
      </c>
      <c r="AA363" t="s">
        <v>63</v>
      </c>
      <c r="AB363">
        <v>0</v>
      </c>
      <c r="AC363">
        <v>89.12</v>
      </c>
      <c r="AD363">
        <v>201</v>
      </c>
      <c r="AE363">
        <v>174</v>
      </c>
    </row>
    <row r="364" spans="1:31" x14ac:dyDescent="0.25">
      <c r="A364" t="s">
        <v>1933</v>
      </c>
      <c r="B364" t="s">
        <v>1934</v>
      </c>
      <c r="C364" s="1">
        <v>45423</v>
      </c>
      <c r="D364" s="1">
        <v>44157</v>
      </c>
      <c r="E364" t="s">
        <v>50</v>
      </c>
      <c r="F364" t="s">
        <v>78</v>
      </c>
      <c r="G364" t="s">
        <v>35</v>
      </c>
      <c r="H364" t="s">
        <v>68</v>
      </c>
      <c r="I364" t="s">
        <v>1935</v>
      </c>
      <c r="J364" t="s">
        <v>38</v>
      </c>
      <c r="K364" t="s">
        <v>70</v>
      </c>
      <c r="L364" t="s">
        <v>1936</v>
      </c>
      <c r="M364">
        <v>341.44</v>
      </c>
      <c r="N364">
        <v>85</v>
      </c>
      <c r="O364" t="s">
        <v>1937</v>
      </c>
      <c r="P364" t="s">
        <v>86</v>
      </c>
      <c r="Q364" t="s">
        <v>421</v>
      </c>
      <c r="R364" t="s">
        <v>61</v>
      </c>
      <c r="S364" t="s">
        <v>89</v>
      </c>
      <c r="T364" t="s">
        <v>1059</v>
      </c>
      <c r="U364">
        <v>2378</v>
      </c>
      <c r="V364">
        <v>381</v>
      </c>
      <c r="W364">
        <v>2</v>
      </c>
      <c r="X364">
        <v>721.77</v>
      </c>
      <c r="Y364">
        <v>104.74</v>
      </c>
      <c r="Z364">
        <v>826.51</v>
      </c>
      <c r="AA364" t="s">
        <v>63</v>
      </c>
      <c r="AB364">
        <v>0</v>
      </c>
      <c r="AC364">
        <v>75.06</v>
      </c>
      <c r="AD364">
        <v>314</v>
      </c>
      <c r="AE364">
        <v>281</v>
      </c>
    </row>
    <row r="365" spans="1:31" x14ac:dyDescent="0.25">
      <c r="A365" t="s">
        <v>1938</v>
      </c>
      <c r="B365" t="s">
        <v>1664</v>
      </c>
      <c r="C365" s="1">
        <v>44357</v>
      </c>
      <c r="D365" s="1">
        <v>44826</v>
      </c>
      <c r="E365" t="s">
        <v>50</v>
      </c>
      <c r="F365" t="s">
        <v>78</v>
      </c>
      <c r="G365" t="s">
        <v>35</v>
      </c>
      <c r="H365" t="s">
        <v>218</v>
      </c>
      <c r="I365" t="s">
        <v>1939</v>
      </c>
      <c r="J365" t="s">
        <v>96</v>
      </c>
      <c r="K365" t="s">
        <v>97</v>
      </c>
      <c r="L365" t="s">
        <v>1940</v>
      </c>
      <c r="M365">
        <v>28.32</v>
      </c>
      <c r="N365">
        <v>85</v>
      </c>
      <c r="O365" t="s">
        <v>1941</v>
      </c>
      <c r="P365" t="s">
        <v>110</v>
      </c>
      <c r="Q365" t="s">
        <v>428</v>
      </c>
      <c r="R365" t="s">
        <v>88</v>
      </c>
      <c r="S365" t="s">
        <v>74</v>
      </c>
      <c r="T365" t="s">
        <v>365</v>
      </c>
      <c r="U365">
        <v>3614</v>
      </c>
      <c r="V365">
        <v>280</v>
      </c>
      <c r="W365">
        <v>18</v>
      </c>
      <c r="X365">
        <v>1563.99</v>
      </c>
      <c r="Y365">
        <v>434.44</v>
      </c>
      <c r="Z365">
        <v>1998.43</v>
      </c>
      <c r="AA365" t="s">
        <v>63</v>
      </c>
      <c r="AB365">
        <v>0</v>
      </c>
      <c r="AC365">
        <v>88.47</v>
      </c>
      <c r="AD365">
        <v>141</v>
      </c>
      <c r="AE365">
        <v>111</v>
      </c>
    </row>
    <row r="366" spans="1:31" x14ac:dyDescent="0.25">
      <c r="A366" t="s">
        <v>1942</v>
      </c>
      <c r="B366" t="s">
        <v>1943</v>
      </c>
      <c r="C366" s="1">
        <v>45418</v>
      </c>
      <c r="D366" s="1">
        <v>45461</v>
      </c>
      <c r="E366" t="s">
        <v>66</v>
      </c>
      <c r="F366" t="s">
        <v>93</v>
      </c>
      <c r="G366" t="s">
        <v>337</v>
      </c>
      <c r="H366" t="s">
        <v>148</v>
      </c>
      <c r="I366" t="s">
        <v>1944</v>
      </c>
      <c r="J366" t="s">
        <v>82</v>
      </c>
      <c r="K366" t="s">
        <v>83</v>
      </c>
      <c r="L366" t="s">
        <v>1945</v>
      </c>
      <c r="M366">
        <v>144.21</v>
      </c>
      <c r="N366">
        <v>29</v>
      </c>
      <c r="O366" t="s">
        <v>167</v>
      </c>
      <c r="P366" t="s">
        <v>86</v>
      </c>
      <c r="Q366" t="s">
        <v>371</v>
      </c>
      <c r="R366" t="s">
        <v>88</v>
      </c>
      <c r="S366" t="s">
        <v>89</v>
      </c>
      <c r="T366" t="s">
        <v>203</v>
      </c>
      <c r="U366">
        <v>3801</v>
      </c>
      <c r="V366">
        <v>120</v>
      </c>
      <c r="W366">
        <v>11</v>
      </c>
      <c r="X366">
        <v>848.56</v>
      </c>
      <c r="Y366">
        <v>237.86</v>
      </c>
      <c r="Z366">
        <v>1086.42</v>
      </c>
      <c r="AA366" t="s">
        <v>63</v>
      </c>
      <c r="AB366">
        <v>0</v>
      </c>
      <c r="AC366">
        <v>80.150000000000006</v>
      </c>
      <c r="AD366">
        <v>287</v>
      </c>
      <c r="AE366">
        <v>304</v>
      </c>
    </row>
    <row r="367" spans="1:31" x14ac:dyDescent="0.25">
      <c r="A367" t="s">
        <v>1946</v>
      </c>
      <c r="B367" t="s">
        <v>1947</v>
      </c>
      <c r="C367" s="1">
        <v>44802</v>
      </c>
      <c r="D367" s="1">
        <v>45452</v>
      </c>
      <c r="E367" t="s">
        <v>66</v>
      </c>
      <c r="F367" t="s">
        <v>34</v>
      </c>
      <c r="G367" t="s">
        <v>105</v>
      </c>
      <c r="H367" t="s">
        <v>53</v>
      </c>
      <c r="I367" t="s">
        <v>1948</v>
      </c>
      <c r="J367" t="s">
        <v>96</v>
      </c>
      <c r="K367" t="s">
        <v>83</v>
      </c>
      <c r="L367" t="s">
        <v>1949</v>
      </c>
      <c r="M367">
        <v>112.22</v>
      </c>
      <c r="N367">
        <v>40</v>
      </c>
      <c r="O367" t="s">
        <v>1950</v>
      </c>
      <c r="P367" t="s">
        <v>86</v>
      </c>
      <c r="Q367" t="s">
        <v>60</v>
      </c>
      <c r="R367" t="s">
        <v>44</v>
      </c>
      <c r="S367" t="s">
        <v>74</v>
      </c>
      <c r="T367" t="s">
        <v>215</v>
      </c>
      <c r="U367">
        <v>2660</v>
      </c>
      <c r="V367">
        <v>162</v>
      </c>
      <c r="W367">
        <v>10</v>
      </c>
      <c r="X367">
        <v>1977.08</v>
      </c>
      <c r="Y367">
        <v>344.52</v>
      </c>
      <c r="Z367">
        <v>2321.6</v>
      </c>
      <c r="AA367" t="s">
        <v>63</v>
      </c>
      <c r="AB367">
        <v>0</v>
      </c>
      <c r="AC367">
        <v>79.59</v>
      </c>
      <c r="AD367">
        <v>59</v>
      </c>
      <c r="AE367">
        <v>107</v>
      </c>
    </row>
    <row r="368" spans="1:31" x14ac:dyDescent="0.25">
      <c r="A368" t="s">
        <v>1951</v>
      </c>
      <c r="B368" t="s">
        <v>1952</v>
      </c>
      <c r="C368" s="1">
        <v>44021</v>
      </c>
      <c r="D368" s="1">
        <v>44684</v>
      </c>
      <c r="E368" t="s">
        <v>66</v>
      </c>
      <c r="F368" t="s">
        <v>78</v>
      </c>
      <c r="G368" t="s">
        <v>115</v>
      </c>
      <c r="H368" t="s">
        <v>53</v>
      </c>
      <c r="I368" t="s">
        <v>1953</v>
      </c>
      <c r="J368" t="s">
        <v>96</v>
      </c>
      <c r="K368" t="s">
        <v>97</v>
      </c>
      <c r="L368" t="s">
        <v>1954</v>
      </c>
      <c r="M368">
        <v>463.92</v>
      </c>
      <c r="N368">
        <v>49</v>
      </c>
      <c r="O368" t="s">
        <v>1955</v>
      </c>
      <c r="P368" t="s">
        <v>142</v>
      </c>
      <c r="Q368" t="s">
        <v>558</v>
      </c>
      <c r="R368" t="s">
        <v>44</v>
      </c>
      <c r="S368" t="s">
        <v>45</v>
      </c>
      <c r="T368" t="s">
        <v>309</v>
      </c>
      <c r="U368">
        <v>1593</v>
      </c>
      <c r="V368">
        <v>289</v>
      </c>
      <c r="W368">
        <v>19</v>
      </c>
      <c r="X368">
        <v>1354.2</v>
      </c>
      <c r="Y368">
        <v>137.9</v>
      </c>
      <c r="Z368">
        <v>1492.1</v>
      </c>
      <c r="AA368" t="s">
        <v>63</v>
      </c>
      <c r="AB368">
        <v>0</v>
      </c>
      <c r="AC368">
        <v>96.08</v>
      </c>
      <c r="AD368">
        <v>188</v>
      </c>
      <c r="AE368">
        <v>223</v>
      </c>
    </row>
    <row r="369" spans="1:31" x14ac:dyDescent="0.25">
      <c r="A369" t="s">
        <v>1956</v>
      </c>
      <c r="B369" t="s">
        <v>1957</v>
      </c>
      <c r="C369" s="1">
        <v>45265</v>
      </c>
      <c r="D369" s="1">
        <v>45055</v>
      </c>
      <c r="E369" t="s">
        <v>50</v>
      </c>
      <c r="F369" t="s">
        <v>147</v>
      </c>
      <c r="G369" t="s">
        <v>67</v>
      </c>
      <c r="H369" t="s">
        <v>80</v>
      </c>
      <c r="I369" t="s">
        <v>1958</v>
      </c>
      <c r="J369" t="s">
        <v>38</v>
      </c>
      <c r="K369" t="s">
        <v>70</v>
      </c>
      <c r="L369" t="s">
        <v>1959</v>
      </c>
      <c r="M369">
        <v>443.86</v>
      </c>
      <c r="N369">
        <v>64</v>
      </c>
      <c r="O369" t="s">
        <v>1706</v>
      </c>
      <c r="P369" t="s">
        <v>110</v>
      </c>
      <c r="Q369" t="s">
        <v>926</v>
      </c>
      <c r="R369" t="s">
        <v>61</v>
      </c>
      <c r="S369" t="s">
        <v>89</v>
      </c>
      <c r="T369" t="s">
        <v>444</v>
      </c>
      <c r="U369">
        <v>3467</v>
      </c>
      <c r="V369">
        <v>331</v>
      </c>
      <c r="W369">
        <v>5</v>
      </c>
      <c r="X369">
        <v>391.01</v>
      </c>
      <c r="Y369">
        <v>225.14</v>
      </c>
      <c r="Z369">
        <v>616.15</v>
      </c>
      <c r="AA369" t="s">
        <v>63</v>
      </c>
      <c r="AB369">
        <v>0</v>
      </c>
      <c r="AC369">
        <v>75.83</v>
      </c>
      <c r="AD369">
        <v>266</v>
      </c>
      <c r="AE369">
        <v>283</v>
      </c>
    </row>
    <row r="370" spans="1:31" x14ac:dyDescent="0.25">
      <c r="A370" t="s">
        <v>1960</v>
      </c>
      <c r="B370" t="s">
        <v>1961</v>
      </c>
      <c r="C370" s="1">
        <v>45026</v>
      </c>
      <c r="D370" s="1">
        <v>44153</v>
      </c>
      <c r="E370" t="s">
        <v>66</v>
      </c>
      <c r="F370" t="s">
        <v>93</v>
      </c>
      <c r="G370" t="s">
        <v>35</v>
      </c>
      <c r="H370" t="s">
        <v>116</v>
      </c>
      <c r="I370" t="s">
        <v>1962</v>
      </c>
      <c r="J370" t="s">
        <v>55</v>
      </c>
      <c r="K370" t="s">
        <v>56</v>
      </c>
      <c r="L370" t="s">
        <v>1963</v>
      </c>
      <c r="M370">
        <v>293.23</v>
      </c>
      <c r="N370">
        <v>2</v>
      </c>
      <c r="O370" t="s">
        <v>1964</v>
      </c>
      <c r="P370" t="s">
        <v>142</v>
      </c>
      <c r="Q370" t="s">
        <v>168</v>
      </c>
      <c r="R370" t="s">
        <v>61</v>
      </c>
      <c r="S370" t="s">
        <v>74</v>
      </c>
      <c r="T370" t="s">
        <v>309</v>
      </c>
      <c r="U370">
        <v>2393</v>
      </c>
      <c r="V370">
        <v>460</v>
      </c>
      <c r="W370">
        <v>10</v>
      </c>
      <c r="X370">
        <v>274.01</v>
      </c>
      <c r="Y370">
        <v>174.73</v>
      </c>
      <c r="Z370">
        <v>448.74</v>
      </c>
      <c r="AA370" t="s">
        <v>63</v>
      </c>
      <c r="AB370">
        <v>0</v>
      </c>
      <c r="AC370">
        <v>82.81</v>
      </c>
      <c r="AD370">
        <v>344</v>
      </c>
      <c r="AE370">
        <v>310</v>
      </c>
    </row>
    <row r="371" spans="1:31" x14ac:dyDescent="0.25">
      <c r="A371" t="s">
        <v>1965</v>
      </c>
      <c r="B371" t="s">
        <v>1966</v>
      </c>
      <c r="C371" s="1">
        <v>45388</v>
      </c>
      <c r="D371" s="1">
        <v>45399</v>
      </c>
      <c r="E371" t="s">
        <v>50</v>
      </c>
      <c r="F371" t="s">
        <v>34</v>
      </c>
      <c r="G371" t="s">
        <v>52</v>
      </c>
      <c r="H371" t="s">
        <v>218</v>
      </c>
      <c r="I371" t="s">
        <v>1967</v>
      </c>
      <c r="J371" t="s">
        <v>107</v>
      </c>
      <c r="K371" t="s">
        <v>56</v>
      </c>
      <c r="L371" t="s">
        <v>1968</v>
      </c>
      <c r="M371">
        <v>94.35</v>
      </c>
      <c r="N371">
        <v>92</v>
      </c>
      <c r="O371" t="s">
        <v>1845</v>
      </c>
      <c r="P371" t="s">
        <v>59</v>
      </c>
      <c r="Q371" t="s">
        <v>160</v>
      </c>
      <c r="R371" t="s">
        <v>61</v>
      </c>
      <c r="S371" t="s">
        <v>89</v>
      </c>
      <c r="T371" t="s">
        <v>102</v>
      </c>
      <c r="U371">
        <v>858</v>
      </c>
      <c r="V371">
        <v>121</v>
      </c>
      <c r="W371">
        <v>6</v>
      </c>
      <c r="X371">
        <v>1472.42</v>
      </c>
      <c r="Y371">
        <v>311.47000000000003</v>
      </c>
      <c r="Z371">
        <v>1783.89</v>
      </c>
      <c r="AA371" t="s">
        <v>63</v>
      </c>
      <c r="AB371">
        <v>0</v>
      </c>
      <c r="AC371">
        <v>72.52</v>
      </c>
      <c r="AD371">
        <v>354</v>
      </c>
      <c r="AE371">
        <v>354</v>
      </c>
    </row>
    <row r="372" spans="1:31" x14ac:dyDescent="0.25">
      <c r="A372" t="s">
        <v>1969</v>
      </c>
      <c r="B372" t="s">
        <v>1970</v>
      </c>
      <c r="C372" s="1">
        <v>45242</v>
      </c>
      <c r="D372" s="1">
        <v>45215</v>
      </c>
      <c r="E372" t="s">
        <v>50</v>
      </c>
      <c r="F372" t="s">
        <v>51</v>
      </c>
      <c r="G372" t="s">
        <v>337</v>
      </c>
      <c r="H372" t="s">
        <v>36</v>
      </c>
      <c r="I372" t="s">
        <v>1971</v>
      </c>
      <c r="J372" t="s">
        <v>82</v>
      </c>
      <c r="K372" t="s">
        <v>83</v>
      </c>
      <c r="L372" t="s">
        <v>1972</v>
      </c>
      <c r="M372">
        <v>41.98</v>
      </c>
      <c r="N372">
        <v>40</v>
      </c>
      <c r="O372" t="s">
        <v>398</v>
      </c>
      <c r="P372" t="s">
        <v>142</v>
      </c>
      <c r="Q372" t="s">
        <v>383</v>
      </c>
      <c r="R372" t="s">
        <v>153</v>
      </c>
      <c r="S372" t="s">
        <v>101</v>
      </c>
      <c r="T372" t="s">
        <v>530</v>
      </c>
      <c r="U372">
        <v>4676</v>
      </c>
      <c r="V372">
        <v>131</v>
      </c>
      <c r="W372">
        <v>26</v>
      </c>
      <c r="X372">
        <v>497.87</v>
      </c>
      <c r="Y372">
        <v>15.92</v>
      </c>
      <c r="Z372">
        <v>513.79</v>
      </c>
      <c r="AA372" t="s">
        <v>63</v>
      </c>
      <c r="AB372">
        <v>0</v>
      </c>
      <c r="AC372">
        <v>85.3</v>
      </c>
      <c r="AD372">
        <v>262</v>
      </c>
      <c r="AE372">
        <v>295</v>
      </c>
    </row>
    <row r="373" spans="1:31" x14ac:dyDescent="0.25">
      <c r="A373" t="s">
        <v>1973</v>
      </c>
      <c r="B373" t="s">
        <v>1974</v>
      </c>
      <c r="C373" s="1">
        <v>45346</v>
      </c>
      <c r="D373" s="1">
        <v>44450</v>
      </c>
      <c r="E373" t="s">
        <v>66</v>
      </c>
      <c r="F373" t="s">
        <v>78</v>
      </c>
      <c r="G373" t="s">
        <v>115</v>
      </c>
      <c r="H373" t="s">
        <v>68</v>
      </c>
      <c r="I373" t="s">
        <v>1975</v>
      </c>
      <c r="J373" t="s">
        <v>107</v>
      </c>
      <c r="K373" t="s">
        <v>70</v>
      </c>
      <c r="L373" t="s">
        <v>1976</v>
      </c>
      <c r="M373">
        <v>360.43</v>
      </c>
      <c r="N373">
        <v>56</v>
      </c>
      <c r="O373" t="s">
        <v>1977</v>
      </c>
      <c r="P373" t="s">
        <v>110</v>
      </c>
      <c r="Q373" t="s">
        <v>228</v>
      </c>
      <c r="R373" t="s">
        <v>44</v>
      </c>
      <c r="S373" t="s">
        <v>128</v>
      </c>
      <c r="T373" t="s">
        <v>222</v>
      </c>
      <c r="U373">
        <v>4179</v>
      </c>
      <c r="V373">
        <v>174</v>
      </c>
      <c r="W373">
        <v>14</v>
      </c>
      <c r="X373">
        <v>1829.78</v>
      </c>
      <c r="Y373">
        <v>81.69</v>
      </c>
      <c r="Z373">
        <v>1911.47</v>
      </c>
      <c r="AA373" t="s">
        <v>47</v>
      </c>
      <c r="AB373">
        <v>5</v>
      </c>
      <c r="AC373">
        <v>91.73</v>
      </c>
      <c r="AD373">
        <v>228</v>
      </c>
      <c r="AE373">
        <v>191</v>
      </c>
    </row>
    <row r="374" spans="1:31" x14ac:dyDescent="0.25">
      <c r="A374" t="s">
        <v>1978</v>
      </c>
      <c r="B374" t="s">
        <v>1979</v>
      </c>
      <c r="C374" s="1">
        <v>44052</v>
      </c>
      <c r="D374" s="1">
        <v>45501</v>
      </c>
      <c r="E374" t="s">
        <v>66</v>
      </c>
      <c r="F374" t="s">
        <v>34</v>
      </c>
      <c r="G374" t="s">
        <v>105</v>
      </c>
      <c r="H374" t="s">
        <v>53</v>
      </c>
      <c r="I374" t="s">
        <v>1980</v>
      </c>
      <c r="J374" t="s">
        <v>38</v>
      </c>
      <c r="K374" t="s">
        <v>70</v>
      </c>
      <c r="L374" t="s">
        <v>1981</v>
      </c>
      <c r="M374">
        <v>357.7</v>
      </c>
      <c r="N374">
        <v>10</v>
      </c>
      <c r="O374" t="s">
        <v>167</v>
      </c>
      <c r="P374" t="s">
        <v>110</v>
      </c>
      <c r="Q374" t="s">
        <v>100</v>
      </c>
      <c r="R374" t="s">
        <v>44</v>
      </c>
      <c r="S374" t="s">
        <v>74</v>
      </c>
      <c r="T374" t="s">
        <v>372</v>
      </c>
      <c r="U374">
        <v>1610</v>
      </c>
      <c r="V374">
        <v>372</v>
      </c>
      <c r="W374">
        <v>2</v>
      </c>
      <c r="X374">
        <v>1345.21</v>
      </c>
      <c r="Y374">
        <v>18.16</v>
      </c>
      <c r="Z374">
        <v>1363.37</v>
      </c>
      <c r="AA374" t="s">
        <v>63</v>
      </c>
      <c r="AB374">
        <v>0</v>
      </c>
      <c r="AC374">
        <v>73.349999999999994</v>
      </c>
      <c r="AD374">
        <v>339</v>
      </c>
      <c r="AE374">
        <v>363</v>
      </c>
    </row>
    <row r="375" spans="1:31" x14ac:dyDescent="0.25">
      <c r="A375" t="s">
        <v>1982</v>
      </c>
      <c r="B375" t="s">
        <v>1983</v>
      </c>
      <c r="C375" s="1">
        <v>44309</v>
      </c>
      <c r="D375" s="1">
        <v>45471</v>
      </c>
      <c r="E375" t="s">
        <v>50</v>
      </c>
      <c r="F375" t="s">
        <v>51</v>
      </c>
      <c r="G375" t="s">
        <v>52</v>
      </c>
      <c r="H375" t="s">
        <v>68</v>
      </c>
      <c r="I375" t="s">
        <v>1984</v>
      </c>
      <c r="J375" t="s">
        <v>55</v>
      </c>
      <c r="K375" t="s">
        <v>70</v>
      </c>
      <c r="L375" t="s">
        <v>1985</v>
      </c>
      <c r="M375">
        <v>305.52999999999997</v>
      </c>
      <c r="N375">
        <v>59</v>
      </c>
      <c r="O375" t="s">
        <v>1986</v>
      </c>
      <c r="P375" t="s">
        <v>42</v>
      </c>
      <c r="Q375" t="s">
        <v>1277</v>
      </c>
      <c r="R375" t="s">
        <v>88</v>
      </c>
      <c r="S375" t="s">
        <v>128</v>
      </c>
      <c r="T375" t="s">
        <v>161</v>
      </c>
      <c r="U375">
        <v>2110</v>
      </c>
      <c r="V375">
        <v>215</v>
      </c>
      <c r="W375">
        <v>9</v>
      </c>
      <c r="X375">
        <v>1341.13</v>
      </c>
      <c r="Y375">
        <v>460.44</v>
      </c>
      <c r="Z375">
        <v>1801.57</v>
      </c>
      <c r="AA375" t="s">
        <v>63</v>
      </c>
      <c r="AB375">
        <v>0</v>
      </c>
      <c r="AC375">
        <v>97.05</v>
      </c>
      <c r="AD375">
        <v>95</v>
      </c>
      <c r="AE375">
        <v>136</v>
      </c>
    </row>
    <row r="376" spans="1:31" x14ac:dyDescent="0.25">
      <c r="A376" t="s">
        <v>1987</v>
      </c>
      <c r="B376" t="s">
        <v>1988</v>
      </c>
      <c r="C376" s="1">
        <v>45464</v>
      </c>
      <c r="D376" s="1">
        <v>44569</v>
      </c>
      <c r="E376" t="s">
        <v>66</v>
      </c>
      <c r="F376" t="s">
        <v>93</v>
      </c>
      <c r="G376" t="s">
        <v>94</v>
      </c>
      <c r="H376" t="s">
        <v>116</v>
      </c>
      <c r="I376" t="s">
        <v>1989</v>
      </c>
      <c r="J376" t="s">
        <v>107</v>
      </c>
      <c r="K376" t="s">
        <v>56</v>
      </c>
      <c r="L376" t="s">
        <v>1990</v>
      </c>
      <c r="M376">
        <v>372</v>
      </c>
      <c r="N376">
        <v>44</v>
      </c>
      <c r="O376" t="s">
        <v>1991</v>
      </c>
      <c r="P376" t="s">
        <v>59</v>
      </c>
      <c r="Q376" t="s">
        <v>189</v>
      </c>
      <c r="R376" t="s">
        <v>44</v>
      </c>
      <c r="S376" t="s">
        <v>128</v>
      </c>
      <c r="T376" t="s">
        <v>46</v>
      </c>
      <c r="U376">
        <v>94</v>
      </c>
      <c r="V376">
        <v>71</v>
      </c>
      <c r="W376">
        <v>7</v>
      </c>
      <c r="X376">
        <v>1934.59</v>
      </c>
      <c r="Y376">
        <v>211.21</v>
      </c>
      <c r="Z376">
        <v>2145.8000000000002</v>
      </c>
      <c r="AA376" t="s">
        <v>47</v>
      </c>
      <c r="AB376">
        <v>1</v>
      </c>
      <c r="AC376">
        <v>75.06</v>
      </c>
      <c r="AD376">
        <v>74</v>
      </c>
      <c r="AE376">
        <v>120</v>
      </c>
    </row>
    <row r="377" spans="1:31" x14ac:dyDescent="0.25">
      <c r="A377" t="s">
        <v>1992</v>
      </c>
      <c r="B377" t="s">
        <v>1993</v>
      </c>
      <c r="C377" s="1">
        <v>45626</v>
      </c>
      <c r="D377" s="1">
        <v>45583</v>
      </c>
      <c r="E377" t="s">
        <v>50</v>
      </c>
      <c r="F377" t="s">
        <v>51</v>
      </c>
      <c r="G377" t="s">
        <v>67</v>
      </c>
      <c r="H377" t="s">
        <v>36</v>
      </c>
      <c r="I377" t="s">
        <v>1994</v>
      </c>
      <c r="J377" t="s">
        <v>96</v>
      </c>
      <c r="K377" t="s">
        <v>97</v>
      </c>
      <c r="L377" t="s">
        <v>1995</v>
      </c>
      <c r="M377">
        <v>115.44</v>
      </c>
      <c r="N377">
        <v>71</v>
      </c>
      <c r="O377" t="s">
        <v>1996</v>
      </c>
      <c r="P377" t="s">
        <v>142</v>
      </c>
      <c r="Q377" t="s">
        <v>189</v>
      </c>
      <c r="R377" t="s">
        <v>61</v>
      </c>
      <c r="S377" t="s">
        <v>89</v>
      </c>
      <c r="T377" t="s">
        <v>405</v>
      </c>
      <c r="U377">
        <v>1059</v>
      </c>
      <c r="V377">
        <v>390</v>
      </c>
      <c r="W377">
        <v>3</v>
      </c>
      <c r="X377">
        <v>942.64</v>
      </c>
      <c r="Y377">
        <v>218.7</v>
      </c>
      <c r="Z377">
        <v>1161.3399999999999</v>
      </c>
      <c r="AA377" t="s">
        <v>63</v>
      </c>
      <c r="AB377">
        <v>0</v>
      </c>
      <c r="AC377">
        <v>87.53</v>
      </c>
      <c r="AD377">
        <v>227</v>
      </c>
      <c r="AE377">
        <v>263</v>
      </c>
    </row>
    <row r="378" spans="1:31" x14ac:dyDescent="0.25">
      <c r="A378" t="s">
        <v>1997</v>
      </c>
      <c r="B378" t="s">
        <v>1998</v>
      </c>
      <c r="C378" s="1">
        <v>44859</v>
      </c>
      <c r="D378" s="1">
        <v>44689</v>
      </c>
      <c r="E378" t="s">
        <v>66</v>
      </c>
      <c r="F378" t="s">
        <v>93</v>
      </c>
      <c r="G378" t="s">
        <v>337</v>
      </c>
      <c r="H378" t="s">
        <v>36</v>
      </c>
      <c r="I378" t="s">
        <v>1999</v>
      </c>
      <c r="J378" t="s">
        <v>55</v>
      </c>
      <c r="K378" t="s">
        <v>83</v>
      </c>
      <c r="L378" t="s">
        <v>2000</v>
      </c>
      <c r="M378">
        <v>422.22</v>
      </c>
      <c r="N378">
        <v>37</v>
      </c>
      <c r="O378" t="s">
        <v>747</v>
      </c>
      <c r="P378" t="s">
        <v>142</v>
      </c>
      <c r="Q378" t="s">
        <v>175</v>
      </c>
      <c r="R378" t="s">
        <v>88</v>
      </c>
      <c r="S378" t="s">
        <v>45</v>
      </c>
      <c r="T378" t="s">
        <v>434</v>
      </c>
      <c r="U378">
        <v>3462</v>
      </c>
      <c r="V378">
        <v>236</v>
      </c>
      <c r="W378">
        <v>8</v>
      </c>
      <c r="X378">
        <v>1315.39</v>
      </c>
      <c r="Y378">
        <v>105.6</v>
      </c>
      <c r="Z378">
        <v>1420.99</v>
      </c>
      <c r="AA378" t="s">
        <v>63</v>
      </c>
      <c r="AB378">
        <v>0</v>
      </c>
      <c r="AC378">
        <v>79.31</v>
      </c>
      <c r="AD378">
        <v>113</v>
      </c>
      <c r="AE378">
        <v>99</v>
      </c>
    </row>
    <row r="379" spans="1:31" x14ac:dyDescent="0.25">
      <c r="A379" t="s">
        <v>2001</v>
      </c>
      <c r="B379" t="s">
        <v>2002</v>
      </c>
      <c r="C379" s="1">
        <v>44149</v>
      </c>
      <c r="D379" s="1">
        <v>44031</v>
      </c>
      <c r="E379" t="s">
        <v>66</v>
      </c>
      <c r="F379" t="s">
        <v>34</v>
      </c>
      <c r="G379" t="s">
        <v>79</v>
      </c>
      <c r="H379" t="s">
        <v>68</v>
      </c>
      <c r="I379" t="s">
        <v>2003</v>
      </c>
      <c r="J379" t="s">
        <v>82</v>
      </c>
      <c r="K379" t="s">
        <v>83</v>
      </c>
      <c r="L379" t="s">
        <v>2004</v>
      </c>
      <c r="M379">
        <v>400.41</v>
      </c>
      <c r="N379">
        <v>84</v>
      </c>
      <c r="O379" t="s">
        <v>583</v>
      </c>
      <c r="P379" t="s">
        <v>42</v>
      </c>
      <c r="Q379" t="s">
        <v>1277</v>
      </c>
      <c r="R379" t="s">
        <v>88</v>
      </c>
      <c r="S379" t="s">
        <v>101</v>
      </c>
      <c r="T379" t="s">
        <v>62</v>
      </c>
      <c r="U379">
        <v>537</v>
      </c>
      <c r="V379">
        <v>409</v>
      </c>
      <c r="W379">
        <v>25</v>
      </c>
      <c r="X379">
        <v>525.48</v>
      </c>
      <c r="Y379">
        <v>352.82</v>
      </c>
      <c r="Z379">
        <v>878.3</v>
      </c>
      <c r="AA379" t="s">
        <v>63</v>
      </c>
      <c r="AB379">
        <v>0</v>
      </c>
      <c r="AC379">
        <v>83.23</v>
      </c>
      <c r="AD379">
        <v>109</v>
      </c>
      <c r="AE379">
        <v>101</v>
      </c>
    </row>
    <row r="380" spans="1:31" x14ac:dyDescent="0.25">
      <c r="A380" t="s">
        <v>2005</v>
      </c>
      <c r="B380" t="s">
        <v>2006</v>
      </c>
      <c r="C380" s="1">
        <v>45160</v>
      </c>
      <c r="D380" s="1">
        <v>44612</v>
      </c>
      <c r="E380" t="s">
        <v>50</v>
      </c>
      <c r="F380" t="s">
        <v>147</v>
      </c>
      <c r="G380" t="s">
        <v>115</v>
      </c>
      <c r="H380" t="s">
        <v>116</v>
      </c>
      <c r="I380" t="s">
        <v>2007</v>
      </c>
      <c r="J380" t="s">
        <v>96</v>
      </c>
      <c r="K380" t="s">
        <v>56</v>
      </c>
      <c r="L380" t="s">
        <v>2008</v>
      </c>
      <c r="M380">
        <v>215.08</v>
      </c>
      <c r="N380">
        <v>93</v>
      </c>
      <c r="O380" t="s">
        <v>181</v>
      </c>
      <c r="P380" t="s">
        <v>142</v>
      </c>
      <c r="Q380" t="s">
        <v>228</v>
      </c>
      <c r="R380" t="s">
        <v>88</v>
      </c>
      <c r="S380" t="s">
        <v>74</v>
      </c>
      <c r="T380" t="s">
        <v>365</v>
      </c>
      <c r="U380">
        <v>17</v>
      </c>
      <c r="V380">
        <v>119</v>
      </c>
      <c r="W380">
        <v>19</v>
      </c>
      <c r="X380">
        <v>1877.46</v>
      </c>
      <c r="Y380">
        <v>322.63</v>
      </c>
      <c r="Z380">
        <v>2200.09</v>
      </c>
      <c r="AA380" t="s">
        <v>63</v>
      </c>
      <c r="AB380">
        <v>0</v>
      </c>
      <c r="AC380">
        <v>73.81</v>
      </c>
      <c r="AD380">
        <v>151</v>
      </c>
      <c r="AE380">
        <v>159</v>
      </c>
    </row>
    <row r="381" spans="1:31" x14ac:dyDescent="0.25">
      <c r="A381" t="s">
        <v>2009</v>
      </c>
      <c r="B381" t="s">
        <v>2010</v>
      </c>
      <c r="C381" s="1">
        <v>45333</v>
      </c>
      <c r="D381" s="1">
        <v>45583</v>
      </c>
      <c r="E381" t="s">
        <v>66</v>
      </c>
      <c r="F381" t="s">
        <v>147</v>
      </c>
      <c r="G381" t="s">
        <v>115</v>
      </c>
      <c r="H381" t="s">
        <v>116</v>
      </c>
      <c r="I381" t="s">
        <v>2011</v>
      </c>
      <c r="J381" t="s">
        <v>38</v>
      </c>
      <c r="K381" t="s">
        <v>70</v>
      </c>
      <c r="L381" t="s">
        <v>2012</v>
      </c>
      <c r="M381">
        <v>175.96</v>
      </c>
      <c r="N381">
        <v>83</v>
      </c>
      <c r="O381" t="s">
        <v>2013</v>
      </c>
      <c r="P381" t="s">
        <v>59</v>
      </c>
      <c r="Q381" t="s">
        <v>404</v>
      </c>
      <c r="R381" t="s">
        <v>88</v>
      </c>
      <c r="S381" t="s">
        <v>89</v>
      </c>
      <c r="T381" t="s">
        <v>1059</v>
      </c>
      <c r="U381">
        <v>3980</v>
      </c>
      <c r="V381">
        <v>237</v>
      </c>
      <c r="W381">
        <v>27</v>
      </c>
      <c r="X381">
        <v>89.56</v>
      </c>
      <c r="Y381">
        <v>350.76</v>
      </c>
      <c r="Z381">
        <v>440.32</v>
      </c>
      <c r="AA381" t="s">
        <v>63</v>
      </c>
      <c r="AB381">
        <v>0</v>
      </c>
      <c r="AC381">
        <v>74.19</v>
      </c>
      <c r="AD381">
        <v>61</v>
      </c>
      <c r="AE381">
        <v>44</v>
      </c>
    </row>
    <row r="382" spans="1:31" x14ac:dyDescent="0.25">
      <c r="A382" t="s">
        <v>2014</v>
      </c>
      <c r="B382" t="s">
        <v>2015</v>
      </c>
      <c r="C382" s="1">
        <v>43890</v>
      </c>
      <c r="D382" s="1">
        <v>44903</v>
      </c>
      <c r="E382" t="s">
        <v>66</v>
      </c>
      <c r="F382" t="s">
        <v>34</v>
      </c>
      <c r="G382" t="s">
        <v>35</v>
      </c>
      <c r="H382" t="s">
        <v>53</v>
      </c>
      <c r="I382" t="s">
        <v>2016</v>
      </c>
      <c r="J382" t="s">
        <v>96</v>
      </c>
      <c r="K382" t="s">
        <v>70</v>
      </c>
      <c r="L382" t="s">
        <v>2017</v>
      </c>
      <c r="M382">
        <v>205.67</v>
      </c>
      <c r="N382">
        <v>58</v>
      </c>
      <c r="O382" t="s">
        <v>2018</v>
      </c>
      <c r="P382" t="s">
        <v>142</v>
      </c>
      <c r="Q382" t="s">
        <v>428</v>
      </c>
      <c r="R382" t="s">
        <v>153</v>
      </c>
      <c r="S382" t="s">
        <v>74</v>
      </c>
      <c r="T382" t="s">
        <v>341</v>
      </c>
      <c r="U382">
        <v>3480</v>
      </c>
      <c r="V382">
        <v>163</v>
      </c>
      <c r="W382">
        <v>18</v>
      </c>
      <c r="X382">
        <v>810.79</v>
      </c>
      <c r="Y382">
        <v>445.4</v>
      </c>
      <c r="Z382">
        <v>1256.19</v>
      </c>
      <c r="AA382" t="s">
        <v>63</v>
      </c>
      <c r="AB382">
        <v>0</v>
      </c>
      <c r="AC382">
        <v>85.54</v>
      </c>
      <c r="AD382">
        <v>320</v>
      </c>
      <c r="AE382">
        <v>365</v>
      </c>
    </row>
    <row r="383" spans="1:31" x14ac:dyDescent="0.25">
      <c r="A383" t="s">
        <v>2019</v>
      </c>
      <c r="B383" t="s">
        <v>2020</v>
      </c>
      <c r="C383" s="1">
        <v>45470</v>
      </c>
      <c r="D383" s="1">
        <v>44629</v>
      </c>
      <c r="E383" t="s">
        <v>33</v>
      </c>
      <c r="F383" t="s">
        <v>78</v>
      </c>
      <c r="G383" t="s">
        <v>337</v>
      </c>
      <c r="H383" t="s">
        <v>218</v>
      </c>
      <c r="I383" t="s">
        <v>2021</v>
      </c>
      <c r="J383" t="s">
        <v>38</v>
      </c>
      <c r="K383" t="s">
        <v>56</v>
      </c>
      <c r="L383" t="s">
        <v>2022</v>
      </c>
      <c r="M383">
        <v>403.76</v>
      </c>
      <c r="N383">
        <v>66</v>
      </c>
      <c r="O383" t="s">
        <v>972</v>
      </c>
      <c r="P383" t="s">
        <v>110</v>
      </c>
      <c r="Q383" t="s">
        <v>706</v>
      </c>
      <c r="R383" t="s">
        <v>44</v>
      </c>
      <c r="S383" t="s">
        <v>89</v>
      </c>
      <c r="T383" t="s">
        <v>444</v>
      </c>
      <c r="U383">
        <v>4581</v>
      </c>
      <c r="V383">
        <v>469</v>
      </c>
      <c r="W383">
        <v>4</v>
      </c>
      <c r="X383">
        <v>1630.77</v>
      </c>
      <c r="Y383">
        <v>102.36</v>
      </c>
      <c r="Z383">
        <v>1733.13</v>
      </c>
      <c r="AA383" t="s">
        <v>63</v>
      </c>
      <c r="AB383">
        <v>0</v>
      </c>
      <c r="AC383">
        <v>72.81</v>
      </c>
      <c r="AD383">
        <v>125</v>
      </c>
      <c r="AE383">
        <v>90</v>
      </c>
    </row>
    <row r="384" spans="1:31" x14ac:dyDescent="0.25">
      <c r="A384" t="s">
        <v>2023</v>
      </c>
      <c r="B384" t="s">
        <v>2024</v>
      </c>
      <c r="C384" s="1">
        <v>44009</v>
      </c>
      <c r="D384" s="1">
        <v>45406</v>
      </c>
      <c r="E384" t="s">
        <v>33</v>
      </c>
      <c r="F384" t="s">
        <v>34</v>
      </c>
      <c r="G384" t="s">
        <v>115</v>
      </c>
      <c r="H384" t="s">
        <v>68</v>
      </c>
      <c r="I384" t="s">
        <v>2025</v>
      </c>
      <c r="J384" t="s">
        <v>38</v>
      </c>
      <c r="K384" t="s">
        <v>70</v>
      </c>
      <c r="L384" t="s">
        <v>2026</v>
      </c>
      <c r="M384">
        <v>255.68</v>
      </c>
      <c r="N384">
        <v>72</v>
      </c>
      <c r="O384" t="s">
        <v>2027</v>
      </c>
      <c r="P384" t="s">
        <v>86</v>
      </c>
      <c r="Q384" t="s">
        <v>182</v>
      </c>
      <c r="R384" t="s">
        <v>88</v>
      </c>
      <c r="S384" t="s">
        <v>89</v>
      </c>
      <c r="T384" t="s">
        <v>129</v>
      </c>
      <c r="U384">
        <v>1394</v>
      </c>
      <c r="V384">
        <v>417</v>
      </c>
      <c r="W384">
        <v>25</v>
      </c>
      <c r="X384">
        <v>561.62</v>
      </c>
      <c r="Y384">
        <v>12.49</v>
      </c>
      <c r="Z384">
        <v>574.11</v>
      </c>
      <c r="AA384" t="s">
        <v>63</v>
      </c>
      <c r="AB384">
        <v>0</v>
      </c>
      <c r="AC384">
        <v>80.92</v>
      </c>
      <c r="AD384">
        <v>438</v>
      </c>
      <c r="AE384">
        <v>396</v>
      </c>
    </row>
    <row r="385" spans="1:31" x14ac:dyDescent="0.25">
      <c r="A385" t="s">
        <v>2028</v>
      </c>
      <c r="B385" t="s">
        <v>2029</v>
      </c>
      <c r="C385" s="1">
        <v>44534</v>
      </c>
      <c r="D385" s="1">
        <v>43922</v>
      </c>
      <c r="E385" t="s">
        <v>50</v>
      </c>
      <c r="F385" t="s">
        <v>51</v>
      </c>
      <c r="G385" t="s">
        <v>94</v>
      </c>
      <c r="H385" t="s">
        <v>80</v>
      </c>
      <c r="I385" t="s">
        <v>2030</v>
      </c>
      <c r="J385" t="s">
        <v>96</v>
      </c>
      <c r="K385" t="s">
        <v>39</v>
      </c>
      <c r="L385" t="s">
        <v>2031</v>
      </c>
      <c r="M385">
        <v>24.56</v>
      </c>
      <c r="N385">
        <v>30</v>
      </c>
      <c r="O385" t="s">
        <v>804</v>
      </c>
      <c r="P385" t="s">
        <v>110</v>
      </c>
      <c r="Q385" t="s">
        <v>371</v>
      </c>
      <c r="R385" t="s">
        <v>44</v>
      </c>
      <c r="S385" t="s">
        <v>45</v>
      </c>
      <c r="T385" t="s">
        <v>102</v>
      </c>
      <c r="U385">
        <v>3695</v>
      </c>
      <c r="V385">
        <v>257</v>
      </c>
      <c r="W385">
        <v>10</v>
      </c>
      <c r="X385">
        <v>1418.31</v>
      </c>
      <c r="Y385">
        <v>82.6</v>
      </c>
      <c r="Z385">
        <v>1500.91</v>
      </c>
      <c r="AA385" t="s">
        <v>63</v>
      </c>
      <c r="AB385">
        <v>0</v>
      </c>
      <c r="AC385">
        <v>74.2</v>
      </c>
      <c r="AD385">
        <v>326</v>
      </c>
      <c r="AE385">
        <v>304</v>
      </c>
    </row>
    <row r="386" spans="1:31" x14ac:dyDescent="0.25">
      <c r="A386" t="s">
        <v>2032</v>
      </c>
      <c r="B386" t="s">
        <v>2033</v>
      </c>
      <c r="C386" s="1">
        <v>44885</v>
      </c>
      <c r="D386" s="1">
        <v>45263</v>
      </c>
      <c r="E386" t="s">
        <v>66</v>
      </c>
      <c r="F386" t="s">
        <v>147</v>
      </c>
      <c r="G386" t="s">
        <v>79</v>
      </c>
      <c r="H386" t="s">
        <v>116</v>
      </c>
      <c r="I386" t="s">
        <v>2034</v>
      </c>
      <c r="J386" t="s">
        <v>96</v>
      </c>
      <c r="K386" t="s">
        <v>83</v>
      </c>
      <c r="L386" t="s">
        <v>2035</v>
      </c>
      <c r="M386">
        <v>464.3</v>
      </c>
      <c r="N386">
        <v>79</v>
      </c>
      <c r="O386" t="s">
        <v>2036</v>
      </c>
      <c r="P386" t="s">
        <v>42</v>
      </c>
      <c r="Q386" t="s">
        <v>175</v>
      </c>
      <c r="R386" t="s">
        <v>44</v>
      </c>
      <c r="S386" t="s">
        <v>45</v>
      </c>
      <c r="T386" t="s">
        <v>652</v>
      </c>
      <c r="U386">
        <v>136</v>
      </c>
      <c r="V386">
        <v>444</v>
      </c>
      <c r="W386">
        <v>14</v>
      </c>
      <c r="X386">
        <v>826.12</v>
      </c>
      <c r="Y386">
        <v>348.32</v>
      </c>
      <c r="Z386">
        <v>1174.44</v>
      </c>
      <c r="AA386" t="s">
        <v>63</v>
      </c>
      <c r="AB386">
        <v>0</v>
      </c>
      <c r="AC386">
        <v>88.97</v>
      </c>
      <c r="AD386">
        <v>156</v>
      </c>
      <c r="AE386">
        <v>185</v>
      </c>
    </row>
    <row r="387" spans="1:31" x14ac:dyDescent="0.25">
      <c r="A387" t="s">
        <v>2037</v>
      </c>
      <c r="B387" t="s">
        <v>2038</v>
      </c>
      <c r="C387" s="1">
        <v>44828</v>
      </c>
      <c r="D387" s="1">
        <v>45606</v>
      </c>
      <c r="E387" t="s">
        <v>66</v>
      </c>
      <c r="F387" t="s">
        <v>51</v>
      </c>
      <c r="G387" t="s">
        <v>115</v>
      </c>
      <c r="H387" t="s">
        <v>80</v>
      </c>
      <c r="I387" t="s">
        <v>2039</v>
      </c>
      <c r="J387" t="s">
        <v>38</v>
      </c>
      <c r="K387" t="s">
        <v>39</v>
      </c>
      <c r="L387" t="s">
        <v>2040</v>
      </c>
      <c r="M387">
        <v>316.83</v>
      </c>
      <c r="N387">
        <v>7</v>
      </c>
      <c r="O387" t="s">
        <v>2041</v>
      </c>
      <c r="P387" t="s">
        <v>110</v>
      </c>
      <c r="Q387" t="s">
        <v>926</v>
      </c>
      <c r="R387" t="s">
        <v>44</v>
      </c>
      <c r="S387" t="s">
        <v>45</v>
      </c>
      <c r="T387" t="s">
        <v>530</v>
      </c>
      <c r="U387">
        <v>1869</v>
      </c>
      <c r="V387">
        <v>62</v>
      </c>
      <c r="W387">
        <v>3</v>
      </c>
      <c r="X387">
        <v>1286.95</v>
      </c>
      <c r="Y387">
        <v>335.69</v>
      </c>
      <c r="Z387">
        <v>1622.64</v>
      </c>
      <c r="AA387" t="s">
        <v>63</v>
      </c>
      <c r="AB387">
        <v>0</v>
      </c>
      <c r="AC387">
        <v>70.34</v>
      </c>
      <c r="AD387">
        <v>378</v>
      </c>
      <c r="AE387">
        <v>363</v>
      </c>
    </row>
    <row r="388" spans="1:31" x14ac:dyDescent="0.25">
      <c r="A388" t="s">
        <v>2042</v>
      </c>
      <c r="B388" t="s">
        <v>2043</v>
      </c>
      <c r="C388" s="1">
        <v>45174</v>
      </c>
      <c r="D388" s="1">
        <v>45664</v>
      </c>
      <c r="E388" t="s">
        <v>50</v>
      </c>
      <c r="F388" t="s">
        <v>78</v>
      </c>
      <c r="G388" t="s">
        <v>35</v>
      </c>
      <c r="H388" t="s">
        <v>164</v>
      </c>
      <c r="I388" t="s">
        <v>2044</v>
      </c>
      <c r="J388" t="s">
        <v>107</v>
      </c>
      <c r="K388" t="s">
        <v>70</v>
      </c>
      <c r="L388" t="s">
        <v>2045</v>
      </c>
      <c r="M388">
        <v>93.91</v>
      </c>
      <c r="N388">
        <v>37</v>
      </c>
      <c r="O388" t="s">
        <v>2046</v>
      </c>
      <c r="P388" t="s">
        <v>110</v>
      </c>
      <c r="Q388" t="s">
        <v>609</v>
      </c>
      <c r="R388" t="s">
        <v>44</v>
      </c>
      <c r="S388" t="s">
        <v>89</v>
      </c>
      <c r="T388" t="s">
        <v>129</v>
      </c>
      <c r="U388">
        <v>2136</v>
      </c>
      <c r="V388">
        <v>74</v>
      </c>
      <c r="W388">
        <v>7</v>
      </c>
      <c r="X388">
        <v>1151.6600000000001</v>
      </c>
      <c r="Y388">
        <v>467.98</v>
      </c>
      <c r="Z388">
        <v>1619.64</v>
      </c>
      <c r="AA388" t="s">
        <v>63</v>
      </c>
      <c r="AB388">
        <v>0</v>
      </c>
      <c r="AC388">
        <v>82.39</v>
      </c>
      <c r="AD388">
        <v>233</v>
      </c>
      <c r="AE388">
        <v>266</v>
      </c>
    </row>
    <row r="389" spans="1:31" x14ac:dyDescent="0.25">
      <c r="A389" t="s">
        <v>2047</v>
      </c>
      <c r="B389" t="s">
        <v>2048</v>
      </c>
      <c r="C389" s="1">
        <v>45170</v>
      </c>
      <c r="D389" s="1">
        <v>45037</v>
      </c>
      <c r="E389" t="s">
        <v>66</v>
      </c>
      <c r="F389" t="s">
        <v>51</v>
      </c>
      <c r="G389" t="s">
        <v>337</v>
      </c>
      <c r="H389" t="s">
        <v>164</v>
      </c>
      <c r="I389" t="s">
        <v>2049</v>
      </c>
      <c r="J389" t="s">
        <v>96</v>
      </c>
      <c r="K389" t="s">
        <v>83</v>
      </c>
      <c r="L389" t="s">
        <v>2050</v>
      </c>
      <c r="M389">
        <v>262.88</v>
      </c>
      <c r="N389">
        <v>80</v>
      </c>
      <c r="O389" t="s">
        <v>2051</v>
      </c>
      <c r="P389" t="s">
        <v>42</v>
      </c>
      <c r="Q389" t="s">
        <v>926</v>
      </c>
      <c r="R389" t="s">
        <v>153</v>
      </c>
      <c r="S389" t="s">
        <v>45</v>
      </c>
      <c r="T389" t="s">
        <v>1023</v>
      </c>
      <c r="U389">
        <v>697</v>
      </c>
      <c r="V389">
        <v>134</v>
      </c>
      <c r="W389">
        <v>22</v>
      </c>
      <c r="X389">
        <v>1368.62</v>
      </c>
      <c r="Y389">
        <v>77.27</v>
      </c>
      <c r="Z389">
        <v>1445.89</v>
      </c>
      <c r="AA389" t="s">
        <v>63</v>
      </c>
      <c r="AB389">
        <v>0</v>
      </c>
      <c r="AC389">
        <v>88.81</v>
      </c>
      <c r="AD389">
        <v>247</v>
      </c>
      <c r="AE389">
        <v>247</v>
      </c>
    </row>
    <row r="390" spans="1:31" x14ac:dyDescent="0.25">
      <c r="A390" t="s">
        <v>2052</v>
      </c>
      <c r="B390" t="s">
        <v>2053</v>
      </c>
      <c r="C390" s="1">
        <v>45435</v>
      </c>
      <c r="D390" s="1">
        <v>43871</v>
      </c>
      <c r="E390" t="s">
        <v>33</v>
      </c>
      <c r="F390" t="s">
        <v>34</v>
      </c>
      <c r="G390" t="s">
        <v>35</v>
      </c>
      <c r="H390" t="s">
        <v>53</v>
      </c>
      <c r="I390" t="s">
        <v>2054</v>
      </c>
      <c r="J390" t="s">
        <v>107</v>
      </c>
      <c r="K390" t="s">
        <v>39</v>
      </c>
      <c r="L390" t="s">
        <v>2055</v>
      </c>
      <c r="M390">
        <v>312.11</v>
      </c>
      <c r="N390">
        <v>34</v>
      </c>
      <c r="O390" t="s">
        <v>574</v>
      </c>
      <c r="P390" t="s">
        <v>86</v>
      </c>
      <c r="Q390" t="s">
        <v>364</v>
      </c>
      <c r="R390" t="s">
        <v>61</v>
      </c>
      <c r="S390" t="s">
        <v>101</v>
      </c>
      <c r="T390" t="s">
        <v>939</v>
      </c>
      <c r="U390">
        <v>3990</v>
      </c>
      <c r="V390">
        <v>473</v>
      </c>
      <c r="W390">
        <v>11</v>
      </c>
      <c r="X390">
        <v>1875.33</v>
      </c>
      <c r="Y390">
        <v>401.93</v>
      </c>
      <c r="Z390">
        <v>2277.2600000000002</v>
      </c>
      <c r="AA390" t="s">
        <v>63</v>
      </c>
      <c r="AB390">
        <v>0</v>
      </c>
      <c r="AC390">
        <v>96.24</v>
      </c>
      <c r="AD390">
        <v>402</v>
      </c>
      <c r="AE390">
        <v>418</v>
      </c>
    </row>
    <row r="391" spans="1:31" x14ac:dyDescent="0.25">
      <c r="A391" t="s">
        <v>2056</v>
      </c>
      <c r="B391" t="s">
        <v>2057</v>
      </c>
      <c r="C391" s="1">
        <v>43936</v>
      </c>
      <c r="D391" s="1">
        <v>44336</v>
      </c>
      <c r="E391" t="s">
        <v>66</v>
      </c>
      <c r="F391" t="s">
        <v>51</v>
      </c>
      <c r="G391" t="s">
        <v>79</v>
      </c>
      <c r="H391" t="s">
        <v>53</v>
      </c>
      <c r="I391" t="s">
        <v>2058</v>
      </c>
      <c r="J391" t="s">
        <v>38</v>
      </c>
      <c r="K391" t="s">
        <v>97</v>
      </c>
      <c r="L391" t="s">
        <v>2059</v>
      </c>
      <c r="M391">
        <v>391.95</v>
      </c>
      <c r="N391">
        <v>46</v>
      </c>
      <c r="O391" t="s">
        <v>2060</v>
      </c>
      <c r="P391" t="s">
        <v>42</v>
      </c>
      <c r="Q391" t="s">
        <v>261</v>
      </c>
      <c r="R391" t="s">
        <v>61</v>
      </c>
      <c r="S391" t="s">
        <v>45</v>
      </c>
      <c r="T391" t="s">
        <v>1023</v>
      </c>
      <c r="U391">
        <v>1302</v>
      </c>
      <c r="V391">
        <v>164</v>
      </c>
      <c r="W391">
        <v>17</v>
      </c>
      <c r="X391">
        <v>106.4</v>
      </c>
      <c r="Y391">
        <v>455.07</v>
      </c>
      <c r="Z391">
        <v>561.47</v>
      </c>
      <c r="AA391" t="s">
        <v>47</v>
      </c>
      <c r="AB391">
        <v>10</v>
      </c>
      <c r="AC391">
        <v>90</v>
      </c>
      <c r="AD391">
        <v>485</v>
      </c>
      <c r="AE391">
        <v>526</v>
      </c>
    </row>
    <row r="392" spans="1:31" x14ac:dyDescent="0.25">
      <c r="A392" t="s">
        <v>2061</v>
      </c>
      <c r="B392" t="s">
        <v>2062</v>
      </c>
      <c r="C392" s="1">
        <v>45215</v>
      </c>
      <c r="D392" s="1">
        <v>43965</v>
      </c>
      <c r="E392" t="s">
        <v>66</v>
      </c>
      <c r="F392" t="s">
        <v>147</v>
      </c>
      <c r="G392" t="s">
        <v>52</v>
      </c>
      <c r="H392" t="s">
        <v>80</v>
      </c>
      <c r="I392" t="s">
        <v>2063</v>
      </c>
      <c r="J392" t="s">
        <v>107</v>
      </c>
      <c r="K392" t="s">
        <v>56</v>
      </c>
      <c r="L392" t="s">
        <v>2064</v>
      </c>
      <c r="M392">
        <v>11.44</v>
      </c>
      <c r="N392">
        <v>74</v>
      </c>
      <c r="O392" t="s">
        <v>2065</v>
      </c>
      <c r="P392" t="s">
        <v>59</v>
      </c>
      <c r="Q392" t="s">
        <v>684</v>
      </c>
      <c r="R392" t="s">
        <v>88</v>
      </c>
      <c r="S392" t="s">
        <v>45</v>
      </c>
      <c r="T392" t="s">
        <v>203</v>
      </c>
      <c r="U392">
        <v>594</v>
      </c>
      <c r="V392">
        <v>232</v>
      </c>
      <c r="W392">
        <v>21</v>
      </c>
      <c r="X392">
        <v>1529.63</v>
      </c>
      <c r="Y392">
        <v>431.87</v>
      </c>
      <c r="Z392">
        <v>1961.5</v>
      </c>
      <c r="AA392" t="s">
        <v>63</v>
      </c>
      <c r="AB392">
        <v>0</v>
      </c>
      <c r="AC392">
        <v>86.38</v>
      </c>
      <c r="AD392">
        <v>117</v>
      </c>
      <c r="AE392">
        <v>139</v>
      </c>
    </row>
    <row r="393" spans="1:31" x14ac:dyDescent="0.25">
      <c r="A393" t="s">
        <v>2066</v>
      </c>
      <c r="B393" t="s">
        <v>2067</v>
      </c>
      <c r="C393" s="1">
        <v>45401</v>
      </c>
      <c r="D393" s="1">
        <v>45519</v>
      </c>
      <c r="E393" t="s">
        <v>50</v>
      </c>
      <c r="F393" t="s">
        <v>51</v>
      </c>
      <c r="G393" t="s">
        <v>79</v>
      </c>
      <c r="H393" t="s">
        <v>164</v>
      </c>
      <c r="I393" t="s">
        <v>2068</v>
      </c>
      <c r="J393" t="s">
        <v>96</v>
      </c>
      <c r="K393" t="s">
        <v>97</v>
      </c>
      <c r="L393" t="s">
        <v>2069</v>
      </c>
      <c r="M393">
        <v>167.06</v>
      </c>
      <c r="N393">
        <v>89</v>
      </c>
      <c r="O393" t="s">
        <v>2070</v>
      </c>
      <c r="P393" t="s">
        <v>42</v>
      </c>
      <c r="Q393" t="s">
        <v>421</v>
      </c>
      <c r="R393" t="s">
        <v>153</v>
      </c>
      <c r="S393" t="s">
        <v>101</v>
      </c>
      <c r="T393" t="s">
        <v>255</v>
      </c>
      <c r="U393">
        <v>4407</v>
      </c>
      <c r="V393">
        <v>191</v>
      </c>
      <c r="W393">
        <v>10</v>
      </c>
      <c r="X393">
        <v>1568.28</v>
      </c>
      <c r="Y393">
        <v>432.12</v>
      </c>
      <c r="Z393">
        <v>2000.4</v>
      </c>
      <c r="AA393" t="s">
        <v>63</v>
      </c>
      <c r="AB393">
        <v>0</v>
      </c>
      <c r="AC393">
        <v>93.03</v>
      </c>
      <c r="AD393">
        <v>452</v>
      </c>
      <c r="AE393">
        <v>411</v>
      </c>
    </row>
    <row r="394" spans="1:31" x14ac:dyDescent="0.25">
      <c r="A394" t="s">
        <v>2071</v>
      </c>
      <c r="B394" t="s">
        <v>2072</v>
      </c>
      <c r="C394" s="1">
        <v>45288</v>
      </c>
      <c r="D394" s="1">
        <v>45159</v>
      </c>
      <c r="E394" t="s">
        <v>66</v>
      </c>
      <c r="F394" t="s">
        <v>147</v>
      </c>
      <c r="G394" t="s">
        <v>337</v>
      </c>
      <c r="H394" t="s">
        <v>80</v>
      </c>
      <c r="I394" t="s">
        <v>2073</v>
      </c>
      <c r="J394" t="s">
        <v>38</v>
      </c>
      <c r="K394" t="s">
        <v>39</v>
      </c>
      <c r="L394" t="s">
        <v>2074</v>
      </c>
      <c r="M394">
        <v>392.17</v>
      </c>
      <c r="N394">
        <v>51</v>
      </c>
      <c r="O394" t="s">
        <v>2075</v>
      </c>
      <c r="P394" t="s">
        <v>110</v>
      </c>
      <c r="Q394" t="s">
        <v>214</v>
      </c>
      <c r="R394" t="s">
        <v>153</v>
      </c>
      <c r="S394" t="s">
        <v>101</v>
      </c>
      <c r="T394" t="s">
        <v>642</v>
      </c>
      <c r="U394">
        <v>65</v>
      </c>
      <c r="V394">
        <v>373</v>
      </c>
      <c r="W394">
        <v>1</v>
      </c>
      <c r="X394">
        <v>1164.58</v>
      </c>
      <c r="Y394">
        <v>319.69</v>
      </c>
      <c r="Z394">
        <v>1484.27</v>
      </c>
      <c r="AA394" t="s">
        <v>63</v>
      </c>
      <c r="AB394">
        <v>0</v>
      </c>
      <c r="AC394">
        <v>91.91</v>
      </c>
      <c r="AD394">
        <v>263</v>
      </c>
      <c r="AE394">
        <v>222</v>
      </c>
    </row>
    <row r="395" spans="1:31" x14ac:dyDescent="0.25">
      <c r="A395" t="s">
        <v>2076</v>
      </c>
      <c r="B395" t="s">
        <v>2077</v>
      </c>
      <c r="C395" s="1">
        <v>43877</v>
      </c>
      <c r="D395" s="1">
        <v>44065</v>
      </c>
      <c r="E395" t="s">
        <v>66</v>
      </c>
      <c r="F395" t="s">
        <v>147</v>
      </c>
      <c r="G395" t="s">
        <v>79</v>
      </c>
      <c r="H395" t="s">
        <v>68</v>
      </c>
      <c r="I395" t="s">
        <v>2078</v>
      </c>
      <c r="J395" t="s">
        <v>38</v>
      </c>
      <c r="K395" t="s">
        <v>39</v>
      </c>
      <c r="L395" t="s">
        <v>2079</v>
      </c>
      <c r="M395">
        <v>344.2</v>
      </c>
      <c r="N395">
        <v>43</v>
      </c>
      <c r="O395" t="s">
        <v>2080</v>
      </c>
      <c r="P395" t="s">
        <v>42</v>
      </c>
      <c r="Q395" t="s">
        <v>322</v>
      </c>
      <c r="R395" t="s">
        <v>153</v>
      </c>
      <c r="S395" t="s">
        <v>74</v>
      </c>
      <c r="T395" t="s">
        <v>129</v>
      </c>
      <c r="U395">
        <v>3883</v>
      </c>
      <c r="V395">
        <v>68</v>
      </c>
      <c r="W395">
        <v>17</v>
      </c>
      <c r="X395">
        <v>1465.92</v>
      </c>
      <c r="Y395">
        <v>34.4</v>
      </c>
      <c r="Z395">
        <v>1500.32</v>
      </c>
      <c r="AA395" t="s">
        <v>63</v>
      </c>
      <c r="AB395">
        <v>0</v>
      </c>
      <c r="AC395">
        <v>76.569999999999993</v>
      </c>
      <c r="AD395">
        <v>486</v>
      </c>
      <c r="AE395">
        <v>492</v>
      </c>
    </row>
    <row r="396" spans="1:31" x14ac:dyDescent="0.25">
      <c r="A396" t="s">
        <v>2081</v>
      </c>
      <c r="B396" t="s">
        <v>2082</v>
      </c>
      <c r="C396" s="1">
        <v>44354</v>
      </c>
      <c r="D396" s="1">
        <v>44393</v>
      </c>
      <c r="E396" t="s">
        <v>66</v>
      </c>
      <c r="F396" t="s">
        <v>34</v>
      </c>
      <c r="G396" t="s">
        <v>105</v>
      </c>
      <c r="H396" t="s">
        <v>53</v>
      </c>
      <c r="I396" t="s">
        <v>2083</v>
      </c>
      <c r="J396" t="s">
        <v>55</v>
      </c>
      <c r="K396" t="s">
        <v>56</v>
      </c>
      <c r="L396" t="s">
        <v>2084</v>
      </c>
      <c r="M396">
        <v>207.24</v>
      </c>
      <c r="N396">
        <v>97</v>
      </c>
      <c r="O396" t="s">
        <v>2085</v>
      </c>
      <c r="P396" t="s">
        <v>86</v>
      </c>
      <c r="Q396" t="s">
        <v>541</v>
      </c>
      <c r="R396" t="s">
        <v>44</v>
      </c>
      <c r="S396" t="s">
        <v>45</v>
      </c>
      <c r="T396" t="s">
        <v>372</v>
      </c>
      <c r="U396">
        <v>2375</v>
      </c>
      <c r="V396">
        <v>420</v>
      </c>
      <c r="W396">
        <v>19</v>
      </c>
      <c r="X396">
        <v>1241.01</v>
      </c>
      <c r="Y396">
        <v>277.16000000000003</v>
      </c>
      <c r="Z396">
        <v>1518.17</v>
      </c>
      <c r="AA396" t="s">
        <v>63</v>
      </c>
      <c r="AB396">
        <v>0</v>
      </c>
      <c r="AC396">
        <v>98.5</v>
      </c>
      <c r="AD396">
        <v>133</v>
      </c>
      <c r="AE396">
        <v>116</v>
      </c>
    </row>
    <row r="397" spans="1:31" x14ac:dyDescent="0.25">
      <c r="A397" t="s">
        <v>2086</v>
      </c>
      <c r="B397" t="s">
        <v>2087</v>
      </c>
      <c r="C397" s="1">
        <v>45039</v>
      </c>
      <c r="D397" s="1">
        <v>44845</v>
      </c>
      <c r="E397" t="s">
        <v>66</v>
      </c>
      <c r="F397" t="s">
        <v>34</v>
      </c>
      <c r="G397" t="s">
        <v>337</v>
      </c>
      <c r="H397" t="s">
        <v>164</v>
      </c>
      <c r="I397" t="s">
        <v>2088</v>
      </c>
      <c r="J397" t="s">
        <v>38</v>
      </c>
      <c r="K397" t="s">
        <v>56</v>
      </c>
      <c r="L397" t="s">
        <v>2089</v>
      </c>
      <c r="M397">
        <v>303.32</v>
      </c>
      <c r="N397">
        <v>35</v>
      </c>
      <c r="O397" t="s">
        <v>2090</v>
      </c>
      <c r="P397" t="s">
        <v>42</v>
      </c>
      <c r="Q397" t="s">
        <v>234</v>
      </c>
      <c r="R397" t="s">
        <v>153</v>
      </c>
      <c r="S397" t="s">
        <v>128</v>
      </c>
      <c r="T397" t="s">
        <v>444</v>
      </c>
      <c r="U397">
        <v>3671</v>
      </c>
      <c r="V397">
        <v>490</v>
      </c>
      <c r="W397">
        <v>2</v>
      </c>
      <c r="X397">
        <v>832.16</v>
      </c>
      <c r="Y397">
        <v>417.15</v>
      </c>
      <c r="Z397">
        <v>1249.31</v>
      </c>
      <c r="AA397" t="s">
        <v>63</v>
      </c>
      <c r="AB397">
        <v>0</v>
      </c>
      <c r="AC397">
        <v>82.32</v>
      </c>
      <c r="AD397">
        <v>441</v>
      </c>
      <c r="AE397">
        <v>426</v>
      </c>
    </row>
    <row r="398" spans="1:31" x14ac:dyDescent="0.25">
      <c r="A398" t="s">
        <v>2091</v>
      </c>
      <c r="B398" t="s">
        <v>2092</v>
      </c>
      <c r="C398" s="1">
        <v>44569</v>
      </c>
      <c r="D398" s="1">
        <v>44823</v>
      </c>
      <c r="E398" t="s">
        <v>66</v>
      </c>
      <c r="F398" t="s">
        <v>78</v>
      </c>
      <c r="G398" t="s">
        <v>337</v>
      </c>
      <c r="H398" t="s">
        <v>218</v>
      </c>
      <c r="I398" t="s">
        <v>2093</v>
      </c>
      <c r="J398" t="s">
        <v>82</v>
      </c>
      <c r="K398" t="s">
        <v>39</v>
      </c>
      <c r="L398" t="s">
        <v>2094</v>
      </c>
      <c r="M398">
        <v>427.3</v>
      </c>
      <c r="N398">
        <v>3</v>
      </c>
      <c r="O398" t="s">
        <v>1850</v>
      </c>
      <c r="P398" t="s">
        <v>142</v>
      </c>
      <c r="Q398" t="s">
        <v>529</v>
      </c>
      <c r="R398" t="s">
        <v>153</v>
      </c>
      <c r="S398" t="s">
        <v>101</v>
      </c>
      <c r="T398" t="s">
        <v>467</v>
      </c>
      <c r="U398">
        <v>1933</v>
      </c>
      <c r="V398">
        <v>176</v>
      </c>
      <c r="W398">
        <v>3</v>
      </c>
      <c r="X398">
        <v>1504.9</v>
      </c>
      <c r="Y398">
        <v>198.57</v>
      </c>
      <c r="Z398">
        <v>1703.47</v>
      </c>
      <c r="AA398" t="s">
        <v>63</v>
      </c>
      <c r="AB398">
        <v>0</v>
      </c>
      <c r="AC398">
        <v>82.99</v>
      </c>
      <c r="AD398">
        <v>473</v>
      </c>
      <c r="AE398">
        <v>497</v>
      </c>
    </row>
    <row r="399" spans="1:31" x14ac:dyDescent="0.25">
      <c r="A399" t="s">
        <v>2095</v>
      </c>
      <c r="B399" t="s">
        <v>2096</v>
      </c>
      <c r="C399" s="1">
        <v>44588</v>
      </c>
      <c r="D399" s="1">
        <v>44221</v>
      </c>
      <c r="E399" t="s">
        <v>66</v>
      </c>
      <c r="F399" t="s">
        <v>34</v>
      </c>
      <c r="G399" t="s">
        <v>52</v>
      </c>
      <c r="H399" t="s">
        <v>218</v>
      </c>
      <c r="I399" t="s">
        <v>2097</v>
      </c>
      <c r="J399" t="s">
        <v>38</v>
      </c>
      <c r="K399" t="s">
        <v>39</v>
      </c>
      <c r="L399" t="s">
        <v>2098</v>
      </c>
      <c r="M399">
        <v>94.06</v>
      </c>
      <c r="N399">
        <v>37</v>
      </c>
      <c r="O399" t="s">
        <v>2099</v>
      </c>
      <c r="P399" t="s">
        <v>42</v>
      </c>
      <c r="Q399" t="s">
        <v>127</v>
      </c>
      <c r="R399" t="s">
        <v>153</v>
      </c>
      <c r="S399" t="s">
        <v>128</v>
      </c>
      <c r="T399" t="s">
        <v>353</v>
      </c>
      <c r="U399">
        <v>1647</v>
      </c>
      <c r="V399">
        <v>91</v>
      </c>
      <c r="W399">
        <v>2</v>
      </c>
      <c r="X399">
        <v>618.78</v>
      </c>
      <c r="Y399">
        <v>295.8</v>
      </c>
      <c r="Z399">
        <v>914.57999999999993</v>
      </c>
      <c r="AA399" t="s">
        <v>63</v>
      </c>
      <c r="AB399">
        <v>0</v>
      </c>
      <c r="AC399">
        <v>74.91</v>
      </c>
      <c r="AD399">
        <v>68</v>
      </c>
      <c r="AE399">
        <v>73</v>
      </c>
    </row>
    <row r="400" spans="1:31" x14ac:dyDescent="0.25">
      <c r="A400" t="s">
        <v>2100</v>
      </c>
      <c r="B400" t="s">
        <v>2101</v>
      </c>
      <c r="C400" s="1">
        <v>45571</v>
      </c>
      <c r="D400" s="1">
        <v>44993</v>
      </c>
      <c r="E400" t="s">
        <v>50</v>
      </c>
      <c r="F400" t="s">
        <v>78</v>
      </c>
      <c r="G400" t="s">
        <v>115</v>
      </c>
      <c r="H400" t="s">
        <v>218</v>
      </c>
      <c r="I400" t="s">
        <v>2102</v>
      </c>
      <c r="J400" t="s">
        <v>82</v>
      </c>
      <c r="K400" t="s">
        <v>56</v>
      </c>
      <c r="L400" t="s">
        <v>2103</v>
      </c>
      <c r="M400">
        <v>119.52</v>
      </c>
      <c r="N400">
        <v>41</v>
      </c>
      <c r="O400" t="s">
        <v>987</v>
      </c>
      <c r="P400" t="s">
        <v>86</v>
      </c>
      <c r="Q400" t="s">
        <v>514</v>
      </c>
      <c r="R400" t="s">
        <v>88</v>
      </c>
      <c r="S400" t="s">
        <v>101</v>
      </c>
      <c r="T400" t="s">
        <v>467</v>
      </c>
      <c r="U400">
        <v>1966</v>
      </c>
      <c r="V400">
        <v>409</v>
      </c>
      <c r="W400">
        <v>19</v>
      </c>
      <c r="X400">
        <v>1409.39</v>
      </c>
      <c r="Y400">
        <v>23.83</v>
      </c>
      <c r="Z400">
        <v>1433.22</v>
      </c>
      <c r="AA400" t="s">
        <v>63</v>
      </c>
      <c r="AB400">
        <v>0</v>
      </c>
      <c r="AC400">
        <v>79.400000000000006</v>
      </c>
      <c r="AD400">
        <v>480</v>
      </c>
      <c r="AE400">
        <v>465</v>
      </c>
    </row>
    <row r="401" spans="1:31" x14ac:dyDescent="0.25">
      <c r="A401" t="s">
        <v>2104</v>
      </c>
      <c r="B401" t="s">
        <v>2105</v>
      </c>
      <c r="C401" s="1">
        <v>44636</v>
      </c>
      <c r="D401" s="1">
        <v>43911</v>
      </c>
      <c r="E401" t="s">
        <v>66</v>
      </c>
      <c r="F401" t="s">
        <v>51</v>
      </c>
      <c r="G401" t="s">
        <v>35</v>
      </c>
      <c r="H401" t="s">
        <v>53</v>
      </c>
      <c r="I401" t="s">
        <v>2106</v>
      </c>
      <c r="J401" t="s">
        <v>107</v>
      </c>
      <c r="K401" t="s">
        <v>39</v>
      </c>
      <c r="L401" t="s">
        <v>2107</v>
      </c>
      <c r="M401">
        <v>280</v>
      </c>
      <c r="N401">
        <v>44</v>
      </c>
      <c r="O401" t="s">
        <v>1017</v>
      </c>
      <c r="P401" t="s">
        <v>59</v>
      </c>
      <c r="Q401" t="s">
        <v>404</v>
      </c>
      <c r="R401" t="s">
        <v>61</v>
      </c>
      <c r="S401" t="s">
        <v>89</v>
      </c>
      <c r="T401" t="s">
        <v>309</v>
      </c>
      <c r="U401">
        <v>1314</v>
      </c>
      <c r="V401">
        <v>327</v>
      </c>
      <c r="W401">
        <v>17</v>
      </c>
      <c r="X401">
        <v>1260.53</v>
      </c>
      <c r="Y401">
        <v>42.88</v>
      </c>
      <c r="Z401">
        <v>1303.4100000000001</v>
      </c>
      <c r="AA401" t="s">
        <v>47</v>
      </c>
      <c r="AB401">
        <v>7</v>
      </c>
      <c r="AC401">
        <v>78.36</v>
      </c>
      <c r="AD401">
        <v>480</v>
      </c>
      <c r="AE401">
        <v>489</v>
      </c>
    </row>
    <row r="402" spans="1:31" x14ac:dyDescent="0.25">
      <c r="A402" t="s">
        <v>2108</v>
      </c>
      <c r="B402" t="s">
        <v>2109</v>
      </c>
      <c r="C402" s="1">
        <v>44474</v>
      </c>
      <c r="D402" s="1">
        <v>44877</v>
      </c>
      <c r="E402" t="s">
        <v>66</v>
      </c>
      <c r="F402" t="s">
        <v>93</v>
      </c>
      <c r="G402" t="s">
        <v>52</v>
      </c>
      <c r="H402" t="s">
        <v>164</v>
      </c>
      <c r="I402" t="s">
        <v>2110</v>
      </c>
      <c r="J402" t="s">
        <v>55</v>
      </c>
      <c r="K402" t="s">
        <v>97</v>
      </c>
      <c r="L402" t="s">
        <v>2111</v>
      </c>
      <c r="M402">
        <v>344.96</v>
      </c>
      <c r="N402">
        <v>10</v>
      </c>
      <c r="O402" t="s">
        <v>2112</v>
      </c>
      <c r="P402" t="s">
        <v>110</v>
      </c>
      <c r="Q402" t="s">
        <v>455</v>
      </c>
      <c r="R402" t="s">
        <v>88</v>
      </c>
      <c r="S402" t="s">
        <v>45</v>
      </c>
      <c r="T402" t="s">
        <v>636</v>
      </c>
      <c r="U402">
        <v>4508</v>
      </c>
      <c r="V402">
        <v>190</v>
      </c>
      <c r="W402">
        <v>28</v>
      </c>
      <c r="X402">
        <v>798</v>
      </c>
      <c r="Y402">
        <v>423.51</v>
      </c>
      <c r="Z402">
        <v>1221.51</v>
      </c>
      <c r="AA402" t="s">
        <v>63</v>
      </c>
      <c r="AB402">
        <v>0</v>
      </c>
      <c r="AC402">
        <v>99.96</v>
      </c>
      <c r="AD402">
        <v>180</v>
      </c>
      <c r="AE402">
        <v>192</v>
      </c>
    </row>
    <row r="403" spans="1:31" x14ac:dyDescent="0.25">
      <c r="A403" t="s">
        <v>2113</v>
      </c>
      <c r="B403" t="s">
        <v>2114</v>
      </c>
      <c r="C403" s="1">
        <v>44596</v>
      </c>
      <c r="D403" s="1">
        <v>44599</v>
      </c>
      <c r="E403" t="s">
        <v>50</v>
      </c>
      <c r="F403" t="s">
        <v>34</v>
      </c>
      <c r="G403" t="s">
        <v>115</v>
      </c>
      <c r="H403" t="s">
        <v>218</v>
      </c>
      <c r="I403" t="s">
        <v>2115</v>
      </c>
      <c r="J403" t="s">
        <v>107</v>
      </c>
      <c r="K403" t="s">
        <v>39</v>
      </c>
      <c r="L403" t="s">
        <v>2116</v>
      </c>
      <c r="M403">
        <v>499.5</v>
      </c>
      <c r="N403">
        <v>48</v>
      </c>
      <c r="O403" t="s">
        <v>1752</v>
      </c>
      <c r="P403" t="s">
        <v>86</v>
      </c>
      <c r="Q403" t="s">
        <v>700</v>
      </c>
      <c r="R403" t="s">
        <v>153</v>
      </c>
      <c r="S403" t="s">
        <v>128</v>
      </c>
      <c r="T403" t="s">
        <v>467</v>
      </c>
      <c r="U403">
        <v>4381</v>
      </c>
      <c r="V403">
        <v>440</v>
      </c>
      <c r="W403">
        <v>17</v>
      </c>
      <c r="X403">
        <v>1197.43</v>
      </c>
      <c r="Y403">
        <v>454.86</v>
      </c>
      <c r="Z403">
        <v>1652.29</v>
      </c>
      <c r="AA403" t="s">
        <v>63</v>
      </c>
      <c r="AB403">
        <v>0</v>
      </c>
      <c r="AC403">
        <v>81.88</v>
      </c>
      <c r="AD403">
        <v>268</v>
      </c>
      <c r="AE403">
        <v>252</v>
      </c>
    </row>
    <row r="404" spans="1:31" x14ac:dyDescent="0.25">
      <c r="A404" t="s">
        <v>2117</v>
      </c>
      <c r="B404" t="s">
        <v>2118</v>
      </c>
      <c r="C404" s="1">
        <v>44212</v>
      </c>
      <c r="D404" s="1">
        <v>44791</v>
      </c>
      <c r="E404" t="s">
        <v>66</v>
      </c>
      <c r="F404" t="s">
        <v>51</v>
      </c>
      <c r="G404" t="s">
        <v>115</v>
      </c>
      <c r="H404" t="s">
        <v>148</v>
      </c>
      <c r="I404" t="s">
        <v>2119</v>
      </c>
      <c r="J404" t="s">
        <v>107</v>
      </c>
      <c r="K404" t="s">
        <v>83</v>
      </c>
      <c r="L404" t="s">
        <v>2120</v>
      </c>
      <c r="M404">
        <v>273.02999999999997</v>
      </c>
      <c r="N404">
        <v>71</v>
      </c>
      <c r="O404" t="s">
        <v>2121</v>
      </c>
      <c r="P404" t="s">
        <v>59</v>
      </c>
      <c r="Q404" t="s">
        <v>322</v>
      </c>
      <c r="R404" t="s">
        <v>44</v>
      </c>
      <c r="S404" t="s">
        <v>74</v>
      </c>
      <c r="T404" t="s">
        <v>1339</v>
      </c>
      <c r="U404">
        <v>2445</v>
      </c>
      <c r="V404">
        <v>478</v>
      </c>
      <c r="W404">
        <v>6</v>
      </c>
      <c r="X404">
        <v>1152.27</v>
      </c>
      <c r="Y404">
        <v>67.63</v>
      </c>
      <c r="Z404">
        <v>1219.9000000000001</v>
      </c>
      <c r="AA404" t="s">
        <v>63</v>
      </c>
      <c r="AB404">
        <v>0</v>
      </c>
      <c r="AC404">
        <v>92.26</v>
      </c>
      <c r="AD404">
        <v>459</v>
      </c>
      <c r="AE404">
        <v>492</v>
      </c>
    </row>
    <row r="405" spans="1:31" x14ac:dyDescent="0.25">
      <c r="A405" t="s">
        <v>2122</v>
      </c>
      <c r="B405" t="s">
        <v>2123</v>
      </c>
      <c r="C405" s="1">
        <v>44267</v>
      </c>
      <c r="D405" s="1">
        <v>45447</v>
      </c>
      <c r="E405" t="s">
        <v>50</v>
      </c>
      <c r="F405" t="s">
        <v>51</v>
      </c>
      <c r="G405" t="s">
        <v>105</v>
      </c>
      <c r="H405" t="s">
        <v>36</v>
      </c>
      <c r="I405" t="s">
        <v>2124</v>
      </c>
      <c r="J405" t="s">
        <v>55</v>
      </c>
      <c r="K405" t="s">
        <v>70</v>
      </c>
      <c r="L405" t="s">
        <v>2125</v>
      </c>
      <c r="M405">
        <v>353.47</v>
      </c>
      <c r="N405">
        <v>2</v>
      </c>
      <c r="O405" t="s">
        <v>2126</v>
      </c>
      <c r="P405" t="s">
        <v>86</v>
      </c>
      <c r="Q405" t="s">
        <v>558</v>
      </c>
      <c r="R405" t="s">
        <v>88</v>
      </c>
      <c r="S405" t="s">
        <v>45</v>
      </c>
      <c r="T405" t="s">
        <v>242</v>
      </c>
      <c r="U405">
        <v>3525</v>
      </c>
      <c r="V405">
        <v>365</v>
      </c>
      <c r="W405">
        <v>5</v>
      </c>
      <c r="X405">
        <v>1878.21</v>
      </c>
      <c r="Y405">
        <v>454.12</v>
      </c>
      <c r="Z405">
        <v>2332.33</v>
      </c>
      <c r="AA405" t="s">
        <v>63</v>
      </c>
      <c r="AB405">
        <v>0</v>
      </c>
      <c r="AC405">
        <v>72.55</v>
      </c>
      <c r="AD405">
        <v>465</v>
      </c>
      <c r="AE405">
        <v>465</v>
      </c>
    </row>
    <row r="406" spans="1:31" x14ac:dyDescent="0.25">
      <c r="A406" t="s">
        <v>2127</v>
      </c>
      <c r="B406" t="s">
        <v>2128</v>
      </c>
      <c r="C406" s="1">
        <v>45319</v>
      </c>
      <c r="D406" s="1">
        <v>45127</v>
      </c>
      <c r="E406" t="s">
        <v>66</v>
      </c>
      <c r="F406" t="s">
        <v>34</v>
      </c>
      <c r="G406" t="s">
        <v>79</v>
      </c>
      <c r="H406" t="s">
        <v>53</v>
      </c>
      <c r="I406" t="s">
        <v>2129</v>
      </c>
      <c r="J406" t="s">
        <v>38</v>
      </c>
      <c r="K406" t="s">
        <v>70</v>
      </c>
      <c r="L406" t="s">
        <v>2130</v>
      </c>
      <c r="M406">
        <v>86.56</v>
      </c>
      <c r="N406">
        <v>32</v>
      </c>
      <c r="O406" t="s">
        <v>1691</v>
      </c>
      <c r="P406" t="s">
        <v>42</v>
      </c>
      <c r="Q406" t="s">
        <v>558</v>
      </c>
      <c r="R406" t="s">
        <v>44</v>
      </c>
      <c r="S406" t="s">
        <v>74</v>
      </c>
      <c r="T406" t="s">
        <v>927</v>
      </c>
      <c r="U406">
        <v>1646</v>
      </c>
      <c r="V406">
        <v>492</v>
      </c>
      <c r="W406">
        <v>6</v>
      </c>
      <c r="X406">
        <v>1265.8699999999999</v>
      </c>
      <c r="Y406">
        <v>226.68</v>
      </c>
      <c r="Z406">
        <v>1492.55</v>
      </c>
      <c r="AA406" t="s">
        <v>63</v>
      </c>
      <c r="AB406">
        <v>0</v>
      </c>
      <c r="AC406">
        <v>89.79</v>
      </c>
      <c r="AD406">
        <v>260</v>
      </c>
      <c r="AE406">
        <v>269</v>
      </c>
    </row>
    <row r="407" spans="1:31" x14ac:dyDescent="0.25">
      <c r="A407" t="s">
        <v>2131</v>
      </c>
      <c r="B407" t="s">
        <v>2132</v>
      </c>
      <c r="C407" s="1">
        <v>43991</v>
      </c>
      <c r="D407" s="1">
        <v>44904</v>
      </c>
      <c r="E407" t="s">
        <v>66</v>
      </c>
      <c r="F407" t="s">
        <v>93</v>
      </c>
      <c r="G407" t="s">
        <v>115</v>
      </c>
      <c r="H407" t="s">
        <v>36</v>
      </c>
      <c r="I407" t="s">
        <v>2133</v>
      </c>
      <c r="J407" t="s">
        <v>55</v>
      </c>
      <c r="K407" t="s">
        <v>70</v>
      </c>
      <c r="L407" t="s">
        <v>2134</v>
      </c>
      <c r="M407">
        <v>171.87</v>
      </c>
      <c r="N407">
        <v>42</v>
      </c>
      <c r="O407" t="s">
        <v>2135</v>
      </c>
      <c r="P407" t="s">
        <v>42</v>
      </c>
      <c r="Q407" t="s">
        <v>228</v>
      </c>
      <c r="R407" t="s">
        <v>61</v>
      </c>
      <c r="S407" t="s">
        <v>45</v>
      </c>
      <c r="T407" t="s">
        <v>815</v>
      </c>
      <c r="U407">
        <v>3144</v>
      </c>
      <c r="V407">
        <v>214</v>
      </c>
      <c r="W407">
        <v>15</v>
      </c>
      <c r="X407">
        <v>328.32</v>
      </c>
      <c r="Y407">
        <v>75.06</v>
      </c>
      <c r="Z407">
        <v>403.38</v>
      </c>
      <c r="AA407" t="s">
        <v>63</v>
      </c>
      <c r="AB407">
        <v>0</v>
      </c>
      <c r="AC407">
        <v>88.87</v>
      </c>
      <c r="AD407">
        <v>204</v>
      </c>
      <c r="AE407">
        <v>184</v>
      </c>
    </row>
    <row r="408" spans="1:31" x14ac:dyDescent="0.25">
      <c r="A408" t="s">
        <v>2136</v>
      </c>
      <c r="B408" t="s">
        <v>2137</v>
      </c>
      <c r="C408" s="1">
        <v>44443</v>
      </c>
      <c r="D408" s="1">
        <v>44956</v>
      </c>
      <c r="E408" t="s">
        <v>66</v>
      </c>
      <c r="F408" t="s">
        <v>93</v>
      </c>
      <c r="G408" t="s">
        <v>79</v>
      </c>
      <c r="H408" t="s">
        <v>164</v>
      </c>
      <c r="I408" t="s">
        <v>2138</v>
      </c>
      <c r="J408" t="s">
        <v>96</v>
      </c>
      <c r="K408" t="s">
        <v>39</v>
      </c>
      <c r="L408" t="s">
        <v>2139</v>
      </c>
      <c r="M408">
        <v>99.45</v>
      </c>
      <c r="N408">
        <v>62</v>
      </c>
      <c r="O408" t="s">
        <v>2140</v>
      </c>
      <c r="P408" t="s">
        <v>42</v>
      </c>
      <c r="Q408" t="s">
        <v>168</v>
      </c>
      <c r="R408" t="s">
        <v>88</v>
      </c>
      <c r="S408" t="s">
        <v>74</v>
      </c>
      <c r="T408" t="s">
        <v>196</v>
      </c>
      <c r="U408">
        <v>2890</v>
      </c>
      <c r="V408">
        <v>84</v>
      </c>
      <c r="W408">
        <v>9</v>
      </c>
      <c r="X408">
        <v>95.52</v>
      </c>
      <c r="Y408">
        <v>414.73</v>
      </c>
      <c r="Z408">
        <v>510.25</v>
      </c>
      <c r="AA408" t="s">
        <v>63</v>
      </c>
      <c r="AB408">
        <v>0</v>
      </c>
      <c r="AC408">
        <v>76.42</v>
      </c>
      <c r="AD408">
        <v>373</v>
      </c>
      <c r="AE408">
        <v>393</v>
      </c>
    </row>
    <row r="409" spans="1:31" x14ac:dyDescent="0.25">
      <c r="A409" t="s">
        <v>2141</v>
      </c>
      <c r="B409" t="s">
        <v>2142</v>
      </c>
      <c r="C409" s="1">
        <v>44572</v>
      </c>
      <c r="D409" s="1">
        <v>44627</v>
      </c>
      <c r="E409" t="s">
        <v>50</v>
      </c>
      <c r="F409" t="s">
        <v>51</v>
      </c>
      <c r="G409" t="s">
        <v>79</v>
      </c>
      <c r="H409" t="s">
        <v>36</v>
      </c>
      <c r="I409" t="s">
        <v>2143</v>
      </c>
      <c r="J409" t="s">
        <v>82</v>
      </c>
      <c r="K409" t="s">
        <v>56</v>
      </c>
      <c r="L409" t="s">
        <v>2144</v>
      </c>
      <c r="M409">
        <v>428.73</v>
      </c>
      <c r="N409">
        <v>46</v>
      </c>
      <c r="O409" t="s">
        <v>2145</v>
      </c>
      <c r="P409" t="s">
        <v>59</v>
      </c>
      <c r="Q409" t="s">
        <v>189</v>
      </c>
      <c r="R409" t="s">
        <v>44</v>
      </c>
      <c r="S409" t="s">
        <v>89</v>
      </c>
      <c r="T409" t="s">
        <v>255</v>
      </c>
      <c r="U409">
        <v>3341</v>
      </c>
      <c r="V409">
        <v>371</v>
      </c>
      <c r="W409">
        <v>12</v>
      </c>
      <c r="X409">
        <v>79.22</v>
      </c>
      <c r="Y409">
        <v>451.68</v>
      </c>
      <c r="Z409">
        <v>530.9</v>
      </c>
      <c r="AA409" t="s">
        <v>63</v>
      </c>
      <c r="AB409">
        <v>0</v>
      </c>
      <c r="AC409">
        <v>72.459999999999994</v>
      </c>
      <c r="AD409">
        <v>80</v>
      </c>
      <c r="AE409">
        <v>40</v>
      </c>
    </row>
    <row r="410" spans="1:31" x14ac:dyDescent="0.25">
      <c r="A410" t="s">
        <v>2146</v>
      </c>
      <c r="B410" t="s">
        <v>2147</v>
      </c>
      <c r="C410" s="1">
        <v>44096</v>
      </c>
      <c r="D410" s="1">
        <v>44534</v>
      </c>
      <c r="E410" t="s">
        <v>66</v>
      </c>
      <c r="F410" t="s">
        <v>147</v>
      </c>
      <c r="G410" t="s">
        <v>35</v>
      </c>
      <c r="H410" t="s">
        <v>164</v>
      </c>
      <c r="I410" t="s">
        <v>2148</v>
      </c>
      <c r="J410" t="s">
        <v>38</v>
      </c>
      <c r="K410" t="s">
        <v>97</v>
      </c>
      <c r="L410" t="s">
        <v>2149</v>
      </c>
      <c r="M410">
        <v>357.82</v>
      </c>
      <c r="N410">
        <v>93</v>
      </c>
      <c r="O410" t="s">
        <v>2150</v>
      </c>
      <c r="P410" t="s">
        <v>59</v>
      </c>
      <c r="Q410" t="s">
        <v>328</v>
      </c>
      <c r="R410" t="s">
        <v>61</v>
      </c>
      <c r="S410" t="s">
        <v>128</v>
      </c>
      <c r="T410" t="s">
        <v>121</v>
      </c>
      <c r="U410">
        <v>2609</v>
      </c>
      <c r="V410">
        <v>170</v>
      </c>
      <c r="W410">
        <v>24</v>
      </c>
      <c r="X410">
        <v>1177.8900000000001</v>
      </c>
      <c r="Y410">
        <v>377.22</v>
      </c>
      <c r="Z410">
        <v>1555.11</v>
      </c>
      <c r="AA410" t="s">
        <v>63</v>
      </c>
      <c r="AB410">
        <v>0</v>
      </c>
      <c r="AC410">
        <v>89.67</v>
      </c>
      <c r="AD410">
        <v>489</v>
      </c>
      <c r="AE410">
        <v>512</v>
      </c>
    </row>
    <row r="411" spans="1:31" x14ac:dyDescent="0.25">
      <c r="A411" t="s">
        <v>2151</v>
      </c>
      <c r="B411" t="s">
        <v>2152</v>
      </c>
      <c r="C411" s="1">
        <v>43975</v>
      </c>
      <c r="D411" s="1">
        <v>44338</v>
      </c>
      <c r="E411" t="s">
        <v>66</v>
      </c>
      <c r="F411" t="s">
        <v>51</v>
      </c>
      <c r="G411" t="s">
        <v>52</v>
      </c>
      <c r="H411" t="s">
        <v>68</v>
      </c>
      <c r="I411" t="s">
        <v>2153</v>
      </c>
      <c r="J411" t="s">
        <v>55</v>
      </c>
      <c r="K411" t="s">
        <v>70</v>
      </c>
      <c r="L411" t="s">
        <v>2154</v>
      </c>
      <c r="M411">
        <v>399.17</v>
      </c>
      <c r="N411">
        <v>32</v>
      </c>
      <c r="O411" t="s">
        <v>2155</v>
      </c>
      <c r="P411" t="s">
        <v>42</v>
      </c>
      <c r="Q411" t="s">
        <v>152</v>
      </c>
      <c r="R411" t="s">
        <v>88</v>
      </c>
      <c r="S411" t="s">
        <v>45</v>
      </c>
      <c r="T411" t="s">
        <v>121</v>
      </c>
      <c r="U411">
        <v>978</v>
      </c>
      <c r="V411">
        <v>191</v>
      </c>
      <c r="W411">
        <v>23</v>
      </c>
      <c r="X411">
        <v>115.65</v>
      </c>
      <c r="Y411">
        <v>358.35</v>
      </c>
      <c r="Z411">
        <v>474</v>
      </c>
      <c r="AA411" t="s">
        <v>63</v>
      </c>
      <c r="AB411">
        <v>0</v>
      </c>
      <c r="AC411">
        <v>77.47</v>
      </c>
      <c r="AD411">
        <v>412</v>
      </c>
      <c r="AE411">
        <v>422</v>
      </c>
    </row>
    <row r="412" spans="1:31" x14ac:dyDescent="0.25">
      <c r="A412" t="s">
        <v>2156</v>
      </c>
      <c r="B412" t="s">
        <v>2157</v>
      </c>
      <c r="C412" s="1">
        <v>45179</v>
      </c>
      <c r="D412" s="1">
        <v>45220</v>
      </c>
      <c r="E412" t="s">
        <v>50</v>
      </c>
      <c r="F412" t="s">
        <v>93</v>
      </c>
      <c r="G412" t="s">
        <v>105</v>
      </c>
      <c r="H412" t="s">
        <v>218</v>
      </c>
      <c r="I412" t="s">
        <v>2158</v>
      </c>
      <c r="J412" t="s">
        <v>38</v>
      </c>
      <c r="K412" t="s">
        <v>97</v>
      </c>
      <c r="L412" t="s">
        <v>2159</v>
      </c>
      <c r="M412">
        <v>375.92</v>
      </c>
      <c r="N412">
        <v>52</v>
      </c>
      <c r="O412" t="s">
        <v>2160</v>
      </c>
      <c r="P412" t="s">
        <v>86</v>
      </c>
      <c r="Q412" t="s">
        <v>404</v>
      </c>
      <c r="R412" t="s">
        <v>153</v>
      </c>
      <c r="S412" t="s">
        <v>89</v>
      </c>
      <c r="T412" t="s">
        <v>235</v>
      </c>
      <c r="U412">
        <v>4734</v>
      </c>
      <c r="V412">
        <v>435</v>
      </c>
      <c r="W412">
        <v>22</v>
      </c>
      <c r="X412">
        <v>1593.21</v>
      </c>
      <c r="Y412">
        <v>151.78</v>
      </c>
      <c r="Z412">
        <v>1744.99</v>
      </c>
      <c r="AA412" t="s">
        <v>63</v>
      </c>
      <c r="AB412">
        <v>0</v>
      </c>
      <c r="AC412">
        <v>73.3</v>
      </c>
      <c r="AD412">
        <v>286</v>
      </c>
      <c r="AE412">
        <v>239</v>
      </c>
    </row>
    <row r="413" spans="1:31" x14ac:dyDescent="0.25">
      <c r="A413" t="s">
        <v>2161</v>
      </c>
      <c r="B413" t="s">
        <v>2162</v>
      </c>
      <c r="C413" s="1">
        <v>45275</v>
      </c>
      <c r="D413" s="1">
        <v>45473</v>
      </c>
      <c r="E413" t="s">
        <v>50</v>
      </c>
      <c r="F413" t="s">
        <v>51</v>
      </c>
      <c r="G413" t="s">
        <v>94</v>
      </c>
      <c r="H413" t="s">
        <v>80</v>
      </c>
      <c r="I413" t="s">
        <v>2163</v>
      </c>
      <c r="J413" t="s">
        <v>55</v>
      </c>
      <c r="K413" t="s">
        <v>97</v>
      </c>
      <c r="L413" t="s">
        <v>2164</v>
      </c>
      <c r="M413">
        <v>93.54</v>
      </c>
      <c r="N413">
        <v>52</v>
      </c>
      <c r="O413" t="s">
        <v>2165</v>
      </c>
      <c r="P413" t="s">
        <v>110</v>
      </c>
      <c r="Q413" t="s">
        <v>1277</v>
      </c>
      <c r="R413" t="s">
        <v>44</v>
      </c>
      <c r="S413" t="s">
        <v>101</v>
      </c>
      <c r="T413" t="s">
        <v>673</v>
      </c>
      <c r="U413">
        <v>3566</v>
      </c>
      <c r="V413">
        <v>279</v>
      </c>
      <c r="W413">
        <v>21</v>
      </c>
      <c r="X413">
        <v>1105.25</v>
      </c>
      <c r="Y413">
        <v>470.02</v>
      </c>
      <c r="Z413">
        <v>1575.27</v>
      </c>
      <c r="AA413" t="s">
        <v>63</v>
      </c>
      <c r="AB413">
        <v>0</v>
      </c>
      <c r="AC413">
        <v>98.11</v>
      </c>
      <c r="AD413">
        <v>359</v>
      </c>
      <c r="AE413">
        <v>326</v>
      </c>
    </row>
    <row r="414" spans="1:31" x14ac:dyDescent="0.25">
      <c r="A414" t="s">
        <v>2166</v>
      </c>
      <c r="B414" t="s">
        <v>904</v>
      </c>
      <c r="C414" s="1">
        <v>44880</v>
      </c>
      <c r="D414" s="1">
        <v>45357</v>
      </c>
      <c r="E414" t="s">
        <v>66</v>
      </c>
      <c r="F414" t="s">
        <v>93</v>
      </c>
      <c r="G414" t="s">
        <v>67</v>
      </c>
      <c r="H414" t="s">
        <v>164</v>
      </c>
      <c r="I414" t="s">
        <v>2167</v>
      </c>
      <c r="J414" t="s">
        <v>107</v>
      </c>
      <c r="K414" t="s">
        <v>83</v>
      </c>
      <c r="L414" t="s">
        <v>2168</v>
      </c>
      <c r="M414">
        <v>170.23</v>
      </c>
      <c r="N414">
        <v>55</v>
      </c>
      <c r="O414" t="s">
        <v>2169</v>
      </c>
      <c r="P414" t="s">
        <v>110</v>
      </c>
      <c r="Q414" t="s">
        <v>428</v>
      </c>
      <c r="R414" t="s">
        <v>44</v>
      </c>
      <c r="S414" t="s">
        <v>89</v>
      </c>
      <c r="T414" t="s">
        <v>190</v>
      </c>
      <c r="U414">
        <v>2404</v>
      </c>
      <c r="V414">
        <v>277</v>
      </c>
      <c r="W414">
        <v>25</v>
      </c>
      <c r="X414">
        <v>1872.62</v>
      </c>
      <c r="Y414">
        <v>388.32</v>
      </c>
      <c r="Z414">
        <v>2260.94</v>
      </c>
      <c r="AA414" t="s">
        <v>63</v>
      </c>
      <c r="AB414">
        <v>0</v>
      </c>
      <c r="AC414">
        <v>74.83</v>
      </c>
      <c r="AD414">
        <v>488</v>
      </c>
      <c r="AE414">
        <v>499</v>
      </c>
    </row>
    <row r="415" spans="1:31" x14ac:dyDescent="0.25">
      <c r="A415" t="s">
        <v>2170</v>
      </c>
      <c r="B415" t="s">
        <v>2171</v>
      </c>
      <c r="C415" s="1">
        <v>44544</v>
      </c>
      <c r="D415" s="1">
        <v>45004</v>
      </c>
      <c r="E415" t="s">
        <v>50</v>
      </c>
      <c r="F415" t="s">
        <v>78</v>
      </c>
      <c r="G415" t="s">
        <v>67</v>
      </c>
      <c r="H415" t="s">
        <v>116</v>
      </c>
      <c r="I415" t="s">
        <v>2172</v>
      </c>
      <c r="J415" t="s">
        <v>38</v>
      </c>
      <c r="K415" t="s">
        <v>56</v>
      </c>
      <c r="L415" t="s">
        <v>2173</v>
      </c>
      <c r="M415">
        <v>244.19</v>
      </c>
      <c r="N415">
        <v>46</v>
      </c>
      <c r="O415" t="s">
        <v>2174</v>
      </c>
      <c r="P415" t="s">
        <v>59</v>
      </c>
      <c r="Q415" t="s">
        <v>43</v>
      </c>
      <c r="R415" t="s">
        <v>44</v>
      </c>
      <c r="S415" t="s">
        <v>74</v>
      </c>
      <c r="T415" t="s">
        <v>673</v>
      </c>
      <c r="U415">
        <v>3684</v>
      </c>
      <c r="V415">
        <v>142</v>
      </c>
      <c r="W415">
        <v>4</v>
      </c>
      <c r="X415">
        <v>518.75</v>
      </c>
      <c r="Y415">
        <v>79.36</v>
      </c>
      <c r="Z415">
        <v>598.11</v>
      </c>
      <c r="AA415" t="s">
        <v>63</v>
      </c>
      <c r="AB415">
        <v>0</v>
      </c>
      <c r="AC415">
        <v>73.81</v>
      </c>
      <c r="AD415">
        <v>262</v>
      </c>
      <c r="AE415">
        <v>286</v>
      </c>
    </row>
    <row r="416" spans="1:31" x14ac:dyDescent="0.25">
      <c r="A416" t="s">
        <v>2175</v>
      </c>
      <c r="B416" t="s">
        <v>1040</v>
      </c>
      <c r="C416" s="1">
        <v>43855</v>
      </c>
      <c r="D416" s="1">
        <v>44354</v>
      </c>
      <c r="E416" t="s">
        <v>66</v>
      </c>
      <c r="F416" t="s">
        <v>34</v>
      </c>
      <c r="G416" t="s">
        <v>52</v>
      </c>
      <c r="H416" t="s">
        <v>218</v>
      </c>
      <c r="I416" t="s">
        <v>2176</v>
      </c>
      <c r="J416" t="s">
        <v>107</v>
      </c>
      <c r="K416" t="s">
        <v>39</v>
      </c>
      <c r="L416" t="s">
        <v>2177</v>
      </c>
      <c r="M416">
        <v>235.76</v>
      </c>
      <c r="N416">
        <v>46</v>
      </c>
      <c r="O416" t="s">
        <v>1547</v>
      </c>
      <c r="P416" t="s">
        <v>110</v>
      </c>
      <c r="Q416" t="s">
        <v>421</v>
      </c>
      <c r="R416" t="s">
        <v>44</v>
      </c>
      <c r="S416" t="s">
        <v>128</v>
      </c>
      <c r="T416" t="s">
        <v>467</v>
      </c>
      <c r="U416">
        <v>2177</v>
      </c>
      <c r="V416">
        <v>450</v>
      </c>
      <c r="W416">
        <v>15</v>
      </c>
      <c r="X416">
        <v>1932.03</v>
      </c>
      <c r="Y416">
        <v>65.16</v>
      </c>
      <c r="Z416">
        <v>1997.19</v>
      </c>
      <c r="AA416" t="s">
        <v>63</v>
      </c>
      <c r="AB416">
        <v>0</v>
      </c>
      <c r="AC416">
        <v>96.79</v>
      </c>
      <c r="AD416">
        <v>392</v>
      </c>
      <c r="AE416">
        <v>394</v>
      </c>
    </row>
    <row r="417" spans="1:31" x14ac:dyDescent="0.25">
      <c r="A417" t="s">
        <v>2178</v>
      </c>
      <c r="B417" t="s">
        <v>2179</v>
      </c>
      <c r="C417" s="1">
        <v>45531</v>
      </c>
      <c r="D417" s="1">
        <v>45260</v>
      </c>
      <c r="E417" t="s">
        <v>66</v>
      </c>
      <c r="F417" t="s">
        <v>78</v>
      </c>
      <c r="G417" t="s">
        <v>94</v>
      </c>
      <c r="H417" t="s">
        <v>164</v>
      </c>
      <c r="I417" t="s">
        <v>2180</v>
      </c>
      <c r="J417" t="s">
        <v>107</v>
      </c>
      <c r="K417" t="s">
        <v>39</v>
      </c>
      <c r="L417" t="s">
        <v>2181</v>
      </c>
      <c r="M417">
        <v>121.84</v>
      </c>
      <c r="N417">
        <v>32</v>
      </c>
      <c r="O417" t="s">
        <v>2182</v>
      </c>
      <c r="P417" t="s">
        <v>86</v>
      </c>
      <c r="Q417" t="s">
        <v>421</v>
      </c>
      <c r="R417" t="s">
        <v>153</v>
      </c>
      <c r="S417" t="s">
        <v>74</v>
      </c>
      <c r="T417" t="s">
        <v>737</v>
      </c>
      <c r="U417">
        <v>4734</v>
      </c>
      <c r="V417">
        <v>266</v>
      </c>
      <c r="W417">
        <v>16</v>
      </c>
      <c r="X417">
        <v>1096.0899999999999</v>
      </c>
      <c r="Y417">
        <v>361.77</v>
      </c>
      <c r="Z417">
        <v>1457.86</v>
      </c>
      <c r="AA417" t="s">
        <v>63</v>
      </c>
      <c r="AB417">
        <v>0</v>
      </c>
      <c r="AC417">
        <v>89.65</v>
      </c>
      <c r="AD417">
        <v>129</v>
      </c>
      <c r="AE417">
        <v>106</v>
      </c>
    </row>
    <row r="418" spans="1:31" x14ac:dyDescent="0.25">
      <c r="A418" t="s">
        <v>2183</v>
      </c>
      <c r="B418" t="s">
        <v>2184</v>
      </c>
      <c r="C418" s="1">
        <v>45191</v>
      </c>
      <c r="D418" s="1">
        <v>44739</v>
      </c>
      <c r="E418" t="s">
        <v>50</v>
      </c>
      <c r="F418" t="s">
        <v>51</v>
      </c>
      <c r="G418" t="s">
        <v>79</v>
      </c>
      <c r="H418" t="s">
        <v>53</v>
      </c>
      <c r="I418" t="s">
        <v>2185</v>
      </c>
      <c r="J418" t="s">
        <v>107</v>
      </c>
      <c r="K418" t="s">
        <v>97</v>
      </c>
      <c r="L418" t="s">
        <v>2186</v>
      </c>
      <c r="M418">
        <v>467.44</v>
      </c>
      <c r="N418">
        <v>48</v>
      </c>
      <c r="O418" t="s">
        <v>1344</v>
      </c>
      <c r="P418" t="s">
        <v>86</v>
      </c>
      <c r="Q418" t="s">
        <v>152</v>
      </c>
      <c r="R418" t="s">
        <v>61</v>
      </c>
      <c r="S418" t="s">
        <v>128</v>
      </c>
      <c r="T418" t="s">
        <v>316</v>
      </c>
      <c r="U418">
        <v>3751</v>
      </c>
      <c r="V418">
        <v>396</v>
      </c>
      <c r="W418">
        <v>17</v>
      </c>
      <c r="X418">
        <v>1442.31</v>
      </c>
      <c r="Y418">
        <v>260.5</v>
      </c>
      <c r="Z418">
        <v>1702.81</v>
      </c>
      <c r="AA418" t="s">
        <v>63</v>
      </c>
      <c r="AB418">
        <v>0</v>
      </c>
      <c r="AC418">
        <v>70.16</v>
      </c>
      <c r="AD418">
        <v>301</v>
      </c>
      <c r="AE418">
        <v>323</v>
      </c>
    </row>
    <row r="419" spans="1:31" x14ac:dyDescent="0.25">
      <c r="A419" t="s">
        <v>2187</v>
      </c>
      <c r="B419" t="s">
        <v>2188</v>
      </c>
      <c r="C419" s="1">
        <v>45143</v>
      </c>
      <c r="D419" s="1">
        <v>44947</v>
      </c>
      <c r="E419" t="s">
        <v>66</v>
      </c>
      <c r="F419" t="s">
        <v>51</v>
      </c>
      <c r="G419" t="s">
        <v>67</v>
      </c>
      <c r="H419" t="s">
        <v>36</v>
      </c>
      <c r="I419" t="s">
        <v>2189</v>
      </c>
      <c r="J419" t="s">
        <v>38</v>
      </c>
      <c r="K419" t="s">
        <v>70</v>
      </c>
      <c r="L419" t="s">
        <v>2190</v>
      </c>
      <c r="M419">
        <v>225.1</v>
      </c>
      <c r="N419">
        <v>24</v>
      </c>
      <c r="O419" t="s">
        <v>2191</v>
      </c>
      <c r="P419" t="s">
        <v>142</v>
      </c>
      <c r="Q419" t="s">
        <v>43</v>
      </c>
      <c r="R419" t="s">
        <v>44</v>
      </c>
      <c r="S419" t="s">
        <v>74</v>
      </c>
      <c r="T419" t="s">
        <v>1194</v>
      </c>
      <c r="U419">
        <v>2822</v>
      </c>
      <c r="V419">
        <v>366</v>
      </c>
      <c r="W419">
        <v>26</v>
      </c>
      <c r="X419">
        <v>1672.73</v>
      </c>
      <c r="Y419">
        <v>189.02</v>
      </c>
      <c r="Z419">
        <v>1861.75</v>
      </c>
      <c r="AA419" t="s">
        <v>63</v>
      </c>
      <c r="AB419">
        <v>0</v>
      </c>
      <c r="AC419">
        <v>72.099999999999994</v>
      </c>
      <c r="AD419">
        <v>363</v>
      </c>
      <c r="AE419">
        <v>376</v>
      </c>
    </row>
    <row r="420" spans="1:31" x14ac:dyDescent="0.25">
      <c r="A420" t="s">
        <v>2192</v>
      </c>
      <c r="B420" t="s">
        <v>2193</v>
      </c>
      <c r="C420" s="1">
        <v>44425</v>
      </c>
      <c r="D420" s="1">
        <v>44145</v>
      </c>
      <c r="E420" t="s">
        <v>33</v>
      </c>
      <c r="F420" t="s">
        <v>51</v>
      </c>
      <c r="G420" t="s">
        <v>35</v>
      </c>
      <c r="H420" t="s">
        <v>53</v>
      </c>
      <c r="I420" t="s">
        <v>2194</v>
      </c>
      <c r="J420" t="s">
        <v>55</v>
      </c>
      <c r="K420" t="s">
        <v>97</v>
      </c>
      <c r="L420" t="s">
        <v>2195</v>
      </c>
      <c r="M420">
        <v>73.22</v>
      </c>
      <c r="N420">
        <v>82</v>
      </c>
      <c r="O420" t="s">
        <v>2196</v>
      </c>
      <c r="P420" t="s">
        <v>110</v>
      </c>
      <c r="Q420" t="s">
        <v>241</v>
      </c>
      <c r="R420" t="s">
        <v>44</v>
      </c>
      <c r="S420" t="s">
        <v>89</v>
      </c>
      <c r="T420" t="s">
        <v>372</v>
      </c>
      <c r="U420">
        <v>3872</v>
      </c>
      <c r="V420">
        <v>366</v>
      </c>
      <c r="W420">
        <v>26</v>
      </c>
      <c r="X420">
        <v>880.39</v>
      </c>
      <c r="Y420">
        <v>152.74</v>
      </c>
      <c r="Z420">
        <v>1033.1300000000001</v>
      </c>
      <c r="AA420" t="s">
        <v>63</v>
      </c>
      <c r="AB420">
        <v>0</v>
      </c>
      <c r="AC420">
        <v>96.23</v>
      </c>
      <c r="AD420">
        <v>219</v>
      </c>
      <c r="AE420">
        <v>262</v>
      </c>
    </row>
    <row r="421" spans="1:31" x14ac:dyDescent="0.25">
      <c r="A421" t="s">
        <v>2197</v>
      </c>
      <c r="B421" t="s">
        <v>2198</v>
      </c>
      <c r="C421" s="1">
        <v>45470</v>
      </c>
      <c r="D421" s="1">
        <v>43917</v>
      </c>
      <c r="E421" t="s">
        <v>33</v>
      </c>
      <c r="F421" t="s">
        <v>93</v>
      </c>
      <c r="G421" t="s">
        <v>79</v>
      </c>
      <c r="H421" t="s">
        <v>68</v>
      </c>
      <c r="I421" t="s">
        <v>2199</v>
      </c>
      <c r="J421" t="s">
        <v>82</v>
      </c>
      <c r="K421" t="s">
        <v>97</v>
      </c>
      <c r="L421" t="s">
        <v>2200</v>
      </c>
      <c r="M421">
        <v>111.5</v>
      </c>
      <c r="N421">
        <v>47</v>
      </c>
      <c r="O421" t="s">
        <v>2201</v>
      </c>
      <c r="P421" t="s">
        <v>42</v>
      </c>
      <c r="Q421" t="s">
        <v>315</v>
      </c>
      <c r="R421" t="s">
        <v>44</v>
      </c>
      <c r="S421" t="s">
        <v>74</v>
      </c>
      <c r="T421" t="s">
        <v>405</v>
      </c>
      <c r="U421">
        <v>541</v>
      </c>
      <c r="V421">
        <v>60</v>
      </c>
      <c r="W421">
        <v>4</v>
      </c>
      <c r="X421">
        <v>777.49</v>
      </c>
      <c r="Y421">
        <v>472.54</v>
      </c>
      <c r="Z421">
        <v>1250.03</v>
      </c>
      <c r="AA421" t="s">
        <v>63</v>
      </c>
      <c r="AB421">
        <v>0</v>
      </c>
      <c r="AC421">
        <v>87.57</v>
      </c>
      <c r="AD421">
        <v>352</v>
      </c>
      <c r="AE421">
        <v>391</v>
      </c>
    </row>
    <row r="422" spans="1:31" x14ac:dyDescent="0.25">
      <c r="A422" t="s">
        <v>2202</v>
      </c>
      <c r="B422" t="s">
        <v>2203</v>
      </c>
      <c r="C422" s="1">
        <v>44867</v>
      </c>
      <c r="D422" s="1">
        <v>44188</v>
      </c>
      <c r="E422" t="s">
        <v>66</v>
      </c>
      <c r="F422" t="s">
        <v>147</v>
      </c>
      <c r="G422" t="s">
        <v>115</v>
      </c>
      <c r="H422" t="s">
        <v>148</v>
      </c>
      <c r="I422" t="s">
        <v>2204</v>
      </c>
      <c r="J422" t="s">
        <v>38</v>
      </c>
      <c r="K422" t="s">
        <v>70</v>
      </c>
      <c r="L422" t="s">
        <v>2205</v>
      </c>
      <c r="M422">
        <v>420.07</v>
      </c>
      <c r="N422">
        <v>47</v>
      </c>
      <c r="O422" t="s">
        <v>1461</v>
      </c>
      <c r="P422" t="s">
        <v>59</v>
      </c>
      <c r="Q422" t="s">
        <v>111</v>
      </c>
      <c r="R422" t="s">
        <v>153</v>
      </c>
      <c r="S422" t="s">
        <v>89</v>
      </c>
      <c r="T422" t="s">
        <v>262</v>
      </c>
      <c r="U422">
        <v>431</v>
      </c>
      <c r="V422">
        <v>425</v>
      </c>
      <c r="W422">
        <v>3</v>
      </c>
      <c r="X422">
        <v>502.41</v>
      </c>
      <c r="Y422">
        <v>218.44</v>
      </c>
      <c r="Z422">
        <v>720.85</v>
      </c>
      <c r="AA422" t="s">
        <v>63</v>
      </c>
      <c r="AB422">
        <v>0</v>
      </c>
      <c r="AC422">
        <v>81.88</v>
      </c>
      <c r="AD422">
        <v>484</v>
      </c>
      <c r="AE422">
        <v>480</v>
      </c>
    </row>
    <row r="423" spans="1:31" x14ac:dyDescent="0.25">
      <c r="A423" t="s">
        <v>2206</v>
      </c>
      <c r="B423" t="s">
        <v>2207</v>
      </c>
      <c r="C423" s="1">
        <v>44724</v>
      </c>
      <c r="D423" s="1">
        <v>45512</v>
      </c>
      <c r="E423" t="s">
        <v>66</v>
      </c>
      <c r="F423" t="s">
        <v>147</v>
      </c>
      <c r="G423" t="s">
        <v>52</v>
      </c>
      <c r="H423" t="s">
        <v>116</v>
      </c>
      <c r="I423" t="s">
        <v>2208</v>
      </c>
      <c r="J423" t="s">
        <v>55</v>
      </c>
      <c r="K423" t="s">
        <v>83</v>
      </c>
      <c r="L423" t="s">
        <v>2209</v>
      </c>
      <c r="M423">
        <v>263.07</v>
      </c>
      <c r="N423">
        <v>42</v>
      </c>
      <c r="O423" t="s">
        <v>2210</v>
      </c>
      <c r="P423" t="s">
        <v>59</v>
      </c>
      <c r="Q423" t="s">
        <v>421</v>
      </c>
      <c r="R423" t="s">
        <v>88</v>
      </c>
      <c r="S423" t="s">
        <v>89</v>
      </c>
      <c r="T423" t="s">
        <v>129</v>
      </c>
      <c r="U423">
        <v>1210</v>
      </c>
      <c r="V423">
        <v>80</v>
      </c>
      <c r="W423">
        <v>8</v>
      </c>
      <c r="X423">
        <v>1176.8599999999999</v>
      </c>
      <c r="Y423">
        <v>104.9</v>
      </c>
      <c r="Z423">
        <v>1281.76</v>
      </c>
      <c r="AA423" t="s">
        <v>63</v>
      </c>
      <c r="AB423">
        <v>0</v>
      </c>
      <c r="AC423">
        <v>87.59</v>
      </c>
      <c r="AD423">
        <v>74</v>
      </c>
      <c r="AE423">
        <v>39</v>
      </c>
    </row>
    <row r="424" spans="1:31" x14ac:dyDescent="0.25">
      <c r="A424" t="s">
        <v>2211</v>
      </c>
      <c r="B424" t="s">
        <v>2212</v>
      </c>
      <c r="C424" s="1">
        <v>45253</v>
      </c>
      <c r="D424" s="1">
        <v>44492</v>
      </c>
      <c r="E424" t="s">
        <v>66</v>
      </c>
      <c r="F424" t="s">
        <v>93</v>
      </c>
      <c r="G424" t="s">
        <v>52</v>
      </c>
      <c r="H424" t="s">
        <v>36</v>
      </c>
      <c r="I424" t="s">
        <v>2213</v>
      </c>
      <c r="J424" t="s">
        <v>55</v>
      </c>
      <c r="K424" t="s">
        <v>70</v>
      </c>
      <c r="L424" t="s">
        <v>2214</v>
      </c>
      <c r="M424">
        <v>419.46</v>
      </c>
      <c r="N424">
        <v>32</v>
      </c>
      <c r="O424" t="s">
        <v>569</v>
      </c>
      <c r="P424" t="s">
        <v>86</v>
      </c>
      <c r="Q424" t="s">
        <v>609</v>
      </c>
      <c r="R424" t="s">
        <v>153</v>
      </c>
      <c r="S424" t="s">
        <v>45</v>
      </c>
      <c r="T424" t="s">
        <v>372</v>
      </c>
      <c r="U424">
        <v>3928</v>
      </c>
      <c r="V424">
        <v>346</v>
      </c>
      <c r="W424">
        <v>6</v>
      </c>
      <c r="X424">
        <v>1008.07</v>
      </c>
      <c r="Y424">
        <v>485.23</v>
      </c>
      <c r="Z424">
        <v>1493.3</v>
      </c>
      <c r="AA424" t="s">
        <v>63</v>
      </c>
      <c r="AB424">
        <v>0</v>
      </c>
      <c r="AC424">
        <v>82.74</v>
      </c>
      <c r="AD424">
        <v>57</v>
      </c>
      <c r="AE424">
        <v>42</v>
      </c>
    </row>
    <row r="425" spans="1:31" x14ac:dyDescent="0.25">
      <c r="A425" t="s">
        <v>2215</v>
      </c>
      <c r="B425" t="s">
        <v>2216</v>
      </c>
      <c r="C425" s="1">
        <v>43844</v>
      </c>
      <c r="D425" s="1">
        <v>44914</v>
      </c>
      <c r="E425" t="s">
        <v>66</v>
      </c>
      <c r="F425" t="s">
        <v>51</v>
      </c>
      <c r="G425" t="s">
        <v>35</v>
      </c>
      <c r="H425" t="s">
        <v>116</v>
      </c>
      <c r="I425" t="s">
        <v>2217</v>
      </c>
      <c r="J425" t="s">
        <v>82</v>
      </c>
      <c r="K425" t="s">
        <v>56</v>
      </c>
      <c r="L425" t="s">
        <v>2218</v>
      </c>
      <c r="M425">
        <v>436.9</v>
      </c>
      <c r="N425">
        <v>42</v>
      </c>
      <c r="O425" t="s">
        <v>2219</v>
      </c>
      <c r="P425" t="s">
        <v>59</v>
      </c>
      <c r="Q425" t="s">
        <v>455</v>
      </c>
      <c r="R425" t="s">
        <v>88</v>
      </c>
      <c r="S425" t="s">
        <v>45</v>
      </c>
      <c r="T425" t="s">
        <v>196</v>
      </c>
      <c r="U425">
        <v>4428</v>
      </c>
      <c r="V425">
        <v>263</v>
      </c>
      <c r="W425">
        <v>6</v>
      </c>
      <c r="X425">
        <v>1902.19</v>
      </c>
      <c r="Y425">
        <v>25.22</v>
      </c>
      <c r="Z425">
        <v>1927.41</v>
      </c>
      <c r="AA425" t="s">
        <v>47</v>
      </c>
      <c r="AB425">
        <v>12</v>
      </c>
      <c r="AC425">
        <v>75.67</v>
      </c>
      <c r="AD425">
        <v>227</v>
      </c>
      <c r="AE425">
        <v>228</v>
      </c>
    </row>
    <row r="426" spans="1:31" x14ac:dyDescent="0.25">
      <c r="A426" t="s">
        <v>2220</v>
      </c>
      <c r="B426" t="s">
        <v>2221</v>
      </c>
      <c r="C426" s="1">
        <v>44526</v>
      </c>
      <c r="D426" s="1">
        <v>44169</v>
      </c>
      <c r="E426" t="s">
        <v>66</v>
      </c>
      <c r="F426" t="s">
        <v>93</v>
      </c>
      <c r="G426" t="s">
        <v>105</v>
      </c>
      <c r="H426" t="s">
        <v>148</v>
      </c>
      <c r="I426" t="s">
        <v>2222</v>
      </c>
      <c r="J426" t="s">
        <v>96</v>
      </c>
      <c r="K426" t="s">
        <v>70</v>
      </c>
      <c r="L426" t="s">
        <v>2223</v>
      </c>
      <c r="M426">
        <v>118.48</v>
      </c>
      <c r="N426">
        <v>55</v>
      </c>
      <c r="O426" t="s">
        <v>957</v>
      </c>
      <c r="P426" t="s">
        <v>110</v>
      </c>
      <c r="Q426" t="s">
        <v>111</v>
      </c>
      <c r="R426" t="s">
        <v>44</v>
      </c>
      <c r="S426" t="s">
        <v>45</v>
      </c>
      <c r="T426" t="s">
        <v>222</v>
      </c>
      <c r="U426">
        <v>1412</v>
      </c>
      <c r="V426">
        <v>71</v>
      </c>
      <c r="W426">
        <v>25</v>
      </c>
      <c r="X426">
        <v>1464.43</v>
      </c>
      <c r="Y426">
        <v>94.84</v>
      </c>
      <c r="Z426">
        <v>1559.27</v>
      </c>
      <c r="AA426" t="s">
        <v>63</v>
      </c>
      <c r="AB426">
        <v>0</v>
      </c>
      <c r="AC426">
        <v>87.44</v>
      </c>
      <c r="AD426">
        <v>177</v>
      </c>
      <c r="AE426">
        <v>147</v>
      </c>
    </row>
    <row r="427" spans="1:31" x14ac:dyDescent="0.25">
      <c r="A427" t="s">
        <v>2224</v>
      </c>
      <c r="B427" t="s">
        <v>2225</v>
      </c>
      <c r="C427" s="1">
        <v>44007</v>
      </c>
      <c r="D427" s="1">
        <v>44482</v>
      </c>
      <c r="E427" t="s">
        <v>50</v>
      </c>
      <c r="F427" t="s">
        <v>93</v>
      </c>
      <c r="G427" t="s">
        <v>35</v>
      </c>
      <c r="H427" t="s">
        <v>36</v>
      </c>
      <c r="I427" t="s">
        <v>2226</v>
      </c>
      <c r="J427" t="s">
        <v>55</v>
      </c>
      <c r="K427" t="s">
        <v>97</v>
      </c>
      <c r="L427" t="s">
        <v>2227</v>
      </c>
      <c r="M427">
        <v>448.8</v>
      </c>
      <c r="N427">
        <v>13</v>
      </c>
      <c r="O427" t="s">
        <v>167</v>
      </c>
      <c r="P427" t="s">
        <v>42</v>
      </c>
      <c r="Q427" t="s">
        <v>168</v>
      </c>
      <c r="R427" t="s">
        <v>44</v>
      </c>
      <c r="S427" t="s">
        <v>45</v>
      </c>
      <c r="T427" t="s">
        <v>136</v>
      </c>
      <c r="U427">
        <v>3838</v>
      </c>
      <c r="V427">
        <v>246</v>
      </c>
      <c r="W427">
        <v>12</v>
      </c>
      <c r="X427">
        <v>1301.31</v>
      </c>
      <c r="Y427">
        <v>131.15</v>
      </c>
      <c r="Z427">
        <v>1432.46</v>
      </c>
      <c r="AA427" t="s">
        <v>63</v>
      </c>
      <c r="AB427">
        <v>0</v>
      </c>
      <c r="AC427">
        <v>79.39</v>
      </c>
      <c r="AD427">
        <v>475</v>
      </c>
      <c r="AE427">
        <v>519</v>
      </c>
    </row>
    <row r="428" spans="1:31" x14ac:dyDescent="0.25">
      <c r="A428" t="s">
        <v>2228</v>
      </c>
      <c r="B428" t="s">
        <v>2229</v>
      </c>
      <c r="C428" s="1">
        <v>45059</v>
      </c>
      <c r="D428" s="1">
        <v>44465</v>
      </c>
      <c r="E428" t="s">
        <v>50</v>
      </c>
      <c r="F428" t="s">
        <v>51</v>
      </c>
      <c r="G428" t="s">
        <v>94</v>
      </c>
      <c r="H428" t="s">
        <v>80</v>
      </c>
      <c r="I428" t="s">
        <v>2230</v>
      </c>
      <c r="J428" t="s">
        <v>107</v>
      </c>
      <c r="K428" t="s">
        <v>56</v>
      </c>
      <c r="L428" t="s">
        <v>2231</v>
      </c>
      <c r="M428">
        <v>425.94</v>
      </c>
      <c r="N428">
        <v>20</v>
      </c>
      <c r="O428" t="s">
        <v>2232</v>
      </c>
      <c r="P428" t="s">
        <v>86</v>
      </c>
      <c r="Q428" t="s">
        <v>684</v>
      </c>
      <c r="R428" t="s">
        <v>88</v>
      </c>
      <c r="S428" t="s">
        <v>89</v>
      </c>
      <c r="T428" t="s">
        <v>242</v>
      </c>
      <c r="U428">
        <v>2649</v>
      </c>
      <c r="V428">
        <v>282</v>
      </c>
      <c r="W428">
        <v>23</v>
      </c>
      <c r="X428">
        <v>1890.62</v>
      </c>
      <c r="Y428">
        <v>207.33</v>
      </c>
      <c r="Z428">
        <v>2097.9499999999998</v>
      </c>
      <c r="AA428" t="s">
        <v>63</v>
      </c>
      <c r="AB428">
        <v>0</v>
      </c>
      <c r="AC428">
        <v>84.3</v>
      </c>
      <c r="AD428">
        <v>290</v>
      </c>
      <c r="AE428">
        <v>293</v>
      </c>
    </row>
    <row r="429" spans="1:31" x14ac:dyDescent="0.25">
      <c r="A429" t="s">
        <v>2233</v>
      </c>
      <c r="B429" t="s">
        <v>2234</v>
      </c>
      <c r="C429" s="1">
        <v>45301</v>
      </c>
      <c r="D429" s="1">
        <v>45469</v>
      </c>
      <c r="E429" t="s">
        <v>33</v>
      </c>
      <c r="F429" t="s">
        <v>78</v>
      </c>
      <c r="G429" t="s">
        <v>79</v>
      </c>
      <c r="H429" t="s">
        <v>53</v>
      </c>
      <c r="I429" t="s">
        <v>2235</v>
      </c>
      <c r="J429" t="s">
        <v>38</v>
      </c>
      <c r="K429" t="s">
        <v>56</v>
      </c>
      <c r="L429" t="s">
        <v>2236</v>
      </c>
      <c r="M429">
        <v>330.41</v>
      </c>
      <c r="N429">
        <v>35</v>
      </c>
      <c r="O429" t="s">
        <v>2237</v>
      </c>
      <c r="P429" t="s">
        <v>86</v>
      </c>
      <c r="Q429" t="s">
        <v>214</v>
      </c>
      <c r="R429" t="s">
        <v>153</v>
      </c>
      <c r="S429" t="s">
        <v>89</v>
      </c>
      <c r="T429" t="s">
        <v>939</v>
      </c>
      <c r="U429">
        <v>4703</v>
      </c>
      <c r="V429">
        <v>341</v>
      </c>
      <c r="W429">
        <v>4</v>
      </c>
      <c r="X429">
        <v>1976.52</v>
      </c>
      <c r="Y429">
        <v>257.74</v>
      </c>
      <c r="Z429">
        <v>2234.2600000000002</v>
      </c>
      <c r="AA429" t="s">
        <v>63</v>
      </c>
      <c r="AB429">
        <v>0</v>
      </c>
      <c r="AC429">
        <v>83.17</v>
      </c>
      <c r="AD429">
        <v>464</v>
      </c>
      <c r="AE429">
        <v>430</v>
      </c>
    </row>
    <row r="430" spans="1:31" x14ac:dyDescent="0.25">
      <c r="A430" t="s">
        <v>2238</v>
      </c>
      <c r="B430" t="s">
        <v>2239</v>
      </c>
      <c r="C430" s="1">
        <v>45601</v>
      </c>
      <c r="D430" s="1">
        <v>45600</v>
      </c>
      <c r="E430" t="s">
        <v>50</v>
      </c>
      <c r="F430" t="s">
        <v>93</v>
      </c>
      <c r="G430" t="s">
        <v>52</v>
      </c>
      <c r="H430" t="s">
        <v>116</v>
      </c>
      <c r="I430" t="s">
        <v>2240</v>
      </c>
      <c r="J430" t="s">
        <v>38</v>
      </c>
      <c r="K430" t="s">
        <v>70</v>
      </c>
      <c r="L430" t="s">
        <v>2241</v>
      </c>
      <c r="M430">
        <v>437.15</v>
      </c>
      <c r="N430">
        <v>90</v>
      </c>
      <c r="O430" t="s">
        <v>2242</v>
      </c>
      <c r="P430" t="s">
        <v>110</v>
      </c>
      <c r="Q430" t="s">
        <v>189</v>
      </c>
      <c r="R430" t="s">
        <v>153</v>
      </c>
      <c r="S430" t="s">
        <v>101</v>
      </c>
      <c r="T430" t="s">
        <v>372</v>
      </c>
      <c r="U430">
        <v>1683</v>
      </c>
      <c r="V430">
        <v>494</v>
      </c>
      <c r="W430">
        <v>18</v>
      </c>
      <c r="X430">
        <v>1527.95</v>
      </c>
      <c r="Y430">
        <v>291.18</v>
      </c>
      <c r="Z430">
        <v>1819.13</v>
      </c>
      <c r="AA430" t="s">
        <v>63</v>
      </c>
      <c r="AB430">
        <v>0</v>
      </c>
      <c r="AC430">
        <v>79.2</v>
      </c>
      <c r="AD430">
        <v>67</v>
      </c>
      <c r="AE430">
        <v>26</v>
      </c>
    </row>
    <row r="431" spans="1:31" x14ac:dyDescent="0.25">
      <c r="A431" t="s">
        <v>2243</v>
      </c>
      <c r="B431" t="s">
        <v>2244</v>
      </c>
      <c r="C431" s="1">
        <v>44930</v>
      </c>
      <c r="D431" s="1">
        <v>43987</v>
      </c>
      <c r="E431" t="s">
        <v>66</v>
      </c>
      <c r="F431" t="s">
        <v>93</v>
      </c>
      <c r="G431" t="s">
        <v>67</v>
      </c>
      <c r="H431" t="s">
        <v>53</v>
      </c>
      <c r="I431" t="s">
        <v>2245</v>
      </c>
      <c r="J431" t="s">
        <v>38</v>
      </c>
      <c r="K431" t="s">
        <v>56</v>
      </c>
      <c r="L431" t="s">
        <v>666</v>
      </c>
      <c r="M431">
        <v>292.02999999999997</v>
      </c>
      <c r="N431">
        <v>33</v>
      </c>
      <c r="O431" t="s">
        <v>2246</v>
      </c>
      <c r="P431" t="s">
        <v>142</v>
      </c>
      <c r="Q431" t="s">
        <v>322</v>
      </c>
      <c r="R431" t="s">
        <v>44</v>
      </c>
      <c r="S431" t="s">
        <v>128</v>
      </c>
      <c r="T431" t="s">
        <v>273</v>
      </c>
      <c r="U431">
        <v>105</v>
      </c>
      <c r="V431">
        <v>302</v>
      </c>
      <c r="W431">
        <v>2</v>
      </c>
      <c r="X431">
        <v>409.88</v>
      </c>
      <c r="Y431">
        <v>301.25</v>
      </c>
      <c r="Z431">
        <v>711.13</v>
      </c>
      <c r="AA431" t="s">
        <v>63</v>
      </c>
      <c r="AB431">
        <v>0</v>
      </c>
      <c r="AC431">
        <v>82.4</v>
      </c>
      <c r="AD431">
        <v>497</v>
      </c>
      <c r="AE431">
        <v>487</v>
      </c>
    </row>
    <row r="432" spans="1:31" x14ac:dyDescent="0.25">
      <c r="A432" t="s">
        <v>2247</v>
      </c>
      <c r="B432" t="s">
        <v>2248</v>
      </c>
      <c r="C432" s="1">
        <v>45549</v>
      </c>
      <c r="D432" s="1">
        <v>43963</v>
      </c>
      <c r="E432" t="s">
        <v>66</v>
      </c>
      <c r="F432" t="s">
        <v>34</v>
      </c>
      <c r="G432" t="s">
        <v>115</v>
      </c>
      <c r="H432" t="s">
        <v>53</v>
      </c>
      <c r="I432" t="s">
        <v>2249</v>
      </c>
      <c r="J432" t="s">
        <v>82</v>
      </c>
      <c r="K432" t="s">
        <v>56</v>
      </c>
      <c r="L432" t="s">
        <v>2250</v>
      </c>
      <c r="M432">
        <v>63.88</v>
      </c>
      <c r="N432">
        <v>75</v>
      </c>
      <c r="O432" t="s">
        <v>2251</v>
      </c>
      <c r="P432" t="s">
        <v>59</v>
      </c>
      <c r="Q432" t="s">
        <v>514</v>
      </c>
      <c r="R432" t="s">
        <v>88</v>
      </c>
      <c r="S432" t="s">
        <v>45</v>
      </c>
      <c r="T432" t="s">
        <v>444</v>
      </c>
      <c r="U432">
        <v>4181</v>
      </c>
      <c r="V432">
        <v>498</v>
      </c>
      <c r="W432">
        <v>2</v>
      </c>
      <c r="X432">
        <v>445.87</v>
      </c>
      <c r="Y432">
        <v>397.57</v>
      </c>
      <c r="Z432">
        <v>843.44</v>
      </c>
      <c r="AA432" t="s">
        <v>63</v>
      </c>
      <c r="AB432">
        <v>0</v>
      </c>
      <c r="AC432">
        <v>89.04</v>
      </c>
      <c r="AD432">
        <v>393</v>
      </c>
      <c r="AE432">
        <v>407</v>
      </c>
    </row>
    <row r="433" spans="1:31" x14ac:dyDescent="0.25">
      <c r="A433" t="s">
        <v>2252</v>
      </c>
      <c r="B433" t="s">
        <v>2253</v>
      </c>
      <c r="C433" s="1">
        <v>45296</v>
      </c>
      <c r="D433" s="1">
        <v>44762</v>
      </c>
      <c r="E433" t="s">
        <v>33</v>
      </c>
      <c r="F433" t="s">
        <v>147</v>
      </c>
      <c r="G433" t="s">
        <v>67</v>
      </c>
      <c r="H433" t="s">
        <v>53</v>
      </c>
      <c r="I433" t="s">
        <v>2254</v>
      </c>
      <c r="J433" t="s">
        <v>96</v>
      </c>
      <c r="K433" t="s">
        <v>70</v>
      </c>
      <c r="L433" t="s">
        <v>2255</v>
      </c>
      <c r="M433">
        <v>393.57</v>
      </c>
      <c r="N433">
        <v>10</v>
      </c>
      <c r="O433" t="s">
        <v>2256</v>
      </c>
      <c r="P433" t="s">
        <v>42</v>
      </c>
      <c r="Q433" t="s">
        <v>371</v>
      </c>
      <c r="R433" t="s">
        <v>153</v>
      </c>
      <c r="S433" t="s">
        <v>45</v>
      </c>
      <c r="T433" t="s">
        <v>467</v>
      </c>
      <c r="U433">
        <v>2905</v>
      </c>
      <c r="V433">
        <v>357</v>
      </c>
      <c r="W433">
        <v>22</v>
      </c>
      <c r="X433">
        <v>1113.22</v>
      </c>
      <c r="Y433">
        <v>32.85</v>
      </c>
      <c r="Z433">
        <v>1146.07</v>
      </c>
      <c r="AA433" t="s">
        <v>63</v>
      </c>
      <c r="AB433">
        <v>0</v>
      </c>
      <c r="AC433">
        <v>99.16</v>
      </c>
      <c r="AD433">
        <v>55</v>
      </c>
      <c r="AE433">
        <v>27</v>
      </c>
    </row>
    <row r="434" spans="1:31" x14ac:dyDescent="0.25">
      <c r="A434" t="s">
        <v>2257</v>
      </c>
      <c r="B434" t="s">
        <v>2258</v>
      </c>
      <c r="C434" s="1">
        <v>44756</v>
      </c>
      <c r="D434" s="1">
        <v>45578</v>
      </c>
      <c r="E434" t="s">
        <v>66</v>
      </c>
      <c r="F434" t="s">
        <v>93</v>
      </c>
      <c r="G434" t="s">
        <v>52</v>
      </c>
      <c r="H434" t="s">
        <v>80</v>
      </c>
      <c r="I434" t="s">
        <v>2259</v>
      </c>
      <c r="J434" t="s">
        <v>96</v>
      </c>
      <c r="K434" t="s">
        <v>97</v>
      </c>
      <c r="L434" t="s">
        <v>2260</v>
      </c>
      <c r="M434">
        <v>75.930000000000007</v>
      </c>
      <c r="N434">
        <v>91</v>
      </c>
      <c r="O434" t="s">
        <v>1471</v>
      </c>
      <c r="P434" t="s">
        <v>110</v>
      </c>
      <c r="Q434" t="s">
        <v>261</v>
      </c>
      <c r="R434" t="s">
        <v>88</v>
      </c>
      <c r="S434" t="s">
        <v>89</v>
      </c>
      <c r="T434" t="s">
        <v>273</v>
      </c>
      <c r="U434">
        <v>3770</v>
      </c>
      <c r="V434">
        <v>98</v>
      </c>
      <c r="W434">
        <v>18</v>
      </c>
      <c r="X434">
        <v>1560.83</v>
      </c>
      <c r="Y434">
        <v>74.430000000000007</v>
      </c>
      <c r="Z434">
        <v>1635.26</v>
      </c>
      <c r="AA434" t="s">
        <v>63</v>
      </c>
      <c r="AB434">
        <v>0</v>
      </c>
      <c r="AC434">
        <v>93.56</v>
      </c>
      <c r="AD434">
        <v>134</v>
      </c>
      <c r="AE434">
        <v>124</v>
      </c>
    </row>
    <row r="435" spans="1:31" x14ac:dyDescent="0.25">
      <c r="A435" t="s">
        <v>2261</v>
      </c>
      <c r="B435" t="s">
        <v>2262</v>
      </c>
      <c r="C435" s="1">
        <v>44583</v>
      </c>
      <c r="D435" s="1">
        <v>45603</v>
      </c>
      <c r="E435" t="s">
        <v>33</v>
      </c>
      <c r="F435" t="s">
        <v>147</v>
      </c>
      <c r="G435" t="s">
        <v>105</v>
      </c>
      <c r="H435" t="s">
        <v>218</v>
      </c>
      <c r="I435" t="s">
        <v>2263</v>
      </c>
      <c r="J435" t="s">
        <v>96</v>
      </c>
      <c r="K435" t="s">
        <v>97</v>
      </c>
      <c r="L435" t="s">
        <v>2264</v>
      </c>
      <c r="M435">
        <v>376.99</v>
      </c>
      <c r="N435">
        <v>10</v>
      </c>
      <c r="O435" t="s">
        <v>2265</v>
      </c>
      <c r="P435" t="s">
        <v>110</v>
      </c>
      <c r="Q435" t="s">
        <v>328</v>
      </c>
      <c r="R435" t="s">
        <v>153</v>
      </c>
      <c r="S435" t="s">
        <v>101</v>
      </c>
      <c r="T435" t="s">
        <v>1059</v>
      </c>
      <c r="U435">
        <v>2883</v>
      </c>
      <c r="V435">
        <v>114</v>
      </c>
      <c r="W435">
        <v>17</v>
      </c>
      <c r="X435">
        <v>1074.1300000000001</v>
      </c>
      <c r="Y435">
        <v>247.77</v>
      </c>
      <c r="Z435">
        <v>1321.9</v>
      </c>
      <c r="AA435" t="s">
        <v>63</v>
      </c>
      <c r="AB435">
        <v>0</v>
      </c>
      <c r="AC435">
        <v>81.709999999999994</v>
      </c>
      <c r="AD435">
        <v>187</v>
      </c>
      <c r="AE435">
        <v>167</v>
      </c>
    </row>
    <row r="436" spans="1:31" x14ac:dyDescent="0.25">
      <c r="A436" t="s">
        <v>2266</v>
      </c>
      <c r="B436" t="s">
        <v>2267</v>
      </c>
      <c r="C436" s="1">
        <v>44703</v>
      </c>
      <c r="D436" s="1">
        <v>44363</v>
      </c>
      <c r="E436" t="s">
        <v>66</v>
      </c>
      <c r="F436" t="s">
        <v>51</v>
      </c>
      <c r="G436" t="s">
        <v>35</v>
      </c>
      <c r="H436" t="s">
        <v>116</v>
      </c>
      <c r="I436" t="s">
        <v>2268</v>
      </c>
      <c r="J436" t="s">
        <v>82</v>
      </c>
      <c r="K436" t="s">
        <v>70</v>
      </c>
      <c r="L436" t="s">
        <v>2269</v>
      </c>
      <c r="M436">
        <v>301.43</v>
      </c>
      <c r="N436">
        <v>88</v>
      </c>
      <c r="O436" t="s">
        <v>2270</v>
      </c>
      <c r="P436" t="s">
        <v>59</v>
      </c>
      <c r="Q436" t="s">
        <v>364</v>
      </c>
      <c r="R436" t="s">
        <v>153</v>
      </c>
      <c r="S436" t="s">
        <v>45</v>
      </c>
      <c r="T436" t="s">
        <v>1023</v>
      </c>
      <c r="U436">
        <v>3021</v>
      </c>
      <c r="V436">
        <v>219</v>
      </c>
      <c r="W436">
        <v>8</v>
      </c>
      <c r="X436">
        <v>1102.74</v>
      </c>
      <c r="Y436">
        <v>447.34</v>
      </c>
      <c r="Z436">
        <v>1550.08</v>
      </c>
      <c r="AA436" t="s">
        <v>63</v>
      </c>
      <c r="AB436">
        <v>0</v>
      </c>
      <c r="AC436">
        <v>89.83</v>
      </c>
      <c r="AD436">
        <v>229</v>
      </c>
      <c r="AE436">
        <v>267</v>
      </c>
    </row>
    <row r="437" spans="1:31" x14ac:dyDescent="0.25">
      <c r="A437" t="s">
        <v>2271</v>
      </c>
      <c r="B437" t="s">
        <v>2272</v>
      </c>
      <c r="C437" s="1">
        <v>45397</v>
      </c>
      <c r="D437" s="1">
        <v>44618</v>
      </c>
      <c r="E437" t="s">
        <v>66</v>
      </c>
      <c r="F437" t="s">
        <v>34</v>
      </c>
      <c r="G437" t="s">
        <v>115</v>
      </c>
      <c r="H437" t="s">
        <v>36</v>
      </c>
      <c r="I437" t="s">
        <v>2273</v>
      </c>
      <c r="J437" t="s">
        <v>96</v>
      </c>
      <c r="K437" t="s">
        <v>56</v>
      </c>
      <c r="L437" t="s">
        <v>496</v>
      </c>
      <c r="M437">
        <v>85.75</v>
      </c>
      <c r="N437">
        <v>50</v>
      </c>
      <c r="O437" t="s">
        <v>1328</v>
      </c>
      <c r="P437" t="s">
        <v>142</v>
      </c>
      <c r="Q437" t="s">
        <v>404</v>
      </c>
      <c r="R437" t="s">
        <v>88</v>
      </c>
      <c r="S437" t="s">
        <v>45</v>
      </c>
      <c r="T437" t="s">
        <v>1059</v>
      </c>
      <c r="U437">
        <v>687</v>
      </c>
      <c r="V437">
        <v>97</v>
      </c>
      <c r="W437">
        <v>28</v>
      </c>
      <c r="X437">
        <v>1111.3599999999999</v>
      </c>
      <c r="Y437">
        <v>355.8</v>
      </c>
      <c r="Z437">
        <v>1467.16</v>
      </c>
      <c r="AA437" t="s">
        <v>63</v>
      </c>
      <c r="AB437">
        <v>0</v>
      </c>
      <c r="AC437">
        <v>93.07</v>
      </c>
      <c r="AD437">
        <v>325</v>
      </c>
      <c r="AE437">
        <v>289</v>
      </c>
    </row>
    <row r="438" spans="1:31" x14ac:dyDescent="0.25">
      <c r="A438" t="s">
        <v>2274</v>
      </c>
      <c r="B438" t="s">
        <v>2275</v>
      </c>
      <c r="C438" s="1">
        <v>44328</v>
      </c>
      <c r="D438" s="1">
        <v>45525</v>
      </c>
      <c r="E438" t="s">
        <v>66</v>
      </c>
      <c r="F438" t="s">
        <v>93</v>
      </c>
      <c r="G438" t="s">
        <v>79</v>
      </c>
      <c r="H438" t="s">
        <v>68</v>
      </c>
      <c r="I438" t="s">
        <v>2276</v>
      </c>
      <c r="J438" t="s">
        <v>82</v>
      </c>
      <c r="K438" t="s">
        <v>56</v>
      </c>
      <c r="L438" t="s">
        <v>2277</v>
      </c>
      <c r="M438">
        <v>437.27</v>
      </c>
      <c r="N438">
        <v>72</v>
      </c>
      <c r="O438" t="s">
        <v>2278</v>
      </c>
      <c r="P438" t="s">
        <v>42</v>
      </c>
      <c r="Q438" t="s">
        <v>60</v>
      </c>
      <c r="R438" t="s">
        <v>44</v>
      </c>
      <c r="S438" t="s">
        <v>101</v>
      </c>
      <c r="T438" t="s">
        <v>203</v>
      </c>
      <c r="U438">
        <v>917</v>
      </c>
      <c r="V438">
        <v>278</v>
      </c>
      <c r="W438">
        <v>2</v>
      </c>
      <c r="X438">
        <v>859.47</v>
      </c>
      <c r="Y438">
        <v>348.95</v>
      </c>
      <c r="Z438">
        <v>1208.42</v>
      </c>
      <c r="AA438" t="s">
        <v>63</v>
      </c>
      <c r="AB438">
        <v>0</v>
      </c>
      <c r="AC438">
        <v>84.73</v>
      </c>
      <c r="AD438">
        <v>164</v>
      </c>
      <c r="AE438">
        <v>154</v>
      </c>
    </row>
    <row r="439" spans="1:31" x14ac:dyDescent="0.25">
      <c r="A439" t="s">
        <v>2279</v>
      </c>
      <c r="B439" t="s">
        <v>2280</v>
      </c>
      <c r="C439" s="1">
        <v>44355</v>
      </c>
      <c r="D439" s="1">
        <v>44973</v>
      </c>
      <c r="E439" t="s">
        <v>50</v>
      </c>
      <c r="F439" t="s">
        <v>93</v>
      </c>
      <c r="G439" t="s">
        <v>115</v>
      </c>
      <c r="H439" t="s">
        <v>218</v>
      </c>
      <c r="I439" t="s">
        <v>2281</v>
      </c>
      <c r="J439" t="s">
        <v>38</v>
      </c>
      <c r="K439" t="s">
        <v>97</v>
      </c>
      <c r="L439" t="s">
        <v>2282</v>
      </c>
      <c r="M439">
        <v>210.48</v>
      </c>
      <c r="N439">
        <v>11</v>
      </c>
      <c r="O439" t="s">
        <v>2283</v>
      </c>
      <c r="P439" t="s">
        <v>142</v>
      </c>
      <c r="Q439" t="s">
        <v>241</v>
      </c>
      <c r="R439" t="s">
        <v>88</v>
      </c>
      <c r="S439" t="s">
        <v>45</v>
      </c>
      <c r="T439" t="s">
        <v>161</v>
      </c>
      <c r="U439">
        <v>2089</v>
      </c>
      <c r="V439">
        <v>185</v>
      </c>
      <c r="W439">
        <v>8</v>
      </c>
      <c r="X439">
        <v>861.96</v>
      </c>
      <c r="Y439">
        <v>20.96</v>
      </c>
      <c r="Z439">
        <v>882.92000000000007</v>
      </c>
      <c r="AA439" t="s">
        <v>63</v>
      </c>
      <c r="AB439">
        <v>0</v>
      </c>
      <c r="AC439">
        <v>98.07</v>
      </c>
      <c r="AD439">
        <v>417</v>
      </c>
      <c r="AE439">
        <v>392</v>
      </c>
    </row>
    <row r="440" spans="1:31" x14ac:dyDescent="0.25">
      <c r="A440" t="s">
        <v>2284</v>
      </c>
      <c r="B440" t="s">
        <v>2285</v>
      </c>
      <c r="C440" s="1">
        <v>44798</v>
      </c>
      <c r="D440" s="1">
        <v>45439</v>
      </c>
      <c r="E440" t="s">
        <v>66</v>
      </c>
      <c r="F440" t="s">
        <v>51</v>
      </c>
      <c r="G440" t="s">
        <v>35</v>
      </c>
      <c r="H440" t="s">
        <v>148</v>
      </c>
      <c r="I440" t="s">
        <v>2286</v>
      </c>
      <c r="J440" t="s">
        <v>55</v>
      </c>
      <c r="K440" t="s">
        <v>70</v>
      </c>
      <c r="L440" t="s">
        <v>2287</v>
      </c>
      <c r="M440">
        <v>72.8</v>
      </c>
      <c r="N440">
        <v>31</v>
      </c>
      <c r="O440" t="s">
        <v>2288</v>
      </c>
      <c r="P440" t="s">
        <v>42</v>
      </c>
      <c r="Q440" t="s">
        <v>135</v>
      </c>
      <c r="R440" t="s">
        <v>153</v>
      </c>
      <c r="S440" t="s">
        <v>74</v>
      </c>
      <c r="T440" t="s">
        <v>415</v>
      </c>
      <c r="U440">
        <v>405</v>
      </c>
      <c r="V440">
        <v>170</v>
      </c>
      <c r="W440">
        <v>8</v>
      </c>
      <c r="X440">
        <v>901.66</v>
      </c>
      <c r="Y440">
        <v>278.93</v>
      </c>
      <c r="Z440">
        <v>1180.5899999999999</v>
      </c>
      <c r="AA440" t="s">
        <v>63</v>
      </c>
      <c r="AB440">
        <v>0</v>
      </c>
      <c r="AC440">
        <v>71.89</v>
      </c>
      <c r="AD440">
        <v>359</v>
      </c>
      <c r="AE440">
        <v>382</v>
      </c>
    </row>
    <row r="441" spans="1:31" x14ac:dyDescent="0.25">
      <c r="A441" t="s">
        <v>2289</v>
      </c>
      <c r="B441" t="s">
        <v>2290</v>
      </c>
      <c r="C441" s="1">
        <v>45135</v>
      </c>
      <c r="D441" s="1">
        <v>45414</v>
      </c>
      <c r="E441" t="s">
        <v>33</v>
      </c>
      <c r="F441" t="s">
        <v>147</v>
      </c>
      <c r="G441" t="s">
        <v>79</v>
      </c>
      <c r="H441" t="s">
        <v>148</v>
      </c>
      <c r="I441" t="s">
        <v>2291</v>
      </c>
      <c r="J441" t="s">
        <v>96</v>
      </c>
      <c r="K441" t="s">
        <v>83</v>
      </c>
      <c r="L441" t="s">
        <v>2292</v>
      </c>
      <c r="M441">
        <v>205.97</v>
      </c>
      <c r="N441">
        <v>89</v>
      </c>
      <c r="O441" t="s">
        <v>2293</v>
      </c>
      <c r="P441" t="s">
        <v>86</v>
      </c>
      <c r="Q441" t="s">
        <v>455</v>
      </c>
      <c r="R441" t="s">
        <v>44</v>
      </c>
      <c r="S441" t="s">
        <v>101</v>
      </c>
      <c r="T441" t="s">
        <v>183</v>
      </c>
      <c r="U441">
        <v>134</v>
      </c>
      <c r="V441">
        <v>403</v>
      </c>
      <c r="W441">
        <v>21</v>
      </c>
      <c r="X441">
        <v>1272.9100000000001</v>
      </c>
      <c r="Y441">
        <v>497.42</v>
      </c>
      <c r="Z441">
        <v>1770.33</v>
      </c>
      <c r="AA441" t="s">
        <v>47</v>
      </c>
      <c r="AB441">
        <v>2</v>
      </c>
      <c r="AC441">
        <v>75.849999999999994</v>
      </c>
      <c r="AD441">
        <v>113</v>
      </c>
      <c r="AE441">
        <v>122</v>
      </c>
    </row>
    <row r="442" spans="1:31" x14ac:dyDescent="0.25">
      <c r="A442" t="s">
        <v>2294</v>
      </c>
      <c r="B442" t="s">
        <v>2295</v>
      </c>
      <c r="C442" s="1">
        <v>44242</v>
      </c>
      <c r="D442" s="1">
        <v>44016</v>
      </c>
      <c r="E442" t="s">
        <v>66</v>
      </c>
      <c r="F442" t="s">
        <v>51</v>
      </c>
      <c r="G442" t="s">
        <v>337</v>
      </c>
      <c r="H442" t="s">
        <v>80</v>
      </c>
      <c r="I442" t="s">
        <v>2296</v>
      </c>
      <c r="J442" t="s">
        <v>82</v>
      </c>
      <c r="K442" t="s">
        <v>56</v>
      </c>
      <c r="L442" t="s">
        <v>2297</v>
      </c>
      <c r="M442">
        <v>342.16</v>
      </c>
      <c r="N442">
        <v>39</v>
      </c>
      <c r="O442" t="s">
        <v>472</v>
      </c>
      <c r="P442" t="s">
        <v>59</v>
      </c>
      <c r="Q442" t="s">
        <v>100</v>
      </c>
      <c r="R442" t="s">
        <v>61</v>
      </c>
      <c r="S442" t="s">
        <v>45</v>
      </c>
      <c r="T442" t="s">
        <v>1261</v>
      </c>
      <c r="U442">
        <v>4138</v>
      </c>
      <c r="V442">
        <v>433</v>
      </c>
      <c r="W442">
        <v>4</v>
      </c>
      <c r="X442">
        <v>1402.6</v>
      </c>
      <c r="Y442">
        <v>482.82</v>
      </c>
      <c r="Z442">
        <v>1885.42</v>
      </c>
      <c r="AA442" t="s">
        <v>63</v>
      </c>
      <c r="AB442">
        <v>0</v>
      </c>
      <c r="AC442">
        <v>71.75</v>
      </c>
      <c r="AD442">
        <v>319</v>
      </c>
      <c r="AE442">
        <v>278</v>
      </c>
    </row>
    <row r="443" spans="1:31" x14ac:dyDescent="0.25">
      <c r="A443" t="s">
        <v>2298</v>
      </c>
      <c r="B443" t="s">
        <v>2299</v>
      </c>
      <c r="C443" s="1">
        <v>44977</v>
      </c>
      <c r="D443" s="1">
        <v>45663</v>
      </c>
      <c r="E443" t="s">
        <v>50</v>
      </c>
      <c r="F443" t="s">
        <v>34</v>
      </c>
      <c r="G443" t="s">
        <v>52</v>
      </c>
      <c r="H443" t="s">
        <v>116</v>
      </c>
      <c r="I443" t="s">
        <v>2300</v>
      </c>
      <c r="J443" t="s">
        <v>107</v>
      </c>
      <c r="K443" t="s">
        <v>70</v>
      </c>
      <c r="L443" t="s">
        <v>1556</v>
      </c>
      <c r="M443">
        <v>403.2</v>
      </c>
      <c r="N443">
        <v>97</v>
      </c>
      <c r="O443" t="s">
        <v>2301</v>
      </c>
      <c r="P443" t="s">
        <v>59</v>
      </c>
      <c r="Q443" t="s">
        <v>261</v>
      </c>
      <c r="R443" t="s">
        <v>61</v>
      </c>
      <c r="S443" t="s">
        <v>74</v>
      </c>
      <c r="T443" t="s">
        <v>815</v>
      </c>
      <c r="U443">
        <v>924</v>
      </c>
      <c r="V443">
        <v>491</v>
      </c>
      <c r="W443">
        <v>7</v>
      </c>
      <c r="X443">
        <v>515.21</v>
      </c>
      <c r="Y443">
        <v>238.27</v>
      </c>
      <c r="Z443">
        <v>753.48</v>
      </c>
      <c r="AA443" t="s">
        <v>47</v>
      </c>
      <c r="AB443">
        <v>5</v>
      </c>
      <c r="AC443">
        <v>77.45</v>
      </c>
      <c r="AD443">
        <v>173</v>
      </c>
      <c r="AE443">
        <v>164</v>
      </c>
    </row>
    <row r="444" spans="1:31" x14ac:dyDescent="0.25">
      <c r="A444" t="s">
        <v>2302</v>
      </c>
      <c r="B444" t="s">
        <v>2303</v>
      </c>
      <c r="C444" s="1">
        <v>45067</v>
      </c>
      <c r="D444" s="1">
        <v>44348</v>
      </c>
      <c r="E444" t="s">
        <v>50</v>
      </c>
      <c r="F444" t="s">
        <v>93</v>
      </c>
      <c r="G444" t="s">
        <v>67</v>
      </c>
      <c r="H444" t="s">
        <v>36</v>
      </c>
      <c r="I444" t="s">
        <v>2304</v>
      </c>
      <c r="J444" t="s">
        <v>82</v>
      </c>
      <c r="K444" t="s">
        <v>83</v>
      </c>
      <c r="L444" t="s">
        <v>2305</v>
      </c>
      <c r="M444">
        <v>489.64</v>
      </c>
      <c r="N444">
        <v>35</v>
      </c>
      <c r="O444" t="s">
        <v>1153</v>
      </c>
      <c r="P444" t="s">
        <v>59</v>
      </c>
      <c r="Q444" t="s">
        <v>87</v>
      </c>
      <c r="R444" t="s">
        <v>88</v>
      </c>
      <c r="S444" t="s">
        <v>45</v>
      </c>
      <c r="T444" t="s">
        <v>721</v>
      </c>
      <c r="U444">
        <v>2616</v>
      </c>
      <c r="V444">
        <v>373</v>
      </c>
      <c r="W444">
        <v>19</v>
      </c>
      <c r="X444">
        <v>1313.88</v>
      </c>
      <c r="Y444">
        <v>472.56</v>
      </c>
      <c r="Z444">
        <v>1786.44</v>
      </c>
      <c r="AA444" t="s">
        <v>63</v>
      </c>
      <c r="AB444">
        <v>0</v>
      </c>
      <c r="AC444">
        <v>83.99</v>
      </c>
      <c r="AD444">
        <v>191</v>
      </c>
      <c r="AE444">
        <v>148</v>
      </c>
    </row>
    <row r="445" spans="1:31" x14ac:dyDescent="0.25">
      <c r="A445" t="s">
        <v>2306</v>
      </c>
      <c r="B445" t="s">
        <v>1243</v>
      </c>
      <c r="C445" s="1">
        <v>44642</v>
      </c>
      <c r="D445" s="1">
        <v>45513</v>
      </c>
      <c r="E445" t="s">
        <v>66</v>
      </c>
      <c r="F445" t="s">
        <v>34</v>
      </c>
      <c r="G445" t="s">
        <v>115</v>
      </c>
      <c r="H445" t="s">
        <v>116</v>
      </c>
      <c r="I445" t="s">
        <v>2307</v>
      </c>
      <c r="J445" t="s">
        <v>82</v>
      </c>
      <c r="K445" t="s">
        <v>83</v>
      </c>
      <c r="L445" t="s">
        <v>2308</v>
      </c>
      <c r="M445">
        <v>142</v>
      </c>
      <c r="N445">
        <v>23</v>
      </c>
      <c r="O445" t="s">
        <v>2309</v>
      </c>
      <c r="P445" t="s">
        <v>110</v>
      </c>
      <c r="Q445" t="s">
        <v>241</v>
      </c>
      <c r="R445" t="s">
        <v>88</v>
      </c>
      <c r="S445" t="s">
        <v>45</v>
      </c>
      <c r="T445" t="s">
        <v>737</v>
      </c>
      <c r="U445">
        <v>4407</v>
      </c>
      <c r="V445">
        <v>436</v>
      </c>
      <c r="W445">
        <v>23</v>
      </c>
      <c r="X445">
        <v>565.16999999999996</v>
      </c>
      <c r="Y445">
        <v>281.35000000000002</v>
      </c>
      <c r="Z445">
        <v>846.52</v>
      </c>
      <c r="AA445" t="s">
        <v>63</v>
      </c>
      <c r="AB445">
        <v>0</v>
      </c>
      <c r="AC445">
        <v>72.17</v>
      </c>
      <c r="AD445">
        <v>220</v>
      </c>
      <c r="AE445">
        <v>227</v>
      </c>
    </row>
    <row r="446" spans="1:31" x14ac:dyDescent="0.25">
      <c r="A446" t="s">
        <v>2310</v>
      </c>
      <c r="B446" t="s">
        <v>2311</v>
      </c>
      <c r="C446" s="1">
        <v>44168</v>
      </c>
      <c r="D446" s="1">
        <v>43995</v>
      </c>
      <c r="E446" t="s">
        <v>50</v>
      </c>
      <c r="F446" t="s">
        <v>34</v>
      </c>
      <c r="G446" t="s">
        <v>67</v>
      </c>
      <c r="H446" t="s">
        <v>164</v>
      </c>
      <c r="I446" t="s">
        <v>2312</v>
      </c>
      <c r="J446" t="s">
        <v>96</v>
      </c>
      <c r="K446" t="s">
        <v>97</v>
      </c>
      <c r="L446" t="s">
        <v>2313</v>
      </c>
      <c r="M446">
        <v>447.34</v>
      </c>
      <c r="N446">
        <v>75</v>
      </c>
      <c r="O446" t="s">
        <v>2314</v>
      </c>
      <c r="P446" t="s">
        <v>110</v>
      </c>
      <c r="Q446" t="s">
        <v>168</v>
      </c>
      <c r="R446" t="s">
        <v>61</v>
      </c>
      <c r="S446" t="s">
        <v>74</v>
      </c>
      <c r="T446" t="s">
        <v>262</v>
      </c>
      <c r="U446">
        <v>117</v>
      </c>
      <c r="V446">
        <v>269</v>
      </c>
      <c r="W446">
        <v>10</v>
      </c>
      <c r="X446">
        <v>550.32000000000005</v>
      </c>
      <c r="Y446">
        <v>483.03</v>
      </c>
      <c r="Z446">
        <v>1033.3499999999999</v>
      </c>
      <c r="AA446" t="s">
        <v>63</v>
      </c>
      <c r="AB446">
        <v>0</v>
      </c>
      <c r="AC446">
        <v>71.680000000000007</v>
      </c>
      <c r="AD446">
        <v>194</v>
      </c>
      <c r="AE446">
        <v>211</v>
      </c>
    </row>
    <row r="447" spans="1:31" x14ac:dyDescent="0.25">
      <c r="A447" t="s">
        <v>2315</v>
      </c>
      <c r="B447" t="s">
        <v>2316</v>
      </c>
      <c r="C447" s="1">
        <v>44388</v>
      </c>
      <c r="D447" s="1">
        <v>44139</v>
      </c>
      <c r="E447" t="s">
        <v>66</v>
      </c>
      <c r="F447" t="s">
        <v>93</v>
      </c>
      <c r="G447" t="s">
        <v>105</v>
      </c>
      <c r="H447" t="s">
        <v>164</v>
      </c>
      <c r="I447" t="s">
        <v>2317</v>
      </c>
      <c r="J447" t="s">
        <v>38</v>
      </c>
      <c r="K447" t="s">
        <v>97</v>
      </c>
      <c r="L447" t="s">
        <v>981</v>
      </c>
      <c r="M447">
        <v>90.87</v>
      </c>
      <c r="N447">
        <v>76</v>
      </c>
      <c r="O447" t="s">
        <v>1063</v>
      </c>
      <c r="P447" t="s">
        <v>59</v>
      </c>
      <c r="Q447" t="s">
        <v>182</v>
      </c>
      <c r="R447" t="s">
        <v>153</v>
      </c>
      <c r="S447" t="s">
        <v>128</v>
      </c>
      <c r="T447" t="s">
        <v>262</v>
      </c>
      <c r="U447">
        <v>4217</v>
      </c>
      <c r="V447">
        <v>203</v>
      </c>
      <c r="W447">
        <v>22</v>
      </c>
      <c r="X447">
        <v>1764.59</v>
      </c>
      <c r="Y447">
        <v>219.37</v>
      </c>
      <c r="Z447">
        <v>1983.96</v>
      </c>
      <c r="AA447" t="s">
        <v>63</v>
      </c>
      <c r="AB447">
        <v>0</v>
      </c>
      <c r="AC447">
        <v>80.78</v>
      </c>
      <c r="AD447">
        <v>212</v>
      </c>
      <c r="AE447">
        <v>196</v>
      </c>
    </row>
    <row r="448" spans="1:31" x14ac:dyDescent="0.25">
      <c r="A448" t="s">
        <v>2318</v>
      </c>
      <c r="B448" t="s">
        <v>2319</v>
      </c>
      <c r="C448" s="1">
        <v>44422</v>
      </c>
      <c r="D448" s="1">
        <v>43950</v>
      </c>
      <c r="E448" t="s">
        <v>50</v>
      </c>
      <c r="F448" t="s">
        <v>93</v>
      </c>
      <c r="G448" t="s">
        <v>115</v>
      </c>
      <c r="H448" t="s">
        <v>148</v>
      </c>
      <c r="I448" t="s">
        <v>2320</v>
      </c>
      <c r="J448" t="s">
        <v>82</v>
      </c>
      <c r="K448" t="s">
        <v>39</v>
      </c>
      <c r="L448" t="s">
        <v>2321</v>
      </c>
      <c r="M448">
        <v>356.1</v>
      </c>
      <c r="N448">
        <v>86</v>
      </c>
      <c r="O448" t="s">
        <v>2322</v>
      </c>
      <c r="P448" t="s">
        <v>142</v>
      </c>
      <c r="Q448" t="s">
        <v>241</v>
      </c>
      <c r="R448" t="s">
        <v>153</v>
      </c>
      <c r="S448" t="s">
        <v>128</v>
      </c>
      <c r="T448" t="s">
        <v>927</v>
      </c>
      <c r="U448">
        <v>1863</v>
      </c>
      <c r="V448">
        <v>334</v>
      </c>
      <c r="W448">
        <v>4</v>
      </c>
      <c r="X448">
        <v>391.86</v>
      </c>
      <c r="Y448">
        <v>293.14999999999998</v>
      </c>
      <c r="Z448">
        <v>685.01</v>
      </c>
      <c r="AA448" t="s">
        <v>63</v>
      </c>
      <c r="AB448">
        <v>0</v>
      </c>
      <c r="AC448">
        <v>96.05</v>
      </c>
      <c r="AD448">
        <v>325</v>
      </c>
      <c r="AE448">
        <v>351</v>
      </c>
    </row>
    <row r="449" spans="1:31" x14ac:dyDescent="0.25">
      <c r="A449" t="s">
        <v>2323</v>
      </c>
      <c r="B449" t="s">
        <v>2324</v>
      </c>
      <c r="C449" s="1">
        <v>44382</v>
      </c>
      <c r="D449" s="1">
        <v>44064</v>
      </c>
      <c r="E449" t="s">
        <v>66</v>
      </c>
      <c r="F449" t="s">
        <v>51</v>
      </c>
      <c r="G449" t="s">
        <v>94</v>
      </c>
      <c r="H449" t="s">
        <v>68</v>
      </c>
      <c r="I449" t="s">
        <v>2325</v>
      </c>
      <c r="J449" t="s">
        <v>107</v>
      </c>
      <c r="K449" t="s">
        <v>39</v>
      </c>
      <c r="L449" t="s">
        <v>2326</v>
      </c>
      <c r="M449">
        <v>88.98</v>
      </c>
      <c r="N449">
        <v>4</v>
      </c>
      <c r="O449" t="s">
        <v>2327</v>
      </c>
      <c r="P449" t="s">
        <v>42</v>
      </c>
      <c r="Q449" t="s">
        <v>135</v>
      </c>
      <c r="R449" t="s">
        <v>61</v>
      </c>
      <c r="S449" t="s">
        <v>74</v>
      </c>
      <c r="T449" t="s">
        <v>62</v>
      </c>
      <c r="U449">
        <v>2205</v>
      </c>
      <c r="V449">
        <v>417</v>
      </c>
      <c r="W449">
        <v>2</v>
      </c>
      <c r="X449">
        <v>1767.47</v>
      </c>
      <c r="Y449">
        <v>442.56</v>
      </c>
      <c r="Z449">
        <v>2210.0300000000002</v>
      </c>
      <c r="AA449" t="s">
        <v>63</v>
      </c>
      <c r="AB449">
        <v>0</v>
      </c>
      <c r="AC449">
        <v>73.16</v>
      </c>
      <c r="AD449">
        <v>154</v>
      </c>
      <c r="AE449">
        <v>174</v>
      </c>
    </row>
    <row r="450" spans="1:31" x14ac:dyDescent="0.25">
      <c r="A450" t="s">
        <v>2328</v>
      </c>
      <c r="B450" t="s">
        <v>2329</v>
      </c>
      <c r="C450" s="1">
        <v>44034</v>
      </c>
      <c r="D450" s="1">
        <v>45373</v>
      </c>
      <c r="E450" t="s">
        <v>50</v>
      </c>
      <c r="F450" t="s">
        <v>51</v>
      </c>
      <c r="G450" t="s">
        <v>79</v>
      </c>
      <c r="H450" t="s">
        <v>164</v>
      </c>
      <c r="I450" t="s">
        <v>2330</v>
      </c>
      <c r="J450" t="s">
        <v>96</v>
      </c>
      <c r="K450" t="s">
        <v>70</v>
      </c>
      <c r="L450" t="s">
        <v>2331</v>
      </c>
      <c r="M450">
        <v>382.27</v>
      </c>
      <c r="N450">
        <v>13</v>
      </c>
      <c r="O450" t="s">
        <v>2332</v>
      </c>
      <c r="P450" t="s">
        <v>142</v>
      </c>
      <c r="Q450" t="s">
        <v>706</v>
      </c>
      <c r="R450" t="s">
        <v>153</v>
      </c>
      <c r="S450" t="s">
        <v>45</v>
      </c>
      <c r="T450" t="s">
        <v>215</v>
      </c>
      <c r="U450">
        <v>2698</v>
      </c>
      <c r="V450">
        <v>179</v>
      </c>
      <c r="W450">
        <v>25</v>
      </c>
      <c r="X450">
        <v>1123.8699999999999</v>
      </c>
      <c r="Y450">
        <v>236.73</v>
      </c>
      <c r="Z450">
        <v>1360.6</v>
      </c>
      <c r="AA450" t="s">
        <v>63</v>
      </c>
      <c r="AB450">
        <v>0</v>
      </c>
      <c r="AC450">
        <v>87.6</v>
      </c>
      <c r="AD450">
        <v>306</v>
      </c>
      <c r="AE450">
        <v>344</v>
      </c>
    </row>
    <row r="451" spans="1:31" x14ac:dyDescent="0.25">
      <c r="A451" t="s">
        <v>2333</v>
      </c>
      <c r="B451" t="s">
        <v>2077</v>
      </c>
      <c r="C451" s="1">
        <v>45096</v>
      </c>
      <c r="D451" s="1">
        <v>44348</v>
      </c>
      <c r="E451" t="s">
        <v>66</v>
      </c>
      <c r="F451" t="s">
        <v>34</v>
      </c>
      <c r="G451" t="s">
        <v>35</v>
      </c>
      <c r="H451" t="s">
        <v>148</v>
      </c>
      <c r="I451" t="s">
        <v>2334</v>
      </c>
      <c r="J451" t="s">
        <v>82</v>
      </c>
      <c r="K451" t="s">
        <v>70</v>
      </c>
      <c r="L451" t="s">
        <v>2335</v>
      </c>
      <c r="M451">
        <v>379.41</v>
      </c>
      <c r="N451">
        <v>25</v>
      </c>
      <c r="O451" t="s">
        <v>2336</v>
      </c>
      <c r="P451" t="s">
        <v>110</v>
      </c>
      <c r="Q451" t="s">
        <v>241</v>
      </c>
      <c r="R451" t="s">
        <v>44</v>
      </c>
      <c r="S451" t="s">
        <v>74</v>
      </c>
      <c r="T451" t="s">
        <v>933</v>
      </c>
      <c r="U451">
        <v>3470</v>
      </c>
      <c r="V451">
        <v>255</v>
      </c>
      <c r="W451">
        <v>13</v>
      </c>
      <c r="X451">
        <v>475.97</v>
      </c>
      <c r="Y451">
        <v>50.48</v>
      </c>
      <c r="Z451">
        <v>526.45000000000005</v>
      </c>
      <c r="AA451" t="s">
        <v>63</v>
      </c>
      <c r="AB451">
        <v>0</v>
      </c>
      <c r="AC451">
        <v>88.84</v>
      </c>
      <c r="AD451">
        <v>123</v>
      </c>
      <c r="AE451">
        <v>172</v>
      </c>
    </row>
    <row r="452" spans="1:31" x14ac:dyDescent="0.25">
      <c r="A452" t="s">
        <v>2337</v>
      </c>
      <c r="B452" t="s">
        <v>2338</v>
      </c>
      <c r="C452" s="1">
        <v>44661</v>
      </c>
      <c r="D452" s="1">
        <v>44882</v>
      </c>
      <c r="E452" t="s">
        <v>66</v>
      </c>
      <c r="F452" t="s">
        <v>51</v>
      </c>
      <c r="G452" t="s">
        <v>35</v>
      </c>
      <c r="H452" t="s">
        <v>148</v>
      </c>
      <c r="I452" t="s">
        <v>2339</v>
      </c>
      <c r="J452" t="s">
        <v>38</v>
      </c>
      <c r="K452" t="s">
        <v>56</v>
      </c>
      <c r="L452" t="s">
        <v>2340</v>
      </c>
      <c r="M452">
        <v>165.68</v>
      </c>
      <c r="N452">
        <v>40</v>
      </c>
      <c r="O452" t="s">
        <v>2341</v>
      </c>
      <c r="P452" t="s">
        <v>142</v>
      </c>
      <c r="Q452" t="s">
        <v>160</v>
      </c>
      <c r="R452" t="s">
        <v>61</v>
      </c>
      <c r="S452" t="s">
        <v>128</v>
      </c>
      <c r="T452" t="s">
        <v>235</v>
      </c>
      <c r="U452">
        <v>1200</v>
      </c>
      <c r="V452">
        <v>300</v>
      </c>
      <c r="W452">
        <v>10</v>
      </c>
      <c r="X452">
        <v>147.66999999999999</v>
      </c>
      <c r="Y452">
        <v>184.84</v>
      </c>
      <c r="Z452">
        <v>332.51</v>
      </c>
      <c r="AA452" t="s">
        <v>63</v>
      </c>
      <c r="AB452">
        <v>0</v>
      </c>
      <c r="AC452">
        <v>79.95</v>
      </c>
      <c r="AD452">
        <v>136</v>
      </c>
      <c r="AE452">
        <v>123</v>
      </c>
    </row>
    <row r="453" spans="1:31" x14ac:dyDescent="0.25">
      <c r="A453" t="s">
        <v>2342</v>
      </c>
      <c r="B453" t="s">
        <v>2343</v>
      </c>
      <c r="C453" s="1">
        <v>43977</v>
      </c>
      <c r="D453" s="1">
        <v>44340</v>
      </c>
      <c r="E453" t="s">
        <v>66</v>
      </c>
      <c r="F453" t="s">
        <v>34</v>
      </c>
      <c r="G453" t="s">
        <v>105</v>
      </c>
      <c r="H453" t="s">
        <v>148</v>
      </c>
      <c r="I453" t="s">
        <v>2344</v>
      </c>
      <c r="J453" t="s">
        <v>55</v>
      </c>
      <c r="K453" t="s">
        <v>97</v>
      </c>
      <c r="L453" t="s">
        <v>2345</v>
      </c>
      <c r="M453">
        <v>274.97000000000003</v>
      </c>
      <c r="N453">
        <v>54</v>
      </c>
      <c r="O453" t="s">
        <v>2346</v>
      </c>
      <c r="P453" t="s">
        <v>59</v>
      </c>
      <c r="Q453" t="s">
        <v>175</v>
      </c>
      <c r="R453" t="s">
        <v>44</v>
      </c>
      <c r="S453" t="s">
        <v>101</v>
      </c>
      <c r="T453" t="s">
        <v>190</v>
      </c>
      <c r="U453">
        <v>2363</v>
      </c>
      <c r="V453">
        <v>223</v>
      </c>
      <c r="W453">
        <v>6</v>
      </c>
      <c r="X453">
        <v>1583.42</v>
      </c>
      <c r="Y453">
        <v>75.45</v>
      </c>
      <c r="Z453">
        <v>1658.87</v>
      </c>
      <c r="AA453" t="s">
        <v>63</v>
      </c>
      <c r="AB453">
        <v>0</v>
      </c>
      <c r="AC453">
        <v>90.75</v>
      </c>
      <c r="AD453">
        <v>90</v>
      </c>
      <c r="AE453">
        <v>105</v>
      </c>
    </row>
    <row r="454" spans="1:31" x14ac:dyDescent="0.25">
      <c r="A454" t="s">
        <v>2347</v>
      </c>
      <c r="B454" t="s">
        <v>2348</v>
      </c>
      <c r="C454" s="1">
        <v>45650</v>
      </c>
      <c r="D454" s="1">
        <v>44626</v>
      </c>
      <c r="E454" t="s">
        <v>50</v>
      </c>
      <c r="F454" t="s">
        <v>34</v>
      </c>
      <c r="G454" t="s">
        <v>52</v>
      </c>
      <c r="H454" t="s">
        <v>218</v>
      </c>
      <c r="I454" t="s">
        <v>2349</v>
      </c>
      <c r="J454" t="s">
        <v>55</v>
      </c>
      <c r="K454" t="s">
        <v>83</v>
      </c>
      <c r="L454" t="s">
        <v>1949</v>
      </c>
      <c r="M454">
        <v>364.98</v>
      </c>
      <c r="N454">
        <v>71</v>
      </c>
      <c r="O454" t="s">
        <v>1941</v>
      </c>
      <c r="P454" t="s">
        <v>59</v>
      </c>
      <c r="Q454" t="s">
        <v>455</v>
      </c>
      <c r="R454" t="s">
        <v>153</v>
      </c>
      <c r="S454" t="s">
        <v>89</v>
      </c>
      <c r="T454" t="s">
        <v>291</v>
      </c>
      <c r="U454">
        <v>4791</v>
      </c>
      <c r="V454">
        <v>222</v>
      </c>
      <c r="W454">
        <v>14</v>
      </c>
      <c r="X454">
        <v>1539.59</v>
      </c>
      <c r="Y454">
        <v>247.08</v>
      </c>
      <c r="Z454">
        <v>1786.67</v>
      </c>
      <c r="AA454" t="s">
        <v>63</v>
      </c>
      <c r="AB454">
        <v>0</v>
      </c>
      <c r="AC454">
        <v>73.290000000000006</v>
      </c>
      <c r="AD454">
        <v>465</v>
      </c>
      <c r="AE454">
        <v>482</v>
      </c>
    </row>
    <row r="455" spans="1:31" x14ac:dyDescent="0.25">
      <c r="A455" t="s">
        <v>2350</v>
      </c>
      <c r="B455" t="s">
        <v>2351</v>
      </c>
      <c r="C455" s="1">
        <v>45421</v>
      </c>
      <c r="D455" s="1">
        <v>44219</v>
      </c>
      <c r="E455" t="s">
        <v>66</v>
      </c>
      <c r="F455" t="s">
        <v>34</v>
      </c>
      <c r="G455" t="s">
        <v>337</v>
      </c>
      <c r="H455" t="s">
        <v>68</v>
      </c>
      <c r="I455" t="s">
        <v>2352</v>
      </c>
      <c r="J455" t="s">
        <v>38</v>
      </c>
      <c r="K455" t="s">
        <v>56</v>
      </c>
      <c r="L455" t="s">
        <v>2353</v>
      </c>
      <c r="M455">
        <v>468.9</v>
      </c>
      <c r="N455">
        <v>33</v>
      </c>
      <c r="O455" t="s">
        <v>1002</v>
      </c>
      <c r="P455" t="s">
        <v>86</v>
      </c>
      <c r="Q455" t="s">
        <v>43</v>
      </c>
      <c r="R455" t="s">
        <v>44</v>
      </c>
      <c r="S455" t="s">
        <v>101</v>
      </c>
      <c r="T455" t="s">
        <v>215</v>
      </c>
      <c r="U455">
        <v>3365</v>
      </c>
      <c r="V455">
        <v>187</v>
      </c>
      <c r="W455">
        <v>11</v>
      </c>
      <c r="X455">
        <v>200</v>
      </c>
      <c r="Y455">
        <v>364.64</v>
      </c>
      <c r="Z455">
        <v>564.64</v>
      </c>
      <c r="AA455" t="s">
        <v>63</v>
      </c>
      <c r="AB455">
        <v>0</v>
      </c>
      <c r="AC455">
        <v>89.54</v>
      </c>
      <c r="AD455">
        <v>318</v>
      </c>
      <c r="AE455">
        <v>311</v>
      </c>
    </row>
    <row r="456" spans="1:31" x14ac:dyDescent="0.25">
      <c r="A456" t="s">
        <v>2354</v>
      </c>
      <c r="B456" t="s">
        <v>2355</v>
      </c>
      <c r="C456" s="1">
        <v>44452</v>
      </c>
      <c r="D456" s="1">
        <v>44800</v>
      </c>
      <c r="E456" t="s">
        <v>66</v>
      </c>
      <c r="F456" t="s">
        <v>34</v>
      </c>
      <c r="G456" t="s">
        <v>94</v>
      </c>
      <c r="H456" t="s">
        <v>36</v>
      </c>
      <c r="I456" t="s">
        <v>2356</v>
      </c>
      <c r="J456" t="s">
        <v>55</v>
      </c>
      <c r="K456" t="s">
        <v>56</v>
      </c>
      <c r="L456" t="s">
        <v>2357</v>
      </c>
      <c r="M456">
        <v>22.99</v>
      </c>
      <c r="N456">
        <v>39</v>
      </c>
      <c r="O456" t="s">
        <v>2358</v>
      </c>
      <c r="P456" t="s">
        <v>42</v>
      </c>
      <c r="Q456" t="s">
        <v>541</v>
      </c>
      <c r="R456" t="s">
        <v>61</v>
      </c>
      <c r="S456" t="s">
        <v>89</v>
      </c>
      <c r="T456" t="s">
        <v>161</v>
      </c>
      <c r="U456">
        <v>1154</v>
      </c>
      <c r="V456">
        <v>210</v>
      </c>
      <c r="W456">
        <v>17</v>
      </c>
      <c r="X456">
        <v>163.24</v>
      </c>
      <c r="Y456">
        <v>63.71</v>
      </c>
      <c r="Z456">
        <v>226.95</v>
      </c>
      <c r="AA456" t="s">
        <v>63</v>
      </c>
      <c r="AB456">
        <v>0</v>
      </c>
      <c r="AC456">
        <v>85.86</v>
      </c>
      <c r="AD456">
        <v>198</v>
      </c>
      <c r="AE456">
        <v>183</v>
      </c>
    </row>
    <row r="457" spans="1:31" x14ac:dyDescent="0.25">
      <c r="A457" t="s">
        <v>2359</v>
      </c>
      <c r="B457" t="s">
        <v>2360</v>
      </c>
      <c r="C457" s="1">
        <v>43849</v>
      </c>
      <c r="D457" s="1">
        <v>43852</v>
      </c>
      <c r="E457" t="s">
        <v>66</v>
      </c>
      <c r="F457" t="s">
        <v>93</v>
      </c>
      <c r="G457" t="s">
        <v>52</v>
      </c>
      <c r="H457" t="s">
        <v>148</v>
      </c>
      <c r="I457" t="s">
        <v>2361</v>
      </c>
      <c r="J457" t="s">
        <v>107</v>
      </c>
      <c r="K457" t="s">
        <v>70</v>
      </c>
      <c r="L457" t="s">
        <v>1637</v>
      </c>
      <c r="M457">
        <v>356.3</v>
      </c>
      <c r="N457">
        <v>22</v>
      </c>
      <c r="O457" t="s">
        <v>2362</v>
      </c>
      <c r="P457" t="s">
        <v>86</v>
      </c>
      <c r="Q457" t="s">
        <v>706</v>
      </c>
      <c r="R457" t="s">
        <v>61</v>
      </c>
      <c r="S457" t="s">
        <v>89</v>
      </c>
      <c r="T457" t="s">
        <v>279</v>
      </c>
      <c r="U457">
        <v>1829</v>
      </c>
      <c r="V457">
        <v>211</v>
      </c>
      <c r="W457">
        <v>26</v>
      </c>
      <c r="X457">
        <v>1418.21</v>
      </c>
      <c r="Y457">
        <v>447.3</v>
      </c>
      <c r="Z457">
        <v>1865.51</v>
      </c>
      <c r="AA457" t="s">
        <v>63</v>
      </c>
      <c r="AB457">
        <v>0</v>
      </c>
      <c r="AC457">
        <v>89.62</v>
      </c>
      <c r="AD457">
        <v>444</v>
      </c>
      <c r="AE457">
        <v>472</v>
      </c>
    </row>
    <row r="458" spans="1:31" x14ac:dyDescent="0.25">
      <c r="A458" t="s">
        <v>2363</v>
      </c>
      <c r="B458" t="s">
        <v>2364</v>
      </c>
      <c r="C458" s="1">
        <v>45406</v>
      </c>
      <c r="D458" s="1">
        <v>45071</v>
      </c>
      <c r="E458" t="s">
        <v>66</v>
      </c>
      <c r="F458" t="s">
        <v>78</v>
      </c>
      <c r="G458" t="s">
        <v>52</v>
      </c>
      <c r="H458" t="s">
        <v>218</v>
      </c>
      <c r="I458" t="s">
        <v>2365</v>
      </c>
      <c r="J458" t="s">
        <v>55</v>
      </c>
      <c r="K458" t="s">
        <v>97</v>
      </c>
      <c r="L458" t="s">
        <v>2366</v>
      </c>
      <c r="M458">
        <v>385.67</v>
      </c>
      <c r="N458">
        <v>53</v>
      </c>
      <c r="O458" t="s">
        <v>1163</v>
      </c>
      <c r="P458" t="s">
        <v>59</v>
      </c>
      <c r="Q458" t="s">
        <v>202</v>
      </c>
      <c r="R458" t="s">
        <v>153</v>
      </c>
      <c r="S458" t="s">
        <v>101</v>
      </c>
      <c r="T458" t="s">
        <v>190</v>
      </c>
      <c r="U458">
        <v>3164</v>
      </c>
      <c r="V458">
        <v>455</v>
      </c>
      <c r="W458">
        <v>7</v>
      </c>
      <c r="X458">
        <v>1033.48</v>
      </c>
      <c r="Y458">
        <v>33.21</v>
      </c>
      <c r="Z458">
        <v>1066.69</v>
      </c>
      <c r="AA458" t="s">
        <v>63</v>
      </c>
      <c r="AB458">
        <v>0</v>
      </c>
      <c r="AC458">
        <v>93.13</v>
      </c>
      <c r="AD458">
        <v>240</v>
      </c>
      <c r="AE458">
        <v>242</v>
      </c>
    </row>
    <row r="459" spans="1:31" x14ac:dyDescent="0.25">
      <c r="A459" t="s">
        <v>2367</v>
      </c>
      <c r="B459" t="s">
        <v>2368</v>
      </c>
      <c r="C459" s="1">
        <v>43894</v>
      </c>
      <c r="D459" s="1">
        <v>43905</v>
      </c>
      <c r="E459" t="s">
        <v>66</v>
      </c>
      <c r="F459" t="s">
        <v>93</v>
      </c>
      <c r="G459" t="s">
        <v>79</v>
      </c>
      <c r="H459" t="s">
        <v>53</v>
      </c>
      <c r="I459" t="s">
        <v>2369</v>
      </c>
      <c r="J459" t="s">
        <v>107</v>
      </c>
      <c r="K459" t="s">
        <v>39</v>
      </c>
      <c r="L459" t="s">
        <v>2370</v>
      </c>
      <c r="M459">
        <v>352.88</v>
      </c>
      <c r="N459">
        <v>92</v>
      </c>
      <c r="O459" t="s">
        <v>2371</v>
      </c>
      <c r="P459" t="s">
        <v>86</v>
      </c>
      <c r="Q459" t="s">
        <v>214</v>
      </c>
      <c r="R459" t="s">
        <v>61</v>
      </c>
      <c r="S459" t="s">
        <v>89</v>
      </c>
      <c r="T459" t="s">
        <v>673</v>
      </c>
      <c r="U459">
        <v>3445</v>
      </c>
      <c r="V459">
        <v>245</v>
      </c>
      <c r="W459">
        <v>22</v>
      </c>
      <c r="X459">
        <v>1524.73</v>
      </c>
      <c r="Y459">
        <v>27.47</v>
      </c>
      <c r="Z459">
        <v>1552.2</v>
      </c>
      <c r="AA459" t="s">
        <v>63</v>
      </c>
      <c r="AB459">
        <v>0</v>
      </c>
      <c r="AC459">
        <v>86.44</v>
      </c>
      <c r="AD459">
        <v>233</v>
      </c>
      <c r="AE459">
        <v>262</v>
      </c>
    </row>
    <row r="460" spans="1:31" x14ac:dyDescent="0.25">
      <c r="A460" t="s">
        <v>2372</v>
      </c>
      <c r="B460" t="s">
        <v>2373</v>
      </c>
      <c r="C460" s="1">
        <v>45595</v>
      </c>
      <c r="D460" s="1">
        <v>44588</v>
      </c>
      <c r="E460" t="s">
        <v>66</v>
      </c>
      <c r="F460" t="s">
        <v>93</v>
      </c>
      <c r="G460" t="s">
        <v>52</v>
      </c>
      <c r="H460" t="s">
        <v>218</v>
      </c>
      <c r="I460" t="s">
        <v>2374</v>
      </c>
      <c r="J460" t="s">
        <v>96</v>
      </c>
      <c r="K460" t="s">
        <v>70</v>
      </c>
      <c r="L460" t="s">
        <v>2375</v>
      </c>
      <c r="M460">
        <v>28.87</v>
      </c>
      <c r="N460">
        <v>45</v>
      </c>
      <c r="O460" t="s">
        <v>2376</v>
      </c>
      <c r="P460" t="s">
        <v>59</v>
      </c>
      <c r="Q460" t="s">
        <v>706</v>
      </c>
      <c r="R460" t="s">
        <v>88</v>
      </c>
      <c r="S460" t="s">
        <v>45</v>
      </c>
      <c r="T460" t="s">
        <v>927</v>
      </c>
      <c r="U460">
        <v>1804</v>
      </c>
      <c r="V460">
        <v>420</v>
      </c>
      <c r="W460">
        <v>12</v>
      </c>
      <c r="X460">
        <v>131.74</v>
      </c>
      <c r="Y460">
        <v>499.23</v>
      </c>
      <c r="Z460">
        <v>630.97</v>
      </c>
      <c r="AA460" t="s">
        <v>63</v>
      </c>
      <c r="AB460">
        <v>0</v>
      </c>
      <c r="AC460">
        <v>85.88</v>
      </c>
      <c r="AD460">
        <v>185</v>
      </c>
      <c r="AE460">
        <v>166</v>
      </c>
    </row>
    <row r="461" spans="1:31" x14ac:dyDescent="0.25">
      <c r="A461" t="s">
        <v>2377</v>
      </c>
      <c r="B461" t="s">
        <v>2378</v>
      </c>
      <c r="C461" s="1">
        <v>44485</v>
      </c>
      <c r="D461" s="1">
        <v>45296</v>
      </c>
      <c r="E461" t="s">
        <v>50</v>
      </c>
      <c r="F461" t="s">
        <v>34</v>
      </c>
      <c r="G461" t="s">
        <v>115</v>
      </c>
      <c r="H461" t="s">
        <v>53</v>
      </c>
      <c r="I461" t="s">
        <v>2379</v>
      </c>
      <c r="J461" t="s">
        <v>82</v>
      </c>
      <c r="K461" t="s">
        <v>83</v>
      </c>
      <c r="L461" t="s">
        <v>943</v>
      </c>
      <c r="M461">
        <v>365.85</v>
      </c>
      <c r="N461">
        <v>16</v>
      </c>
      <c r="O461" t="s">
        <v>1364</v>
      </c>
      <c r="P461" t="s">
        <v>86</v>
      </c>
      <c r="Q461" t="s">
        <v>558</v>
      </c>
      <c r="R461" t="s">
        <v>88</v>
      </c>
      <c r="S461" t="s">
        <v>45</v>
      </c>
      <c r="T461" t="s">
        <v>222</v>
      </c>
      <c r="U461">
        <v>2743</v>
      </c>
      <c r="V461">
        <v>257</v>
      </c>
      <c r="W461">
        <v>2</v>
      </c>
      <c r="X461">
        <v>1019.36</v>
      </c>
      <c r="Y461">
        <v>302.61</v>
      </c>
      <c r="Z461">
        <v>1321.97</v>
      </c>
      <c r="AA461" t="s">
        <v>63</v>
      </c>
      <c r="AB461">
        <v>0</v>
      </c>
      <c r="AC461">
        <v>83</v>
      </c>
      <c r="AD461">
        <v>475</v>
      </c>
      <c r="AE461">
        <v>494</v>
      </c>
    </row>
    <row r="462" spans="1:31" x14ac:dyDescent="0.25">
      <c r="A462" t="s">
        <v>2380</v>
      </c>
      <c r="B462" t="s">
        <v>2381</v>
      </c>
      <c r="C462" s="1">
        <v>44047</v>
      </c>
      <c r="D462" s="1">
        <v>44422</v>
      </c>
      <c r="E462" t="s">
        <v>50</v>
      </c>
      <c r="F462" t="s">
        <v>34</v>
      </c>
      <c r="G462" t="s">
        <v>337</v>
      </c>
      <c r="H462" t="s">
        <v>36</v>
      </c>
      <c r="I462" t="s">
        <v>2382</v>
      </c>
      <c r="J462" t="s">
        <v>96</v>
      </c>
      <c r="K462" t="s">
        <v>70</v>
      </c>
      <c r="L462" t="s">
        <v>2383</v>
      </c>
      <c r="M462">
        <v>164.81</v>
      </c>
      <c r="N462">
        <v>87</v>
      </c>
      <c r="O462" t="s">
        <v>1203</v>
      </c>
      <c r="P462" t="s">
        <v>86</v>
      </c>
      <c r="Q462" t="s">
        <v>364</v>
      </c>
      <c r="R462" t="s">
        <v>153</v>
      </c>
      <c r="S462" t="s">
        <v>128</v>
      </c>
      <c r="T462" t="s">
        <v>933</v>
      </c>
      <c r="U462">
        <v>1779</v>
      </c>
      <c r="V462">
        <v>247</v>
      </c>
      <c r="W462">
        <v>27</v>
      </c>
      <c r="X462">
        <v>758.97</v>
      </c>
      <c r="Y462">
        <v>92.51</v>
      </c>
      <c r="Z462">
        <v>851.48</v>
      </c>
      <c r="AA462" t="s">
        <v>63</v>
      </c>
      <c r="AB462">
        <v>0</v>
      </c>
      <c r="AC462">
        <v>77.430000000000007</v>
      </c>
      <c r="AD462">
        <v>170</v>
      </c>
      <c r="AE462">
        <v>205</v>
      </c>
    </row>
    <row r="463" spans="1:31" x14ac:dyDescent="0.25">
      <c r="A463" t="s">
        <v>2384</v>
      </c>
      <c r="B463" t="s">
        <v>2385</v>
      </c>
      <c r="C463" s="1">
        <v>45112</v>
      </c>
      <c r="D463" s="1">
        <v>43999</v>
      </c>
      <c r="E463" t="s">
        <v>33</v>
      </c>
      <c r="F463" t="s">
        <v>78</v>
      </c>
      <c r="G463" t="s">
        <v>79</v>
      </c>
      <c r="H463" t="s">
        <v>164</v>
      </c>
      <c r="I463" t="s">
        <v>2386</v>
      </c>
      <c r="J463" t="s">
        <v>107</v>
      </c>
      <c r="K463" t="s">
        <v>56</v>
      </c>
      <c r="L463" t="s">
        <v>2387</v>
      </c>
      <c r="M463">
        <v>126.16</v>
      </c>
      <c r="N463">
        <v>16</v>
      </c>
      <c r="O463" t="s">
        <v>2288</v>
      </c>
      <c r="P463" t="s">
        <v>142</v>
      </c>
      <c r="Q463" t="s">
        <v>214</v>
      </c>
      <c r="R463" t="s">
        <v>88</v>
      </c>
      <c r="S463" t="s">
        <v>128</v>
      </c>
      <c r="T463" t="s">
        <v>255</v>
      </c>
      <c r="U463">
        <v>188</v>
      </c>
      <c r="V463">
        <v>143</v>
      </c>
      <c r="W463">
        <v>29</v>
      </c>
      <c r="X463">
        <v>266.73</v>
      </c>
      <c r="Y463">
        <v>109.13</v>
      </c>
      <c r="Z463">
        <v>375.86</v>
      </c>
      <c r="AA463" t="s">
        <v>63</v>
      </c>
      <c r="AB463">
        <v>0</v>
      </c>
      <c r="AC463">
        <v>95.62</v>
      </c>
      <c r="AD463">
        <v>133</v>
      </c>
      <c r="AE463">
        <v>131</v>
      </c>
    </row>
    <row r="464" spans="1:31" x14ac:dyDescent="0.25">
      <c r="A464" t="s">
        <v>2388</v>
      </c>
      <c r="B464" t="s">
        <v>2389</v>
      </c>
      <c r="C464" s="1">
        <v>45436</v>
      </c>
      <c r="D464" s="1">
        <v>44155</v>
      </c>
      <c r="E464" t="s">
        <v>66</v>
      </c>
      <c r="F464" t="s">
        <v>93</v>
      </c>
      <c r="G464" t="s">
        <v>67</v>
      </c>
      <c r="H464" t="s">
        <v>116</v>
      </c>
      <c r="I464" t="s">
        <v>2390</v>
      </c>
      <c r="J464" t="s">
        <v>96</v>
      </c>
      <c r="K464" t="s">
        <v>83</v>
      </c>
      <c r="L464" t="s">
        <v>2391</v>
      </c>
      <c r="M464">
        <v>315.12</v>
      </c>
      <c r="N464">
        <v>83</v>
      </c>
      <c r="O464" t="s">
        <v>775</v>
      </c>
      <c r="P464" t="s">
        <v>110</v>
      </c>
      <c r="Q464" t="s">
        <v>73</v>
      </c>
      <c r="R464" t="s">
        <v>61</v>
      </c>
      <c r="S464" t="s">
        <v>74</v>
      </c>
      <c r="T464" t="s">
        <v>136</v>
      </c>
      <c r="U464">
        <v>4320</v>
      </c>
      <c r="V464">
        <v>470</v>
      </c>
      <c r="W464">
        <v>28</v>
      </c>
      <c r="X464">
        <v>642.91999999999996</v>
      </c>
      <c r="Y464">
        <v>393.76</v>
      </c>
      <c r="Z464">
        <v>1036.68</v>
      </c>
      <c r="AA464" t="s">
        <v>63</v>
      </c>
      <c r="AB464">
        <v>0</v>
      </c>
      <c r="AC464">
        <v>82.4</v>
      </c>
      <c r="AD464">
        <v>318</v>
      </c>
      <c r="AE464">
        <v>324</v>
      </c>
    </row>
    <row r="465" spans="1:31" x14ac:dyDescent="0.25">
      <c r="A465" t="s">
        <v>2392</v>
      </c>
      <c r="B465" t="s">
        <v>2393</v>
      </c>
      <c r="C465" s="1">
        <v>44043</v>
      </c>
      <c r="D465" s="1">
        <v>45098</v>
      </c>
      <c r="E465" t="s">
        <v>66</v>
      </c>
      <c r="F465" t="s">
        <v>34</v>
      </c>
      <c r="G465" t="s">
        <v>94</v>
      </c>
      <c r="H465" t="s">
        <v>80</v>
      </c>
      <c r="I465" t="s">
        <v>2394</v>
      </c>
      <c r="J465" t="s">
        <v>107</v>
      </c>
      <c r="K465" t="s">
        <v>56</v>
      </c>
      <c r="L465" t="s">
        <v>2395</v>
      </c>
      <c r="M465">
        <v>286.8</v>
      </c>
      <c r="N465">
        <v>8</v>
      </c>
      <c r="O465" t="s">
        <v>2396</v>
      </c>
      <c r="P465" t="s">
        <v>110</v>
      </c>
      <c r="Q465" t="s">
        <v>290</v>
      </c>
      <c r="R465" t="s">
        <v>153</v>
      </c>
      <c r="S465" t="s">
        <v>74</v>
      </c>
      <c r="T465" t="s">
        <v>422</v>
      </c>
      <c r="U465">
        <v>3510</v>
      </c>
      <c r="V465">
        <v>68</v>
      </c>
      <c r="W465">
        <v>2</v>
      </c>
      <c r="X465">
        <v>1195.74</v>
      </c>
      <c r="Y465">
        <v>226.59</v>
      </c>
      <c r="Z465">
        <v>1422.33</v>
      </c>
      <c r="AA465" t="s">
        <v>63</v>
      </c>
      <c r="AB465">
        <v>0</v>
      </c>
      <c r="AC465">
        <v>91.35</v>
      </c>
      <c r="AD465">
        <v>477</v>
      </c>
      <c r="AE465">
        <v>466</v>
      </c>
    </row>
    <row r="466" spans="1:31" x14ac:dyDescent="0.25">
      <c r="A466" t="s">
        <v>2397</v>
      </c>
      <c r="B466" t="s">
        <v>2398</v>
      </c>
      <c r="C466" s="1">
        <v>44649</v>
      </c>
      <c r="D466" s="1">
        <v>45575</v>
      </c>
      <c r="E466" t="s">
        <v>33</v>
      </c>
      <c r="F466" t="s">
        <v>93</v>
      </c>
      <c r="G466" t="s">
        <v>115</v>
      </c>
      <c r="H466" t="s">
        <v>218</v>
      </c>
      <c r="I466" t="s">
        <v>2399</v>
      </c>
      <c r="J466" t="s">
        <v>55</v>
      </c>
      <c r="K466" t="s">
        <v>97</v>
      </c>
      <c r="L466" t="s">
        <v>2400</v>
      </c>
      <c r="M466">
        <v>179.15</v>
      </c>
      <c r="N466">
        <v>99</v>
      </c>
      <c r="O466" t="s">
        <v>683</v>
      </c>
      <c r="P466" t="s">
        <v>110</v>
      </c>
      <c r="Q466" t="s">
        <v>371</v>
      </c>
      <c r="R466" t="s">
        <v>88</v>
      </c>
      <c r="S466" t="s">
        <v>45</v>
      </c>
      <c r="T466" t="s">
        <v>136</v>
      </c>
      <c r="U466">
        <v>4548</v>
      </c>
      <c r="V466">
        <v>404</v>
      </c>
      <c r="W466">
        <v>5</v>
      </c>
      <c r="X466">
        <v>1875.03</v>
      </c>
      <c r="Y466">
        <v>476.77</v>
      </c>
      <c r="Z466">
        <v>2351.8000000000002</v>
      </c>
      <c r="AA466" t="s">
        <v>63</v>
      </c>
      <c r="AB466">
        <v>0</v>
      </c>
      <c r="AC466">
        <v>85.82</v>
      </c>
      <c r="AD466">
        <v>408</v>
      </c>
      <c r="AE466">
        <v>407</v>
      </c>
    </row>
    <row r="467" spans="1:31" x14ac:dyDescent="0.25">
      <c r="A467" t="s">
        <v>2401</v>
      </c>
      <c r="B467" t="s">
        <v>2402</v>
      </c>
      <c r="C467" s="1">
        <v>45337</v>
      </c>
      <c r="D467" s="1">
        <v>45063</v>
      </c>
      <c r="E467" t="s">
        <v>50</v>
      </c>
      <c r="F467" t="s">
        <v>93</v>
      </c>
      <c r="G467" t="s">
        <v>35</v>
      </c>
      <c r="H467" t="s">
        <v>53</v>
      </c>
      <c r="I467" t="s">
        <v>2403</v>
      </c>
      <c r="J467" t="s">
        <v>82</v>
      </c>
      <c r="K467" t="s">
        <v>70</v>
      </c>
      <c r="L467" t="s">
        <v>2404</v>
      </c>
      <c r="M467">
        <v>331.51</v>
      </c>
      <c r="N467">
        <v>57</v>
      </c>
      <c r="O467" t="s">
        <v>2405</v>
      </c>
      <c r="P467" t="s">
        <v>59</v>
      </c>
      <c r="Q467" t="s">
        <v>997</v>
      </c>
      <c r="R467" t="s">
        <v>44</v>
      </c>
      <c r="S467" t="s">
        <v>101</v>
      </c>
      <c r="T467" t="s">
        <v>933</v>
      </c>
      <c r="U467">
        <v>949</v>
      </c>
      <c r="V467">
        <v>436</v>
      </c>
      <c r="W467">
        <v>14</v>
      </c>
      <c r="X467">
        <v>1670.01</v>
      </c>
      <c r="Y467">
        <v>192.58</v>
      </c>
      <c r="Z467">
        <v>1862.59</v>
      </c>
      <c r="AA467" t="s">
        <v>63</v>
      </c>
      <c r="AB467">
        <v>0</v>
      </c>
      <c r="AC467">
        <v>81.709999999999994</v>
      </c>
      <c r="AD467">
        <v>220</v>
      </c>
      <c r="AE467">
        <v>229</v>
      </c>
    </row>
    <row r="468" spans="1:31" x14ac:dyDescent="0.25">
      <c r="A468" t="s">
        <v>2406</v>
      </c>
      <c r="B468" t="s">
        <v>2407</v>
      </c>
      <c r="C468" s="1">
        <v>44301</v>
      </c>
      <c r="D468" s="1">
        <v>45156</v>
      </c>
      <c r="E468" t="s">
        <v>66</v>
      </c>
      <c r="F468" t="s">
        <v>78</v>
      </c>
      <c r="G468" t="s">
        <v>52</v>
      </c>
      <c r="H468" t="s">
        <v>53</v>
      </c>
      <c r="I468" t="s">
        <v>2408</v>
      </c>
      <c r="J468" t="s">
        <v>55</v>
      </c>
      <c r="K468" t="s">
        <v>83</v>
      </c>
      <c r="L468" t="s">
        <v>2409</v>
      </c>
      <c r="M468">
        <v>282.26</v>
      </c>
      <c r="N468">
        <v>40</v>
      </c>
      <c r="O468" t="s">
        <v>2410</v>
      </c>
      <c r="P468" t="s">
        <v>142</v>
      </c>
      <c r="Q468" t="s">
        <v>214</v>
      </c>
      <c r="R468" t="s">
        <v>88</v>
      </c>
      <c r="S468" t="s">
        <v>101</v>
      </c>
      <c r="T468" t="s">
        <v>203</v>
      </c>
      <c r="U468">
        <v>2737</v>
      </c>
      <c r="V468">
        <v>387</v>
      </c>
      <c r="W468">
        <v>1</v>
      </c>
      <c r="X468">
        <v>1610.79</v>
      </c>
      <c r="Y468">
        <v>422.92</v>
      </c>
      <c r="Z468">
        <v>2033.71</v>
      </c>
      <c r="AA468" t="s">
        <v>63</v>
      </c>
      <c r="AB468">
        <v>0</v>
      </c>
      <c r="AC468">
        <v>70.37</v>
      </c>
      <c r="AD468">
        <v>189</v>
      </c>
      <c r="AE468">
        <v>219</v>
      </c>
    </row>
    <row r="469" spans="1:31" x14ac:dyDescent="0.25">
      <c r="A469" t="s">
        <v>2411</v>
      </c>
      <c r="B469" t="s">
        <v>2412</v>
      </c>
      <c r="C469" s="1">
        <v>45182</v>
      </c>
      <c r="D469" s="1">
        <v>44682</v>
      </c>
      <c r="E469" t="s">
        <v>66</v>
      </c>
      <c r="F469" t="s">
        <v>147</v>
      </c>
      <c r="G469" t="s">
        <v>35</v>
      </c>
      <c r="H469" t="s">
        <v>218</v>
      </c>
      <c r="I469" t="s">
        <v>2413</v>
      </c>
      <c r="J469" t="s">
        <v>82</v>
      </c>
      <c r="K469" t="s">
        <v>83</v>
      </c>
      <c r="L469" t="s">
        <v>2414</v>
      </c>
      <c r="M469">
        <v>199.45</v>
      </c>
      <c r="N469">
        <v>25</v>
      </c>
      <c r="O469" t="s">
        <v>289</v>
      </c>
      <c r="P469" t="s">
        <v>59</v>
      </c>
      <c r="Q469" t="s">
        <v>700</v>
      </c>
      <c r="R469" t="s">
        <v>88</v>
      </c>
      <c r="S469" t="s">
        <v>74</v>
      </c>
      <c r="T469" t="s">
        <v>297</v>
      </c>
      <c r="U469">
        <v>1816</v>
      </c>
      <c r="V469">
        <v>169</v>
      </c>
      <c r="W469">
        <v>27</v>
      </c>
      <c r="X469">
        <v>1208.9100000000001</v>
      </c>
      <c r="Y469">
        <v>389.94</v>
      </c>
      <c r="Z469">
        <v>1598.85</v>
      </c>
      <c r="AA469" t="s">
        <v>63</v>
      </c>
      <c r="AB469">
        <v>0</v>
      </c>
      <c r="AC469">
        <v>72.680000000000007</v>
      </c>
      <c r="AD469">
        <v>243</v>
      </c>
      <c r="AE469">
        <v>196</v>
      </c>
    </row>
    <row r="470" spans="1:31" x14ac:dyDescent="0.25">
      <c r="A470" t="s">
        <v>2415</v>
      </c>
      <c r="B470" t="s">
        <v>2416</v>
      </c>
      <c r="C470" s="1">
        <v>43913</v>
      </c>
      <c r="D470" s="1">
        <v>44877</v>
      </c>
      <c r="E470" t="s">
        <v>66</v>
      </c>
      <c r="F470" t="s">
        <v>78</v>
      </c>
      <c r="G470" t="s">
        <v>35</v>
      </c>
      <c r="H470" t="s">
        <v>116</v>
      </c>
      <c r="I470" t="s">
        <v>2417</v>
      </c>
      <c r="J470" t="s">
        <v>96</v>
      </c>
      <c r="K470" t="s">
        <v>56</v>
      </c>
      <c r="L470" t="s">
        <v>2418</v>
      </c>
      <c r="M470">
        <v>90.32</v>
      </c>
      <c r="N470">
        <v>49</v>
      </c>
      <c r="O470" t="s">
        <v>1017</v>
      </c>
      <c r="P470" t="s">
        <v>42</v>
      </c>
      <c r="Q470" t="s">
        <v>322</v>
      </c>
      <c r="R470" t="s">
        <v>88</v>
      </c>
      <c r="S470" t="s">
        <v>45</v>
      </c>
      <c r="T470" t="s">
        <v>303</v>
      </c>
      <c r="U470">
        <v>2203</v>
      </c>
      <c r="V470">
        <v>365</v>
      </c>
      <c r="W470">
        <v>7</v>
      </c>
      <c r="X470">
        <v>1815.82</v>
      </c>
      <c r="Y470">
        <v>474.61</v>
      </c>
      <c r="Z470">
        <v>2290.4299999999998</v>
      </c>
      <c r="AA470" t="s">
        <v>63</v>
      </c>
      <c r="AB470">
        <v>0</v>
      </c>
      <c r="AC470">
        <v>92.87</v>
      </c>
      <c r="AD470">
        <v>422</v>
      </c>
      <c r="AE470">
        <v>469</v>
      </c>
    </row>
    <row r="471" spans="1:31" x14ac:dyDescent="0.25">
      <c r="A471" t="s">
        <v>2419</v>
      </c>
      <c r="B471" t="s">
        <v>2420</v>
      </c>
      <c r="C471" s="1">
        <v>45424</v>
      </c>
      <c r="D471" s="1">
        <v>44752</v>
      </c>
      <c r="E471" t="s">
        <v>66</v>
      </c>
      <c r="F471" t="s">
        <v>34</v>
      </c>
      <c r="G471" t="s">
        <v>105</v>
      </c>
      <c r="H471" t="s">
        <v>53</v>
      </c>
      <c r="I471" t="s">
        <v>2421</v>
      </c>
      <c r="J471" t="s">
        <v>55</v>
      </c>
      <c r="K471" t="s">
        <v>70</v>
      </c>
      <c r="L471" t="s">
        <v>2422</v>
      </c>
      <c r="M471">
        <v>42.44</v>
      </c>
      <c r="N471">
        <v>88</v>
      </c>
      <c r="O471" t="s">
        <v>1864</v>
      </c>
      <c r="P471" t="s">
        <v>142</v>
      </c>
      <c r="Q471" t="s">
        <v>152</v>
      </c>
      <c r="R471" t="s">
        <v>61</v>
      </c>
      <c r="S471" t="s">
        <v>74</v>
      </c>
      <c r="T471" t="s">
        <v>405</v>
      </c>
      <c r="U471">
        <v>1724</v>
      </c>
      <c r="V471">
        <v>380</v>
      </c>
      <c r="W471">
        <v>11</v>
      </c>
      <c r="X471">
        <v>170.86</v>
      </c>
      <c r="Y471">
        <v>297.38</v>
      </c>
      <c r="Z471">
        <v>468.24</v>
      </c>
      <c r="AA471" t="s">
        <v>63</v>
      </c>
      <c r="AB471">
        <v>0</v>
      </c>
      <c r="AC471">
        <v>98.46</v>
      </c>
      <c r="AD471">
        <v>155</v>
      </c>
      <c r="AE471">
        <v>125</v>
      </c>
    </row>
    <row r="472" spans="1:31" x14ac:dyDescent="0.25">
      <c r="A472" t="s">
        <v>2423</v>
      </c>
      <c r="B472" t="s">
        <v>2424</v>
      </c>
      <c r="C472" s="1">
        <v>44926</v>
      </c>
      <c r="D472" s="1">
        <v>45576</v>
      </c>
      <c r="E472" t="s">
        <v>66</v>
      </c>
      <c r="F472" t="s">
        <v>34</v>
      </c>
      <c r="G472" t="s">
        <v>79</v>
      </c>
      <c r="H472" t="s">
        <v>80</v>
      </c>
      <c r="I472" t="s">
        <v>2425</v>
      </c>
      <c r="J472" t="s">
        <v>38</v>
      </c>
      <c r="K472" t="s">
        <v>97</v>
      </c>
      <c r="L472" t="s">
        <v>2426</v>
      </c>
      <c r="M472">
        <v>119</v>
      </c>
      <c r="N472">
        <v>62</v>
      </c>
      <c r="O472" t="s">
        <v>72</v>
      </c>
      <c r="P472" t="s">
        <v>42</v>
      </c>
      <c r="Q472" t="s">
        <v>488</v>
      </c>
      <c r="R472" t="s">
        <v>61</v>
      </c>
      <c r="S472" t="s">
        <v>128</v>
      </c>
      <c r="T472" t="s">
        <v>176</v>
      </c>
      <c r="U472">
        <v>133</v>
      </c>
      <c r="V472">
        <v>58</v>
      </c>
      <c r="W472">
        <v>13</v>
      </c>
      <c r="X472">
        <v>1466.69</v>
      </c>
      <c r="Y472">
        <v>214.32</v>
      </c>
      <c r="Z472">
        <v>1681.01</v>
      </c>
      <c r="AA472" t="s">
        <v>63</v>
      </c>
      <c r="AB472">
        <v>0</v>
      </c>
      <c r="AC472">
        <v>92.52</v>
      </c>
      <c r="AD472">
        <v>97</v>
      </c>
      <c r="AE472">
        <v>61</v>
      </c>
    </row>
    <row r="473" spans="1:31" x14ac:dyDescent="0.25">
      <c r="A473" t="s">
        <v>2427</v>
      </c>
      <c r="B473" t="s">
        <v>2428</v>
      </c>
      <c r="C473" s="1">
        <v>43904</v>
      </c>
      <c r="D473" s="1">
        <v>45290</v>
      </c>
      <c r="E473" t="s">
        <v>66</v>
      </c>
      <c r="F473" t="s">
        <v>78</v>
      </c>
      <c r="G473" t="s">
        <v>337</v>
      </c>
      <c r="H473" t="s">
        <v>218</v>
      </c>
      <c r="I473" t="s">
        <v>2429</v>
      </c>
      <c r="J473" t="s">
        <v>55</v>
      </c>
      <c r="K473" t="s">
        <v>70</v>
      </c>
      <c r="L473" t="s">
        <v>2430</v>
      </c>
      <c r="M473">
        <v>16.850000000000001</v>
      </c>
      <c r="N473">
        <v>73</v>
      </c>
      <c r="O473" t="s">
        <v>2431</v>
      </c>
      <c r="P473" t="s">
        <v>110</v>
      </c>
      <c r="Q473" t="s">
        <v>73</v>
      </c>
      <c r="R473" t="s">
        <v>153</v>
      </c>
      <c r="S473" t="s">
        <v>74</v>
      </c>
      <c r="T473" t="s">
        <v>927</v>
      </c>
      <c r="U473">
        <v>2259</v>
      </c>
      <c r="V473">
        <v>336</v>
      </c>
      <c r="W473">
        <v>24</v>
      </c>
      <c r="X473">
        <v>1138.67</v>
      </c>
      <c r="Y473">
        <v>345.16</v>
      </c>
      <c r="Z473">
        <v>1483.83</v>
      </c>
      <c r="AA473" t="s">
        <v>63</v>
      </c>
      <c r="AB473">
        <v>0</v>
      </c>
      <c r="AC473">
        <v>89.55</v>
      </c>
      <c r="AD473">
        <v>489</v>
      </c>
      <c r="AE473">
        <v>526</v>
      </c>
    </row>
    <row r="474" spans="1:31" x14ac:dyDescent="0.25">
      <c r="A474" t="s">
        <v>2432</v>
      </c>
      <c r="B474" t="s">
        <v>2433</v>
      </c>
      <c r="C474" s="1">
        <v>45618</v>
      </c>
      <c r="D474" s="1">
        <v>44781</v>
      </c>
      <c r="E474" t="s">
        <v>66</v>
      </c>
      <c r="F474" t="s">
        <v>93</v>
      </c>
      <c r="G474" t="s">
        <v>67</v>
      </c>
      <c r="H474" t="s">
        <v>68</v>
      </c>
      <c r="I474" t="s">
        <v>2434</v>
      </c>
      <c r="J474" t="s">
        <v>55</v>
      </c>
      <c r="K474" t="s">
        <v>56</v>
      </c>
      <c r="L474" t="s">
        <v>2435</v>
      </c>
      <c r="M474">
        <v>189.09</v>
      </c>
      <c r="N474">
        <v>27</v>
      </c>
      <c r="O474" t="s">
        <v>2436</v>
      </c>
      <c r="P474" t="s">
        <v>59</v>
      </c>
      <c r="Q474" t="s">
        <v>135</v>
      </c>
      <c r="R474" t="s">
        <v>44</v>
      </c>
      <c r="S474" t="s">
        <v>45</v>
      </c>
      <c r="T474" t="s">
        <v>530</v>
      </c>
      <c r="U474">
        <v>1333</v>
      </c>
      <c r="V474">
        <v>267</v>
      </c>
      <c r="W474">
        <v>9</v>
      </c>
      <c r="X474">
        <v>193.72</v>
      </c>
      <c r="Y474">
        <v>444.36</v>
      </c>
      <c r="Z474">
        <v>638.08000000000004</v>
      </c>
      <c r="AA474" t="s">
        <v>63</v>
      </c>
      <c r="AB474">
        <v>0</v>
      </c>
      <c r="AC474">
        <v>76.08</v>
      </c>
      <c r="AD474">
        <v>316</v>
      </c>
      <c r="AE474">
        <v>273</v>
      </c>
    </row>
    <row r="475" spans="1:31" x14ac:dyDescent="0.25">
      <c r="A475" t="s">
        <v>2437</v>
      </c>
      <c r="B475" t="s">
        <v>2438</v>
      </c>
      <c r="C475" s="1">
        <v>45632</v>
      </c>
      <c r="D475" s="1">
        <v>45067</v>
      </c>
      <c r="E475" t="s">
        <v>33</v>
      </c>
      <c r="F475" t="s">
        <v>51</v>
      </c>
      <c r="G475" t="s">
        <v>79</v>
      </c>
      <c r="H475" t="s">
        <v>53</v>
      </c>
      <c r="I475" t="s">
        <v>2439</v>
      </c>
      <c r="J475" t="s">
        <v>82</v>
      </c>
      <c r="K475" t="s">
        <v>70</v>
      </c>
      <c r="L475" t="s">
        <v>2440</v>
      </c>
      <c r="M475">
        <v>84.29</v>
      </c>
      <c r="N475">
        <v>28</v>
      </c>
      <c r="O475" t="s">
        <v>174</v>
      </c>
      <c r="P475" t="s">
        <v>86</v>
      </c>
      <c r="Q475" t="s">
        <v>234</v>
      </c>
      <c r="R475" t="s">
        <v>88</v>
      </c>
      <c r="S475" t="s">
        <v>101</v>
      </c>
      <c r="T475" t="s">
        <v>169</v>
      </c>
      <c r="U475">
        <v>3734</v>
      </c>
      <c r="V475">
        <v>460</v>
      </c>
      <c r="W475">
        <v>2</v>
      </c>
      <c r="X475">
        <v>1368.88</v>
      </c>
      <c r="Y475">
        <v>137.86000000000001</v>
      </c>
      <c r="Z475">
        <v>1506.74</v>
      </c>
      <c r="AA475" t="s">
        <v>47</v>
      </c>
      <c r="AB475">
        <v>5</v>
      </c>
      <c r="AC475">
        <v>84.16</v>
      </c>
      <c r="AD475">
        <v>493</v>
      </c>
      <c r="AE475">
        <v>542</v>
      </c>
    </row>
    <row r="476" spans="1:31" x14ac:dyDescent="0.25">
      <c r="A476" t="s">
        <v>2441</v>
      </c>
      <c r="B476" t="s">
        <v>841</v>
      </c>
      <c r="C476" s="1">
        <v>43977</v>
      </c>
      <c r="D476" s="1">
        <v>45254</v>
      </c>
      <c r="E476" t="s">
        <v>50</v>
      </c>
      <c r="F476" t="s">
        <v>51</v>
      </c>
      <c r="G476" t="s">
        <v>52</v>
      </c>
      <c r="H476" t="s">
        <v>148</v>
      </c>
      <c r="I476" t="s">
        <v>2442</v>
      </c>
      <c r="J476" t="s">
        <v>55</v>
      </c>
      <c r="K476" t="s">
        <v>56</v>
      </c>
      <c r="L476" t="s">
        <v>2443</v>
      </c>
      <c r="M476">
        <v>188.82</v>
      </c>
      <c r="N476">
        <v>25</v>
      </c>
      <c r="O476" t="s">
        <v>2444</v>
      </c>
      <c r="P476" t="s">
        <v>59</v>
      </c>
      <c r="Q476" t="s">
        <v>371</v>
      </c>
      <c r="R476" t="s">
        <v>88</v>
      </c>
      <c r="S476" t="s">
        <v>128</v>
      </c>
      <c r="T476" t="s">
        <v>183</v>
      </c>
      <c r="U476">
        <v>314</v>
      </c>
      <c r="V476">
        <v>271</v>
      </c>
      <c r="W476">
        <v>26</v>
      </c>
      <c r="X476">
        <v>1527.75</v>
      </c>
      <c r="Y476">
        <v>197.17</v>
      </c>
      <c r="Z476">
        <v>1724.92</v>
      </c>
      <c r="AA476" t="s">
        <v>63</v>
      </c>
      <c r="AB476">
        <v>0</v>
      </c>
      <c r="AC476">
        <v>93.04</v>
      </c>
      <c r="AD476">
        <v>228</v>
      </c>
      <c r="AE476">
        <v>197</v>
      </c>
    </row>
    <row r="477" spans="1:31" x14ac:dyDescent="0.25">
      <c r="A477" t="s">
        <v>2445</v>
      </c>
      <c r="B477" t="s">
        <v>2446</v>
      </c>
      <c r="C477" s="1">
        <v>45291</v>
      </c>
      <c r="D477" s="1">
        <v>43961</v>
      </c>
      <c r="E477" t="s">
        <v>50</v>
      </c>
      <c r="F477" t="s">
        <v>147</v>
      </c>
      <c r="G477" t="s">
        <v>35</v>
      </c>
      <c r="H477" t="s">
        <v>148</v>
      </c>
      <c r="I477" t="s">
        <v>2447</v>
      </c>
      <c r="J477" t="s">
        <v>107</v>
      </c>
      <c r="K477" t="s">
        <v>97</v>
      </c>
      <c r="L477" t="s">
        <v>2448</v>
      </c>
      <c r="M477">
        <v>150.4</v>
      </c>
      <c r="N477">
        <v>86</v>
      </c>
      <c r="O477" t="s">
        <v>2449</v>
      </c>
      <c r="P477" t="s">
        <v>42</v>
      </c>
      <c r="Q477" t="s">
        <v>461</v>
      </c>
      <c r="R477" t="s">
        <v>88</v>
      </c>
      <c r="S477" t="s">
        <v>74</v>
      </c>
      <c r="T477" t="s">
        <v>235</v>
      </c>
      <c r="U477">
        <v>4766</v>
      </c>
      <c r="V477">
        <v>153</v>
      </c>
      <c r="W477">
        <v>25</v>
      </c>
      <c r="X477">
        <v>1327.16</v>
      </c>
      <c r="Y477">
        <v>267.2</v>
      </c>
      <c r="Z477">
        <v>1594.36</v>
      </c>
      <c r="AA477" t="s">
        <v>63</v>
      </c>
      <c r="AB477">
        <v>0</v>
      </c>
      <c r="AC477">
        <v>96.04</v>
      </c>
      <c r="AD477">
        <v>179</v>
      </c>
      <c r="AE477">
        <v>188</v>
      </c>
    </row>
    <row r="478" spans="1:31" x14ac:dyDescent="0.25">
      <c r="A478" t="s">
        <v>2450</v>
      </c>
      <c r="B478" t="s">
        <v>2451</v>
      </c>
      <c r="C478" s="1">
        <v>44676</v>
      </c>
      <c r="D478" s="1">
        <v>44398</v>
      </c>
      <c r="E478" t="s">
        <v>66</v>
      </c>
      <c r="F478" t="s">
        <v>34</v>
      </c>
      <c r="G478" t="s">
        <v>35</v>
      </c>
      <c r="H478" t="s">
        <v>116</v>
      </c>
      <c r="I478" t="s">
        <v>2452</v>
      </c>
      <c r="J478" t="s">
        <v>82</v>
      </c>
      <c r="K478" t="s">
        <v>83</v>
      </c>
      <c r="L478" t="s">
        <v>2453</v>
      </c>
      <c r="M478">
        <v>315.18</v>
      </c>
      <c r="N478">
        <v>13</v>
      </c>
      <c r="O478" t="s">
        <v>460</v>
      </c>
      <c r="P478" t="s">
        <v>110</v>
      </c>
      <c r="Q478" t="s">
        <v>383</v>
      </c>
      <c r="R478" t="s">
        <v>61</v>
      </c>
      <c r="S478" t="s">
        <v>128</v>
      </c>
      <c r="T478" t="s">
        <v>222</v>
      </c>
      <c r="U478">
        <v>1623</v>
      </c>
      <c r="V478">
        <v>221</v>
      </c>
      <c r="W478">
        <v>16</v>
      </c>
      <c r="X478">
        <v>1797.74</v>
      </c>
      <c r="Y478">
        <v>90.27</v>
      </c>
      <c r="Z478">
        <v>1888.01</v>
      </c>
      <c r="AA478" t="s">
        <v>63</v>
      </c>
      <c r="AB478">
        <v>0</v>
      </c>
      <c r="AC478">
        <v>90.12</v>
      </c>
      <c r="AD478">
        <v>116</v>
      </c>
      <c r="AE478">
        <v>110</v>
      </c>
    </row>
    <row r="479" spans="1:31" x14ac:dyDescent="0.25">
      <c r="A479" t="s">
        <v>2454</v>
      </c>
      <c r="B479" t="s">
        <v>1993</v>
      </c>
      <c r="C479" s="1">
        <v>45648</v>
      </c>
      <c r="D479" s="1">
        <v>44055</v>
      </c>
      <c r="E479" t="s">
        <v>33</v>
      </c>
      <c r="F479" t="s">
        <v>51</v>
      </c>
      <c r="G479" t="s">
        <v>67</v>
      </c>
      <c r="H479" t="s">
        <v>36</v>
      </c>
      <c r="I479" t="s">
        <v>2455</v>
      </c>
      <c r="J479" t="s">
        <v>82</v>
      </c>
      <c r="K479" t="s">
        <v>83</v>
      </c>
      <c r="L479" t="s">
        <v>2456</v>
      </c>
      <c r="M479">
        <v>319.33</v>
      </c>
      <c r="N479">
        <v>14</v>
      </c>
      <c r="O479" t="s">
        <v>2457</v>
      </c>
      <c r="P479" t="s">
        <v>86</v>
      </c>
      <c r="Q479" t="s">
        <v>383</v>
      </c>
      <c r="R479" t="s">
        <v>153</v>
      </c>
      <c r="S479" t="s">
        <v>74</v>
      </c>
      <c r="T479" t="s">
        <v>169</v>
      </c>
      <c r="U479">
        <v>2196</v>
      </c>
      <c r="V479">
        <v>108</v>
      </c>
      <c r="W479">
        <v>27</v>
      </c>
      <c r="X479">
        <v>1277.3800000000001</v>
      </c>
      <c r="Y479">
        <v>480.67</v>
      </c>
      <c r="Z479">
        <v>1758.05</v>
      </c>
      <c r="AA479" t="s">
        <v>63</v>
      </c>
      <c r="AB479">
        <v>0</v>
      </c>
      <c r="AC479">
        <v>87.37</v>
      </c>
      <c r="AD479">
        <v>229</v>
      </c>
      <c r="AE479">
        <v>242</v>
      </c>
    </row>
    <row r="480" spans="1:31" x14ac:dyDescent="0.25">
      <c r="A480" t="s">
        <v>2458</v>
      </c>
      <c r="B480" t="s">
        <v>2459</v>
      </c>
      <c r="C480" s="1">
        <v>44025</v>
      </c>
      <c r="D480" s="1">
        <v>44202</v>
      </c>
      <c r="E480" t="s">
        <v>66</v>
      </c>
      <c r="F480" t="s">
        <v>34</v>
      </c>
      <c r="G480" t="s">
        <v>115</v>
      </c>
      <c r="H480" t="s">
        <v>68</v>
      </c>
      <c r="I480" t="s">
        <v>2460</v>
      </c>
      <c r="J480" t="s">
        <v>82</v>
      </c>
      <c r="K480" t="s">
        <v>70</v>
      </c>
      <c r="L480" t="s">
        <v>2461</v>
      </c>
      <c r="M480">
        <v>123.71</v>
      </c>
      <c r="N480">
        <v>20</v>
      </c>
      <c r="O480" t="s">
        <v>2462</v>
      </c>
      <c r="P480" t="s">
        <v>142</v>
      </c>
      <c r="Q480" t="s">
        <v>43</v>
      </c>
      <c r="R480" t="s">
        <v>44</v>
      </c>
      <c r="S480" t="s">
        <v>89</v>
      </c>
      <c r="T480" t="s">
        <v>737</v>
      </c>
      <c r="U480">
        <v>4151</v>
      </c>
      <c r="V480">
        <v>94</v>
      </c>
      <c r="W480">
        <v>23</v>
      </c>
      <c r="X480">
        <v>336.65</v>
      </c>
      <c r="Y480">
        <v>399.02</v>
      </c>
      <c r="Z480">
        <v>735.67</v>
      </c>
      <c r="AA480" t="s">
        <v>63</v>
      </c>
      <c r="AB480">
        <v>0</v>
      </c>
      <c r="AC480">
        <v>93.03</v>
      </c>
      <c r="AD480">
        <v>371</v>
      </c>
      <c r="AE480">
        <v>390</v>
      </c>
    </row>
    <row r="481" spans="1:31" x14ac:dyDescent="0.25">
      <c r="A481" t="s">
        <v>2463</v>
      </c>
      <c r="B481" t="s">
        <v>2464</v>
      </c>
      <c r="C481" s="1">
        <v>44790</v>
      </c>
      <c r="D481" s="1">
        <v>45537</v>
      </c>
      <c r="E481" t="s">
        <v>66</v>
      </c>
      <c r="F481" t="s">
        <v>51</v>
      </c>
      <c r="G481" t="s">
        <v>94</v>
      </c>
      <c r="H481" t="s">
        <v>164</v>
      </c>
      <c r="I481" t="s">
        <v>2465</v>
      </c>
      <c r="J481" t="s">
        <v>82</v>
      </c>
      <c r="K481" t="s">
        <v>70</v>
      </c>
      <c r="L481" t="s">
        <v>2466</v>
      </c>
      <c r="M481">
        <v>428.82</v>
      </c>
      <c r="N481">
        <v>77</v>
      </c>
      <c r="O481" t="s">
        <v>2027</v>
      </c>
      <c r="P481" t="s">
        <v>142</v>
      </c>
      <c r="Q481" t="s">
        <v>428</v>
      </c>
      <c r="R481" t="s">
        <v>61</v>
      </c>
      <c r="S481" t="s">
        <v>45</v>
      </c>
      <c r="T481" t="s">
        <v>169</v>
      </c>
      <c r="U481">
        <v>4746</v>
      </c>
      <c r="V481">
        <v>219</v>
      </c>
      <c r="W481">
        <v>1</v>
      </c>
      <c r="X481">
        <v>1851.85</v>
      </c>
      <c r="Y481">
        <v>447.23</v>
      </c>
      <c r="Z481">
        <v>2299.08</v>
      </c>
      <c r="AA481" t="s">
        <v>63</v>
      </c>
      <c r="AB481">
        <v>0</v>
      </c>
      <c r="AC481">
        <v>88.52</v>
      </c>
      <c r="AD481">
        <v>308</v>
      </c>
      <c r="AE481">
        <v>299</v>
      </c>
    </row>
    <row r="482" spans="1:31" x14ac:dyDescent="0.25">
      <c r="A482" t="s">
        <v>2467</v>
      </c>
      <c r="B482" t="s">
        <v>2468</v>
      </c>
      <c r="C482" s="1">
        <v>44168</v>
      </c>
      <c r="D482" s="1">
        <v>44505</v>
      </c>
      <c r="E482" t="s">
        <v>66</v>
      </c>
      <c r="F482" t="s">
        <v>78</v>
      </c>
      <c r="G482" t="s">
        <v>79</v>
      </c>
      <c r="H482" t="s">
        <v>148</v>
      </c>
      <c r="I482" t="s">
        <v>2469</v>
      </c>
      <c r="J482" t="s">
        <v>82</v>
      </c>
      <c r="K482" t="s">
        <v>39</v>
      </c>
      <c r="L482" t="s">
        <v>2470</v>
      </c>
      <c r="M482">
        <v>435.82</v>
      </c>
      <c r="N482">
        <v>41</v>
      </c>
      <c r="O482" t="s">
        <v>683</v>
      </c>
      <c r="P482" t="s">
        <v>142</v>
      </c>
      <c r="Q482" t="s">
        <v>328</v>
      </c>
      <c r="R482" t="s">
        <v>88</v>
      </c>
      <c r="S482" t="s">
        <v>89</v>
      </c>
      <c r="T482" t="s">
        <v>353</v>
      </c>
      <c r="U482">
        <v>4306</v>
      </c>
      <c r="V482">
        <v>100</v>
      </c>
      <c r="W482">
        <v>15</v>
      </c>
      <c r="X482">
        <v>705.18</v>
      </c>
      <c r="Y482">
        <v>489.78</v>
      </c>
      <c r="Z482">
        <v>1194.96</v>
      </c>
      <c r="AA482" t="s">
        <v>63</v>
      </c>
      <c r="AB482">
        <v>0</v>
      </c>
      <c r="AC482">
        <v>73.2</v>
      </c>
      <c r="AD482">
        <v>413</v>
      </c>
      <c r="AE482">
        <v>440</v>
      </c>
    </row>
    <row r="483" spans="1:31" x14ac:dyDescent="0.25">
      <c r="A483" t="s">
        <v>2471</v>
      </c>
      <c r="B483" t="s">
        <v>2472</v>
      </c>
      <c r="C483" s="1">
        <v>43985</v>
      </c>
      <c r="D483" s="1">
        <v>44094</v>
      </c>
      <c r="E483" t="s">
        <v>50</v>
      </c>
      <c r="F483" t="s">
        <v>34</v>
      </c>
      <c r="G483" t="s">
        <v>67</v>
      </c>
      <c r="H483" t="s">
        <v>36</v>
      </c>
      <c r="I483" t="s">
        <v>2473</v>
      </c>
      <c r="J483" t="s">
        <v>82</v>
      </c>
      <c r="K483" t="s">
        <v>39</v>
      </c>
      <c r="L483" t="s">
        <v>2474</v>
      </c>
      <c r="M483">
        <v>255.19</v>
      </c>
      <c r="N483">
        <v>41</v>
      </c>
      <c r="O483" t="s">
        <v>716</v>
      </c>
      <c r="P483" t="s">
        <v>142</v>
      </c>
      <c r="Q483" t="s">
        <v>241</v>
      </c>
      <c r="R483" t="s">
        <v>88</v>
      </c>
      <c r="S483" t="s">
        <v>45</v>
      </c>
      <c r="T483" t="s">
        <v>422</v>
      </c>
      <c r="U483">
        <v>392</v>
      </c>
      <c r="V483">
        <v>124</v>
      </c>
      <c r="W483">
        <v>14</v>
      </c>
      <c r="X483">
        <v>1740.88</v>
      </c>
      <c r="Y483">
        <v>497.84</v>
      </c>
      <c r="Z483">
        <v>2238.7199999999998</v>
      </c>
      <c r="AA483" t="s">
        <v>63</v>
      </c>
      <c r="AB483">
        <v>0</v>
      </c>
      <c r="AC483">
        <v>90.94</v>
      </c>
      <c r="AD483">
        <v>62</v>
      </c>
      <c r="AE483">
        <v>45</v>
      </c>
    </row>
    <row r="484" spans="1:31" x14ac:dyDescent="0.25">
      <c r="A484" t="s">
        <v>2475</v>
      </c>
      <c r="B484" t="s">
        <v>2476</v>
      </c>
      <c r="C484" s="1">
        <v>44430</v>
      </c>
      <c r="D484" s="1">
        <v>44969</v>
      </c>
      <c r="E484" t="s">
        <v>50</v>
      </c>
      <c r="F484" t="s">
        <v>147</v>
      </c>
      <c r="G484" t="s">
        <v>35</v>
      </c>
      <c r="H484" t="s">
        <v>80</v>
      </c>
      <c r="I484" t="s">
        <v>2477</v>
      </c>
      <c r="J484" t="s">
        <v>38</v>
      </c>
      <c r="K484" t="s">
        <v>97</v>
      </c>
      <c r="L484" t="s">
        <v>1909</v>
      </c>
      <c r="M484">
        <v>420.93</v>
      </c>
      <c r="N484">
        <v>90</v>
      </c>
      <c r="O484" t="s">
        <v>302</v>
      </c>
      <c r="P484" t="s">
        <v>59</v>
      </c>
      <c r="Q484" t="s">
        <v>700</v>
      </c>
      <c r="R484" t="s">
        <v>61</v>
      </c>
      <c r="S484" t="s">
        <v>128</v>
      </c>
      <c r="T484" t="s">
        <v>559</v>
      </c>
      <c r="U484">
        <v>4365</v>
      </c>
      <c r="V484">
        <v>54</v>
      </c>
      <c r="W484">
        <v>27</v>
      </c>
      <c r="X484">
        <v>1462.86</v>
      </c>
      <c r="Y484">
        <v>61.59</v>
      </c>
      <c r="Z484">
        <v>1524.45</v>
      </c>
      <c r="AA484" t="s">
        <v>63</v>
      </c>
      <c r="AB484">
        <v>0</v>
      </c>
      <c r="AC484">
        <v>91.68</v>
      </c>
      <c r="AD484">
        <v>155</v>
      </c>
      <c r="AE484">
        <v>142</v>
      </c>
    </row>
    <row r="485" spans="1:31" x14ac:dyDescent="0.25">
      <c r="A485" t="s">
        <v>2478</v>
      </c>
      <c r="B485" t="s">
        <v>2479</v>
      </c>
      <c r="C485" s="1">
        <v>44219</v>
      </c>
      <c r="D485" s="1">
        <v>44226</v>
      </c>
      <c r="E485" t="s">
        <v>66</v>
      </c>
      <c r="F485" t="s">
        <v>147</v>
      </c>
      <c r="G485" t="s">
        <v>79</v>
      </c>
      <c r="H485" t="s">
        <v>218</v>
      </c>
      <c r="I485" t="s">
        <v>2480</v>
      </c>
      <c r="J485" t="s">
        <v>82</v>
      </c>
      <c r="K485" t="s">
        <v>70</v>
      </c>
      <c r="L485" t="s">
        <v>2481</v>
      </c>
      <c r="M485">
        <v>481.59</v>
      </c>
      <c r="N485">
        <v>49</v>
      </c>
      <c r="O485" t="s">
        <v>2482</v>
      </c>
      <c r="P485" t="s">
        <v>110</v>
      </c>
      <c r="Q485" t="s">
        <v>43</v>
      </c>
      <c r="R485" t="s">
        <v>88</v>
      </c>
      <c r="S485" t="s">
        <v>89</v>
      </c>
      <c r="T485" t="s">
        <v>444</v>
      </c>
      <c r="U485">
        <v>2088</v>
      </c>
      <c r="V485">
        <v>410</v>
      </c>
      <c r="W485">
        <v>24</v>
      </c>
      <c r="X485">
        <v>790.15</v>
      </c>
      <c r="Y485">
        <v>435.46</v>
      </c>
      <c r="Z485">
        <v>1225.6099999999999</v>
      </c>
      <c r="AA485" t="s">
        <v>47</v>
      </c>
      <c r="AB485">
        <v>6</v>
      </c>
      <c r="AC485">
        <v>79.84</v>
      </c>
      <c r="AD485">
        <v>160</v>
      </c>
      <c r="AE485">
        <v>192</v>
      </c>
    </row>
    <row r="486" spans="1:31" x14ac:dyDescent="0.25">
      <c r="A486" t="s">
        <v>2483</v>
      </c>
      <c r="B486" t="s">
        <v>2484</v>
      </c>
      <c r="C486" s="1">
        <v>44859</v>
      </c>
      <c r="D486" s="1">
        <v>44975</v>
      </c>
      <c r="E486" t="s">
        <v>66</v>
      </c>
      <c r="F486" t="s">
        <v>51</v>
      </c>
      <c r="G486" t="s">
        <v>105</v>
      </c>
      <c r="H486" t="s">
        <v>116</v>
      </c>
      <c r="I486" t="s">
        <v>2485</v>
      </c>
      <c r="J486" t="s">
        <v>55</v>
      </c>
      <c r="K486" t="s">
        <v>97</v>
      </c>
      <c r="L486" t="s">
        <v>2486</v>
      </c>
      <c r="M486">
        <v>474</v>
      </c>
      <c r="N486">
        <v>84</v>
      </c>
      <c r="O486" t="s">
        <v>2041</v>
      </c>
      <c r="P486" t="s">
        <v>110</v>
      </c>
      <c r="Q486" t="s">
        <v>100</v>
      </c>
      <c r="R486" t="s">
        <v>153</v>
      </c>
      <c r="S486" t="s">
        <v>101</v>
      </c>
      <c r="T486" t="s">
        <v>933</v>
      </c>
      <c r="U486">
        <v>1064</v>
      </c>
      <c r="V486">
        <v>348</v>
      </c>
      <c r="W486">
        <v>2</v>
      </c>
      <c r="X486">
        <v>1156.3900000000001</v>
      </c>
      <c r="Y486">
        <v>409.1</v>
      </c>
      <c r="Z486">
        <v>1565.49</v>
      </c>
      <c r="AA486" t="s">
        <v>63</v>
      </c>
      <c r="AB486">
        <v>0</v>
      </c>
      <c r="AC486">
        <v>81.87</v>
      </c>
      <c r="AD486">
        <v>330</v>
      </c>
      <c r="AE486">
        <v>345</v>
      </c>
    </row>
    <row r="487" spans="1:31" x14ac:dyDescent="0.25">
      <c r="A487" t="s">
        <v>2487</v>
      </c>
      <c r="B487" t="s">
        <v>827</v>
      </c>
      <c r="C487" s="1">
        <v>43929</v>
      </c>
      <c r="D487" s="1">
        <v>45483</v>
      </c>
      <c r="E487" t="s">
        <v>66</v>
      </c>
      <c r="F487" t="s">
        <v>34</v>
      </c>
      <c r="G487" t="s">
        <v>115</v>
      </c>
      <c r="H487" t="s">
        <v>164</v>
      </c>
      <c r="I487" t="s">
        <v>2488</v>
      </c>
      <c r="J487" t="s">
        <v>38</v>
      </c>
      <c r="K487" t="s">
        <v>70</v>
      </c>
      <c r="L487" t="s">
        <v>2489</v>
      </c>
      <c r="M487">
        <v>393.5</v>
      </c>
      <c r="N487">
        <v>73</v>
      </c>
      <c r="O487" t="s">
        <v>820</v>
      </c>
      <c r="P487" t="s">
        <v>110</v>
      </c>
      <c r="Q487" t="s">
        <v>558</v>
      </c>
      <c r="R487" t="s">
        <v>88</v>
      </c>
      <c r="S487" t="s">
        <v>89</v>
      </c>
      <c r="T487" t="s">
        <v>222</v>
      </c>
      <c r="U487">
        <v>3238</v>
      </c>
      <c r="V487">
        <v>379</v>
      </c>
      <c r="W487">
        <v>14</v>
      </c>
      <c r="X487">
        <v>414.27</v>
      </c>
      <c r="Y487">
        <v>292.99</v>
      </c>
      <c r="Z487">
        <v>707.26</v>
      </c>
      <c r="AA487" t="s">
        <v>63</v>
      </c>
      <c r="AB487">
        <v>0</v>
      </c>
      <c r="AC487">
        <v>91.38</v>
      </c>
      <c r="AD487">
        <v>338</v>
      </c>
      <c r="AE487">
        <v>367</v>
      </c>
    </row>
    <row r="488" spans="1:31" x14ac:dyDescent="0.25">
      <c r="A488" t="s">
        <v>2490</v>
      </c>
      <c r="B488" t="s">
        <v>2491</v>
      </c>
      <c r="C488" s="1">
        <v>45090</v>
      </c>
      <c r="D488" s="1">
        <v>44456</v>
      </c>
      <c r="E488" t="s">
        <v>66</v>
      </c>
      <c r="F488" t="s">
        <v>34</v>
      </c>
      <c r="G488" t="s">
        <v>94</v>
      </c>
      <c r="H488" t="s">
        <v>164</v>
      </c>
      <c r="I488" t="s">
        <v>2492</v>
      </c>
      <c r="J488" t="s">
        <v>96</v>
      </c>
      <c r="K488" t="s">
        <v>56</v>
      </c>
      <c r="L488" t="s">
        <v>2493</v>
      </c>
      <c r="M488">
        <v>97.86</v>
      </c>
      <c r="N488">
        <v>1</v>
      </c>
      <c r="O488" t="s">
        <v>2494</v>
      </c>
      <c r="P488" t="s">
        <v>86</v>
      </c>
      <c r="Q488" t="s">
        <v>290</v>
      </c>
      <c r="R488" t="s">
        <v>153</v>
      </c>
      <c r="S488" t="s">
        <v>101</v>
      </c>
      <c r="T488" t="s">
        <v>242</v>
      </c>
      <c r="U488">
        <v>3557</v>
      </c>
      <c r="V488">
        <v>132</v>
      </c>
      <c r="W488">
        <v>18</v>
      </c>
      <c r="X488">
        <v>839.16</v>
      </c>
      <c r="Y488">
        <v>469.93</v>
      </c>
      <c r="Z488">
        <v>1309.0899999999999</v>
      </c>
      <c r="AA488" t="s">
        <v>63</v>
      </c>
      <c r="AB488">
        <v>0</v>
      </c>
      <c r="AC488">
        <v>99.73</v>
      </c>
      <c r="AD488">
        <v>193</v>
      </c>
      <c r="AE488">
        <v>152</v>
      </c>
    </row>
    <row r="489" spans="1:31" x14ac:dyDescent="0.25">
      <c r="A489" t="s">
        <v>2495</v>
      </c>
      <c r="B489" t="s">
        <v>2496</v>
      </c>
      <c r="C489" s="1">
        <v>45439</v>
      </c>
      <c r="D489" s="1">
        <v>44561</v>
      </c>
      <c r="E489" t="s">
        <v>66</v>
      </c>
      <c r="F489" t="s">
        <v>78</v>
      </c>
      <c r="G489" t="s">
        <v>35</v>
      </c>
      <c r="H489" t="s">
        <v>148</v>
      </c>
      <c r="I489" t="s">
        <v>2497</v>
      </c>
      <c r="J489" t="s">
        <v>96</v>
      </c>
      <c r="K489" t="s">
        <v>56</v>
      </c>
      <c r="L489" t="s">
        <v>2498</v>
      </c>
      <c r="M489">
        <v>106.86</v>
      </c>
      <c r="N489">
        <v>77</v>
      </c>
      <c r="O489" t="s">
        <v>2499</v>
      </c>
      <c r="P489" t="s">
        <v>142</v>
      </c>
      <c r="Q489" t="s">
        <v>514</v>
      </c>
      <c r="R489" t="s">
        <v>88</v>
      </c>
      <c r="S489" t="s">
        <v>45</v>
      </c>
      <c r="T489" t="s">
        <v>169</v>
      </c>
      <c r="U489">
        <v>4899</v>
      </c>
      <c r="V489">
        <v>247</v>
      </c>
      <c r="W489">
        <v>21</v>
      </c>
      <c r="X489">
        <v>1680.98</v>
      </c>
      <c r="Y489">
        <v>324.3</v>
      </c>
      <c r="Z489">
        <v>2005.28</v>
      </c>
      <c r="AA489" t="s">
        <v>63</v>
      </c>
      <c r="AB489">
        <v>0</v>
      </c>
      <c r="AC489">
        <v>78.489999999999995</v>
      </c>
      <c r="AD489">
        <v>68</v>
      </c>
      <c r="AE489">
        <v>108</v>
      </c>
    </row>
    <row r="490" spans="1:31" x14ac:dyDescent="0.25">
      <c r="A490" t="s">
        <v>2500</v>
      </c>
      <c r="B490" t="s">
        <v>1273</v>
      </c>
      <c r="C490" s="1">
        <v>44078</v>
      </c>
      <c r="D490" s="1">
        <v>45661</v>
      </c>
      <c r="E490" t="s">
        <v>66</v>
      </c>
      <c r="F490" t="s">
        <v>78</v>
      </c>
      <c r="G490" t="s">
        <v>105</v>
      </c>
      <c r="H490" t="s">
        <v>80</v>
      </c>
      <c r="I490" t="s">
        <v>2501</v>
      </c>
      <c r="J490" t="s">
        <v>107</v>
      </c>
      <c r="K490" t="s">
        <v>97</v>
      </c>
      <c r="L490" t="s">
        <v>2502</v>
      </c>
      <c r="M490">
        <v>265.22000000000003</v>
      </c>
      <c r="N490">
        <v>16</v>
      </c>
      <c r="O490" t="s">
        <v>2503</v>
      </c>
      <c r="P490" t="s">
        <v>59</v>
      </c>
      <c r="Q490" t="s">
        <v>143</v>
      </c>
      <c r="R490" t="s">
        <v>88</v>
      </c>
      <c r="S490" t="s">
        <v>128</v>
      </c>
      <c r="T490" t="s">
        <v>927</v>
      </c>
      <c r="U490">
        <v>4215</v>
      </c>
      <c r="V490">
        <v>499</v>
      </c>
      <c r="W490">
        <v>23</v>
      </c>
      <c r="X490">
        <v>952.63</v>
      </c>
      <c r="Y490">
        <v>268.48</v>
      </c>
      <c r="Z490">
        <v>1221.1099999999999</v>
      </c>
      <c r="AA490" t="s">
        <v>63</v>
      </c>
      <c r="AB490">
        <v>0</v>
      </c>
      <c r="AC490">
        <v>80.040000000000006</v>
      </c>
      <c r="AD490">
        <v>128</v>
      </c>
      <c r="AE490">
        <v>139</v>
      </c>
    </row>
    <row r="491" spans="1:31" x14ac:dyDescent="0.25">
      <c r="A491" t="s">
        <v>2504</v>
      </c>
      <c r="B491" t="s">
        <v>2505</v>
      </c>
      <c r="C491" s="1">
        <v>44279</v>
      </c>
      <c r="D491" s="1">
        <v>44170</v>
      </c>
      <c r="E491" t="s">
        <v>66</v>
      </c>
      <c r="F491" t="s">
        <v>34</v>
      </c>
      <c r="G491" t="s">
        <v>115</v>
      </c>
      <c r="H491" t="s">
        <v>148</v>
      </c>
      <c r="I491" t="s">
        <v>2506</v>
      </c>
      <c r="J491" t="s">
        <v>55</v>
      </c>
      <c r="K491" t="s">
        <v>83</v>
      </c>
      <c r="L491" t="s">
        <v>2507</v>
      </c>
      <c r="M491">
        <v>407.79</v>
      </c>
      <c r="N491">
        <v>52</v>
      </c>
      <c r="O491" t="s">
        <v>1813</v>
      </c>
      <c r="P491" t="s">
        <v>59</v>
      </c>
      <c r="Q491" t="s">
        <v>214</v>
      </c>
      <c r="R491" t="s">
        <v>88</v>
      </c>
      <c r="S491" t="s">
        <v>45</v>
      </c>
      <c r="T491" t="s">
        <v>154</v>
      </c>
      <c r="U491">
        <v>1003</v>
      </c>
      <c r="V491">
        <v>303</v>
      </c>
      <c r="W491">
        <v>8</v>
      </c>
      <c r="X491">
        <v>1468.85</v>
      </c>
      <c r="Y491">
        <v>280.55</v>
      </c>
      <c r="Z491">
        <v>1749.4</v>
      </c>
      <c r="AA491" t="s">
        <v>63</v>
      </c>
      <c r="AB491">
        <v>0</v>
      </c>
      <c r="AC491">
        <v>83.05</v>
      </c>
      <c r="AD491">
        <v>126</v>
      </c>
      <c r="AE491">
        <v>147</v>
      </c>
    </row>
    <row r="492" spans="1:31" x14ac:dyDescent="0.25">
      <c r="A492" t="s">
        <v>2508</v>
      </c>
      <c r="B492" t="s">
        <v>2509</v>
      </c>
      <c r="C492" s="1">
        <v>45574</v>
      </c>
      <c r="D492" s="1">
        <v>45522</v>
      </c>
      <c r="E492" t="s">
        <v>33</v>
      </c>
      <c r="F492" t="s">
        <v>34</v>
      </c>
      <c r="G492" t="s">
        <v>337</v>
      </c>
      <c r="H492" t="s">
        <v>148</v>
      </c>
      <c r="I492" t="s">
        <v>2510</v>
      </c>
      <c r="J492" t="s">
        <v>38</v>
      </c>
      <c r="K492" t="s">
        <v>39</v>
      </c>
      <c r="L492" t="s">
        <v>2511</v>
      </c>
      <c r="M492">
        <v>407.83</v>
      </c>
      <c r="N492">
        <v>38</v>
      </c>
      <c r="O492" t="s">
        <v>1900</v>
      </c>
      <c r="P492" t="s">
        <v>110</v>
      </c>
      <c r="Q492" t="s">
        <v>328</v>
      </c>
      <c r="R492" t="s">
        <v>61</v>
      </c>
      <c r="S492" t="s">
        <v>89</v>
      </c>
      <c r="T492" t="s">
        <v>249</v>
      </c>
      <c r="U492">
        <v>340</v>
      </c>
      <c r="V492">
        <v>229</v>
      </c>
      <c r="W492">
        <v>17</v>
      </c>
      <c r="X492">
        <v>994.65</v>
      </c>
      <c r="Y492">
        <v>410.69</v>
      </c>
      <c r="Z492">
        <v>1405.34</v>
      </c>
      <c r="AA492" t="s">
        <v>63</v>
      </c>
      <c r="AB492">
        <v>0</v>
      </c>
      <c r="AC492">
        <v>72.02</v>
      </c>
      <c r="AD492">
        <v>217</v>
      </c>
      <c r="AE492">
        <v>252</v>
      </c>
    </row>
    <row r="493" spans="1:31" x14ac:dyDescent="0.25">
      <c r="A493" t="s">
        <v>2512</v>
      </c>
      <c r="B493" t="s">
        <v>2513</v>
      </c>
      <c r="C493" s="1">
        <v>45301</v>
      </c>
      <c r="D493" s="1">
        <v>45570</v>
      </c>
      <c r="E493" t="s">
        <v>50</v>
      </c>
      <c r="F493" t="s">
        <v>93</v>
      </c>
      <c r="G493" t="s">
        <v>79</v>
      </c>
      <c r="H493" t="s">
        <v>116</v>
      </c>
      <c r="I493" t="s">
        <v>2514</v>
      </c>
      <c r="J493" t="s">
        <v>107</v>
      </c>
      <c r="K493" t="s">
        <v>56</v>
      </c>
      <c r="L493" t="s">
        <v>2515</v>
      </c>
      <c r="M493">
        <v>138.97</v>
      </c>
      <c r="N493">
        <v>63</v>
      </c>
      <c r="O493" t="s">
        <v>2516</v>
      </c>
      <c r="P493" t="s">
        <v>142</v>
      </c>
      <c r="Q493" t="s">
        <v>228</v>
      </c>
      <c r="R493" t="s">
        <v>88</v>
      </c>
      <c r="S493" t="s">
        <v>128</v>
      </c>
      <c r="T493" t="s">
        <v>309</v>
      </c>
      <c r="U493">
        <v>791</v>
      </c>
      <c r="V493">
        <v>297</v>
      </c>
      <c r="W493">
        <v>25</v>
      </c>
      <c r="X493">
        <v>1845.32</v>
      </c>
      <c r="Y493">
        <v>159.11000000000001</v>
      </c>
      <c r="Z493">
        <v>2004.43</v>
      </c>
      <c r="AA493" t="s">
        <v>47</v>
      </c>
      <c r="AB493">
        <v>1</v>
      </c>
      <c r="AC493">
        <v>82.27</v>
      </c>
      <c r="AD493">
        <v>416</v>
      </c>
      <c r="AE493">
        <v>416</v>
      </c>
    </row>
    <row r="494" spans="1:31" x14ac:dyDescent="0.25">
      <c r="A494" t="s">
        <v>2517</v>
      </c>
      <c r="B494" t="s">
        <v>2518</v>
      </c>
      <c r="C494" s="1">
        <v>44280</v>
      </c>
      <c r="D494" s="1">
        <v>44600</v>
      </c>
      <c r="E494" t="s">
        <v>66</v>
      </c>
      <c r="F494" t="s">
        <v>147</v>
      </c>
      <c r="G494" t="s">
        <v>35</v>
      </c>
      <c r="H494" t="s">
        <v>164</v>
      </c>
      <c r="I494" t="s">
        <v>2519</v>
      </c>
      <c r="J494" t="s">
        <v>96</v>
      </c>
      <c r="K494" t="s">
        <v>39</v>
      </c>
      <c r="L494" t="s">
        <v>2520</v>
      </c>
      <c r="M494">
        <v>366.62</v>
      </c>
      <c r="N494">
        <v>54</v>
      </c>
      <c r="O494" t="s">
        <v>2521</v>
      </c>
      <c r="P494" t="s">
        <v>42</v>
      </c>
      <c r="Q494" t="s">
        <v>404</v>
      </c>
      <c r="R494" t="s">
        <v>44</v>
      </c>
      <c r="S494" t="s">
        <v>128</v>
      </c>
      <c r="T494" t="s">
        <v>273</v>
      </c>
      <c r="U494">
        <v>4442</v>
      </c>
      <c r="V494">
        <v>281</v>
      </c>
      <c r="W494">
        <v>15</v>
      </c>
      <c r="X494">
        <v>127.91</v>
      </c>
      <c r="Y494">
        <v>440.97</v>
      </c>
      <c r="Z494">
        <v>568.88</v>
      </c>
      <c r="AA494" t="s">
        <v>63</v>
      </c>
      <c r="AB494">
        <v>0</v>
      </c>
      <c r="AC494">
        <v>94.97</v>
      </c>
      <c r="AD494">
        <v>296</v>
      </c>
      <c r="AE494">
        <v>302</v>
      </c>
    </row>
    <row r="495" spans="1:31" x14ac:dyDescent="0.25">
      <c r="A495" t="s">
        <v>2522</v>
      </c>
      <c r="B495" t="s">
        <v>2523</v>
      </c>
      <c r="C495" s="1">
        <v>44493</v>
      </c>
      <c r="D495" s="1">
        <v>44517</v>
      </c>
      <c r="E495" t="s">
        <v>50</v>
      </c>
      <c r="F495" t="s">
        <v>78</v>
      </c>
      <c r="G495" t="s">
        <v>52</v>
      </c>
      <c r="H495" t="s">
        <v>218</v>
      </c>
      <c r="I495" t="s">
        <v>2524</v>
      </c>
      <c r="J495" t="s">
        <v>38</v>
      </c>
      <c r="K495" t="s">
        <v>83</v>
      </c>
      <c r="L495" t="s">
        <v>2525</v>
      </c>
      <c r="M495">
        <v>263.49</v>
      </c>
      <c r="N495">
        <v>25</v>
      </c>
      <c r="O495" t="s">
        <v>2526</v>
      </c>
      <c r="P495" t="s">
        <v>142</v>
      </c>
      <c r="Q495" t="s">
        <v>168</v>
      </c>
      <c r="R495" t="s">
        <v>61</v>
      </c>
      <c r="S495" t="s">
        <v>101</v>
      </c>
      <c r="T495" t="s">
        <v>154</v>
      </c>
      <c r="U495">
        <v>117</v>
      </c>
      <c r="V495">
        <v>154</v>
      </c>
      <c r="W495">
        <v>11</v>
      </c>
      <c r="X495">
        <v>1371.52</v>
      </c>
      <c r="Y495">
        <v>495.05</v>
      </c>
      <c r="Z495">
        <v>1866.57</v>
      </c>
      <c r="AA495" t="s">
        <v>63</v>
      </c>
      <c r="AB495">
        <v>0</v>
      </c>
      <c r="AC495">
        <v>76.05</v>
      </c>
      <c r="AD495">
        <v>398</v>
      </c>
      <c r="AE495">
        <v>417</v>
      </c>
    </row>
    <row r="496" spans="1:31" x14ac:dyDescent="0.25">
      <c r="A496" t="s">
        <v>2527</v>
      </c>
      <c r="B496" t="s">
        <v>2528</v>
      </c>
      <c r="C496" s="1">
        <v>45164</v>
      </c>
      <c r="D496" s="1">
        <v>45512</v>
      </c>
      <c r="E496" t="s">
        <v>50</v>
      </c>
      <c r="F496" t="s">
        <v>93</v>
      </c>
      <c r="G496" t="s">
        <v>337</v>
      </c>
      <c r="H496" t="s">
        <v>53</v>
      </c>
      <c r="I496" t="s">
        <v>2529</v>
      </c>
      <c r="J496" t="s">
        <v>82</v>
      </c>
      <c r="K496" t="s">
        <v>39</v>
      </c>
      <c r="L496" t="s">
        <v>2530</v>
      </c>
      <c r="M496">
        <v>360.35</v>
      </c>
      <c r="N496">
        <v>38</v>
      </c>
      <c r="O496" t="s">
        <v>1791</v>
      </c>
      <c r="P496" t="s">
        <v>59</v>
      </c>
      <c r="Q496" t="s">
        <v>143</v>
      </c>
      <c r="R496" t="s">
        <v>44</v>
      </c>
      <c r="S496" t="s">
        <v>128</v>
      </c>
      <c r="T496" t="s">
        <v>161</v>
      </c>
      <c r="U496">
        <v>174</v>
      </c>
      <c r="V496">
        <v>92</v>
      </c>
      <c r="W496">
        <v>16</v>
      </c>
      <c r="X496">
        <v>1045.9000000000001</v>
      </c>
      <c r="Y496">
        <v>242.11</v>
      </c>
      <c r="Z496">
        <v>1288.01</v>
      </c>
      <c r="AA496" t="s">
        <v>63</v>
      </c>
      <c r="AB496">
        <v>0</v>
      </c>
      <c r="AC496">
        <v>88.78</v>
      </c>
      <c r="AD496">
        <v>237</v>
      </c>
      <c r="AE496">
        <v>265</v>
      </c>
    </row>
    <row r="497" spans="1:31" x14ac:dyDescent="0.25">
      <c r="A497" t="s">
        <v>2531</v>
      </c>
      <c r="B497" t="s">
        <v>2532</v>
      </c>
      <c r="C497" s="1">
        <v>44158</v>
      </c>
      <c r="D497" s="1">
        <v>44599</v>
      </c>
      <c r="E497" t="s">
        <v>66</v>
      </c>
      <c r="F497" t="s">
        <v>51</v>
      </c>
      <c r="G497" t="s">
        <v>35</v>
      </c>
      <c r="H497" t="s">
        <v>164</v>
      </c>
      <c r="I497" t="s">
        <v>2533</v>
      </c>
      <c r="J497" t="s">
        <v>107</v>
      </c>
      <c r="K497" t="s">
        <v>39</v>
      </c>
      <c r="L497" t="s">
        <v>2534</v>
      </c>
      <c r="M497">
        <v>265.64999999999998</v>
      </c>
      <c r="N497">
        <v>17</v>
      </c>
      <c r="O497" t="s">
        <v>1266</v>
      </c>
      <c r="P497" t="s">
        <v>110</v>
      </c>
      <c r="Q497" t="s">
        <v>43</v>
      </c>
      <c r="R497" t="s">
        <v>44</v>
      </c>
      <c r="S497" t="s">
        <v>89</v>
      </c>
      <c r="T497" t="s">
        <v>190</v>
      </c>
      <c r="U497">
        <v>2669</v>
      </c>
      <c r="V497">
        <v>57</v>
      </c>
      <c r="W497">
        <v>5</v>
      </c>
      <c r="X497">
        <v>927.98</v>
      </c>
      <c r="Y497">
        <v>423.01</v>
      </c>
      <c r="Z497">
        <v>1350.99</v>
      </c>
      <c r="AA497" t="s">
        <v>47</v>
      </c>
      <c r="AB497">
        <v>14</v>
      </c>
      <c r="AC497">
        <v>83.16</v>
      </c>
      <c r="AD497">
        <v>317</v>
      </c>
      <c r="AE497">
        <v>296</v>
      </c>
    </row>
    <row r="498" spans="1:31" x14ac:dyDescent="0.25">
      <c r="A498" t="s">
        <v>2535</v>
      </c>
      <c r="B498" t="s">
        <v>2536</v>
      </c>
      <c r="C498" s="1">
        <v>44757</v>
      </c>
      <c r="D498" s="1">
        <v>45562</v>
      </c>
      <c r="E498" t="s">
        <v>50</v>
      </c>
      <c r="F498" t="s">
        <v>147</v>
      </c>
      <c r="G498" t="s">
        <v>35</v>
      </c>
      <c r="H498" t="s">
        <v>53</v>
      </c>
      <c r="I498" t="s">
        <v>2537</v>
      </c>
      <c r="J498" t="s">
        <v>38</v>
      </c>
      <c r="K498" t="s">
        <v>56</v>
      </c>
      <c r="L498" t="s">
        <v>2538</v>
      </c>
      <c r="M498">
        <v>94.64</v>
      </c>
      <c r="N498">
        <v>3</v>
      </c>
      <c r="O498" t="s">
        <v>2539</v>
      </c>
      <c r="P498" t="s">
        <v>42</v>
      </c>
      <c r="Q498" t="s">
        <v>261</v>
      </c>
      <c r="R498" t="s">
        <v>44</v>
      </c>
      <c r="S498" t="s">
        <v>89</v>
      </c>
      <c r="T498" t="s">
        <v>309</v>
      </c>
      <c r="U498">
        <v>2681</v>
      </c>
      <c r="V498">
        <v>468</v>
      </c>
      <c r="W498">
        <v>28</v>
      </c>
      <c r="X498">
        <v>72.5</v>
      </c>
      <c r="Y498">
        <v>17.04</v>
      </c>
      <c r="Z498">
        <v>89.539999999999992</v>
      </c>
      <c r="AA498" t="s">
        <v>63</v>
      </c>
      <c r="AB498">
        <v>0</v>
      </c>
      <c r="AC498">
        <v>71.22</v>
      </c>
      <c r="AD498">
        <v>253</v>
      </c>
      <c r="AE498">
        <v>282</v>
      </c>
    </row>
    <row r="499" spans="1:31" x14ac:dyDescent="0.25">
      <c r="A499" t="s">
        <v>2540</v>
      </c>
      <c r="B499" t="s">
        <v>2541</v>
      </c>
      <c r="C499" s="1">
        <v>45007</v>
      </c>
      <c r="D499" s="1">
        <v>44425</v>
      </c>
      <c r="E499" t="s">
        <v>66</v>
      </c>
      <c r="F499" t="s">
        <v>51</v>
      </c>
      <c r="G499" t="s">
        <v>35</v>
      </c>
      <c r="H499" t="s">
        <v>116</v>
      </c>
      <c r="I499" t="s">
        <v>2542</v>
      </c>
      <c r="J499" t="s">
        <v>82</v>
      </c>
      <c r="K499" t="s">
        <v>39</v>
      </c>
      <c r="L499" t="s">
        <v>2543</v>
      </c>
      <c r="M499">
        <v>335.11</v>
      </c>
      <c r="N499">
        <v>23</v>
      </c>
      <c r="O499" t="s">
        <v>2544</v>
      </c>
      <c r="P499" t="s">
        <v>110</v>
      </c>
      <c r="Q499" t="s">
        <v>404</v>
      </c>
      <c r="R499" t="s">
        <v>61</v>
      </c>
      <c r="S499" t="s">
        <v>74</v>
      </c>
      <c r="T499" t="s">
        <v>176</v>
      </c>
      <c r="U499">
        <v>2377</v>
      </c>
      <c r="V499">
        <v>105</v>
      </c>
      <c r="W499">
        <v>10</v>
      </c>
      <c r="X499">
        <v>721.62</v>
      </c>
      <c r="Y499">
        <v>388.06</v>
      </c>
      <c r="Z499">
        <v>1109.68</v>
      </c>
      <c r="AA499" t="s">
        <v>47</v>
      </c>
      <c r="AB499">
        <v>9</v>
      </c>
      <c r="AC499">
        <v>91.14</v>
      </c>
      <c r="AD499">
        <v>235</v>
      </c>
      <c r="AE499">
        <v>231</v>
      </c>
    </row>
    <row r="500" spans="1:31" x14ac:dyDescent="0.25">
      <c r="A500" t="s">
        <v>2545</v>
      </c>
      <c r="B500" t="s">
        <v>2546</v>
      </c>
      <c r="C500" s="1">
        <v>45168</v>
      </c>
      <c r="D500" s="1">
        <v>43872</v>
      </c>
      <c r="E500" t="s">
        <v>50</v>
      </c>
      <c r="F500" t="s">
        <v>78</v>
      </c>
      <c r="G500" t="s">
        <v>79</v>
      </c>
      <c r="H500" t="s">
        <v>80</v>
      </c>
      <c r="I500" t="s">
        <v>2547</v>
      </c>
      <c r="J500" t="s">
        <v>96</v>
      </c>
      <c r="K500" t="s">
        <v>70</v>
      </c>
      <c r="L500" t="s">
        <v>2548</v>
      </c>
      <c r="M500">
        <v>347.43</v>
      </c>
      <c r="N500">
        <v>90</v>
      </c>
      <c r="O500" t="s">
        <v>1043</v>
      </c>
      <c r="P500" t="s">
        <v>59</v>
      </c>
      <c r="Q500" t="s">
        <v>189</v>
      </c>
      <c r="R500" t="s">
        <v>153</v>
      </c>
      <c r="S500" t="s">
        <v>89</v>
      </c>
      <c r="T500" t="s">
        <v>508</v>
      </c>
      <c r="U500">
        <v>4810</v>
      </c>
      <c r="V500">
        <v>360</v>
      </c>
      <c r="W500">
        <v>27</v>
      </c>
      <c r="X500">
        <v>1442.79</v>
      </c>
      <c r="Y500">
        <v>196.81</v>
      </c>
      <c r="Z500">
        <v>1639.6</v>
      </c>
      <c r="AA500" t="s">
        <v>63</v>
      </c>
      <c r="AB500">
        <v>0</v>
      </c>
      <c r="AC500">
        <v>85.29</v>
      </c>
      <c r="AD500">
        <v>452</v>
      </c>
      <c r="AE500">
        <v>463</v>
      </c>
    </row>
    <row r="501" spans="1:31" x14ac:dyDescent="0.25">
      <c r="A501" t="s">
        <v>2549</v>
      </c>
      <c r="B501" t="s">
        <v>2550</v>
      </c>
      <c r="C501" s="1">
        <v>44790</v>
      </c>
      <c r="D501" s="1">
        <v>44434</v>
      </c>
      <c r="E501" t="s">
        <v>50</v>
      </c>
      <c r="F501" t="s">
        <v>147</v>
      </c>
      <c r="G501" t="s">
        <v>79</v>
      </c>
      <c r="H501" t="s">
        <v>36</v>
      </c>
      <c r="I501" t="s">
        <v>2551</v>
      </c>
      <c r="J501" t="s">
        <v>107</v>
      </c>
      <c r="K501" t="s">
        <v>39</v>
      </c>
      <c r="L501" t="s">
        <v>2552</v>
      </c>
      <c r="M501">
        <v>234.09</v>
      </c>
      <c r="N501">
        <v>31</v>
      </c>
      <c r="O501" t="s">
        <v>2553</v>
      </c>
      <c r="P501" t="s">
        <v>142</v>
      </c>
      <c r="Q501" t="s">
        <v>328</v>
      </c>
      <c r="R501" t="s">
        <v>153</v>
      </c>
      <c r="S501" t="s">
        <v>74</v>
      </c>
      <c r="T501" t="s">
        <v>434</v>
      </c>
      <c r="U501">
        <v>2087</v>
      </c>
      <c r="V501">
        <v>384</v>
      </c>
      <c r="W501">
        <v>24</v>
      </c>
      <c r="X501">
        <v>1985.63</v>
      </c>
      <c r="Y501">
        <v>453.1</v>
      </c>
      <c r="Z501">
        <v>2438.73</v>
      </c>
      <c r="AA501" t="s">
        <v>63</v>
      </c>
      <c r="AB501">
        <v>0</v>
      </c>
      <c r="AC501">
        <v>77.53</v>
      </c>
      <c r="AD501">
        <v>457</v>
      </c>
      <c r="AE501">
        <v>408</v>
      </c>
    </row>
    <row r="502" spans="1:31" x14ac:dyDescent="0.25">
      <c r="A502" t="s">
        <v>2554</v>
      </c>
      <c r="B502" t="s">
        <v>2555</v>
      </c>
      <c r="C502" s="1">
        <v>45380</v>
      </c>
      <c r="D502" s="1">
        <v>44781</v>
      </c>
      <c r="E502" t="s">
        <v>66</v>
      </c>
      <c r="F502" t="s">
        <v>147</v>
      </c>
      <c r="G502" t="s">
        <v>35</v>
      </c>
      <c r="H502" t="s">
        <v>53</v>
      </c>
      <c r="I502" t="s">
        <v>2556</v>
      </c>
      <c r="J502" t="s">
        <v>96</v>
      </c>
      <c r="K502" t="s">
        <v>39</v>
      </c>
      <c r="L502" t="s">
        <v>2557</v>
      </c>
      <c r="M502">
        <v>362.52</v>
      </c>
      <c r="N502">
        <v>69</v>
      </c>
      <c r="O502" t="s">
        <v>1017</v>
      </c>
      <c r="P502" t="s">
        <v>59</v>
      </c>
      <c r="Q502" t="s">
        <v>100</v>
      </c>
      <c r="R502" t="s">
        <v>44</v>
      </c>
      <c r="S502" t="s">
        <v>74</v>
      </c>
      <c r="T502" t="s">
        <v>235</v>
      </c>
      <c r="U502">
        <v>3557</v>
      </c>
      <c r="V502">
        <v>178</v>
      </c>
      <c r="W502">
        <v>27</v>
      </c>
      <c r="X502">
        <v>262.18</v>
      </c>
      <c r="Y502">
        <v>472.97</v>
      </c>
      <c r="Z502">
        <v>735.15000000000009</v>
      </c>
      <c r="AA502" t="s">
        <v>63</v>
      </c>
      <c r="AB502">
        <v>0</v>
      </c>
      <c r="AC502">
        <v>82.29</v>
      </c>
      <c r="AD502">
        <v>453</v>
      </c>
      <c r="AE502">
        <v>446</v>
      </c>
    </row>
    <row r="503" spans="1:31" x14ac:dyDescent="0.25">
      <c r="A503" t="s">
        <v>2558</v>
      </c>
      <c r="B503" t="s">
        <v>2559</v>
      </c>
      <c r="C503" s="1">
        <v>45551</v>
      </c>
      <c r="D503" s="1">
        <v>44793</v>
      </c>
      <c r="E503" t="s">
        <v>66</v>
      </c>
      <c r="F503" t="s">
        <v>78</v>
      </c>
      <c r="G503" t="s">
        <v>115</v>
      </c>
      <c r="H503" t="s">
        <v>68</v>
      </c>
      <c r="I503" t="s">
        <v>2560</v>
      </c>
      <c r="J503" t="s">
        <v>55</v>
      </c>
      <c r="K503" t="s">
        <v>56</v>
      </c>
      <c r="L503" t="s">
        <v>2561</v>
      </c>
      <c r="M503">
        <v>349.56</v>
      </c>
      <c r="N503">
        <v>31</v>
      </c>
      <c r="O503" t="s">
        <v>2562</v>
      </c>
      <c r="P503" t="s">
        <v>86</v>
      </c>
      <c r="Q503" t="s">
        <v>248</v>
      </c>
      <c r="R503" t="s">
        <v>88</v>
      </c>
      <c r="S503" t="s">
        <v>45</v>
      </c>
      <c r="T503" t="s">
        <v>415</v>
      </c>
      <c r="U503">
        <v>3491</v>
      </c>
      <c r="V503">
        <v>90</v>
      </c>
      <c r="W503">
        <v>18</v>
      </c>
      <c r="X503">
        <v>146.91999999999999</v>
      </c>
      <c r="Y503">
        <v>483.51</v>
      </c>
      <c r="Z503">
        <v>630.42999999999995</v>
      </c>
      <c r="AA503" t="s">
        <v>63</v>
      </c>
      <c r="AB503">
        <v>0</v>
      </c>
      <c r="AC503">
        <v>80.8</v>
      </c>
      <c r="AD503">
        <v>252</v>
      </c>
      <c r="AE503">
        <v>237</v>
      </c>
    </row>
    <row r="504" spans="1:31" x14ac:dyDescent="0.25">
      <c r="A504" t="s">
        <v>2563</v>
      </c>
      <c r="B504" t="s">
        <v>2564</v>
      </c>
      <c r="C504" s="1">
        <v>45601</v>
      </c>
      <c r="D504" s="1">
        <v>45065</v>
      </c>
      <c r="E504" t="s">
        <v>33</v>
      </c>
      <c r="F504" t="s">
        <v>51</v>
      </c>
      <c r="G504" t="s">
        <v>67</v>
      </c>
      <c r="H504" t="s">
        <v>148</v>
      </c>
      <c r="I504" t="s">
        <v>2565</v>
      </c>
      <c r="J504" t="s">
        <v>107</v>
      </c>
      <c r="K504" t="s">
        <v>39</v>
      </c>
      <c r="L504" t="s">
        <v>2566</v>
      </c>
      <c r="M504">
        <v>261.39</v>
      </c>
      <c r="N504">
        <v>52</v>
      </c>
      <c r="O504" t="s">
        <v>427</v>
      </c>
      <c r="P504" t="s">
        <v>142</v>
      </c>
      <c r="Q504" t="s">
        <v>684</v>
      </c>
      <c r="R504" t="s">
        <v>44</v>
      </c>
      <c r="S504" t="s">
        <v>74</v>
      </c>
      <c r="T504" t="s">
        <v>652</v>
      </c>
      <c r="U504">
        <v>3685</v>
      </c>
      <c r="V504">
        <v>315</v>
      </c>
      <c r="W504">
        <v>11</v>
      </c>
      <c r="X504">
        <v>1671.5</v>
      </c>
      <c r="Y504">
        <v>356.7</v>
      </c>
      <c r="Z504">
        <v>2028.2</v>
      </c>
      <c r="AA504" t="s">
        <v>63</v>
      </c>
      <c r="AB504">
        <v>0</v>
      </c>
      <c r="AC504">
        <v>93.23</v>
      </c>
      <c r="AD504">
        <v>218</v>
      </c>
      <c r="AE504">
        <v>194</v>
      </c>
    </row>
    <row r="505" spans="1:31" x14ac:dyDescent="0.25">
      <c r="A505" t="s">
        <v>2567</v>
      </c>
      <c r="B505" t="s">
        <v>2568</v>
      </c>
      <c r="C505" s="1">
        <v>44977</v>
      </c>
      <c r="D505" s="1">
        <v>45571</v>
      </c>
      <c r="E505" t="s">
        <v>66</v>
      </c>
      <c r="F505" t="s">
        <v>78</v>
      </c>
      <c r="G505" t="s">
        <v>67</v>
      </c>
      <c r="H505" t="s">
        <v>116</v>
      </c>
      <c r="I505" t="s">
        <v>2569</v>
      </c>
      <c r="J505" t="s">
        <v>55</v>
      </c>
      <c r="K505" t="s">
        <v>39</v>
      </c>
      <c r="L505" t="s">
        <v>2570</v>
      </c>
      <c r="M505">
        <v>461.25</v>
      </c>
      <c r="N505">
        <v>81</v>
      </c>
      <c r="O505" t="s">
        <v>2571</v>
      </c>
      <c r="P505" t="s">
        <v>142</v>
      </c>
      <c r="Q505" t="s">
        <v>143</v>
      </c>
      <c r="R505" t="s">
        <v>153</v>
      </c>
      <c r="S505" t="s">
        <v>89</v>
      </c>
      <c r="T505" t="s">
        <v>316</v>
      </c>
      <c r="U505">
        <v>3397</v>
      </c>
      <c r="V505">
        <v>280</v>
      </c>
      <c r="W505">
        <v>17</v>
      </c>
      <c r="X505">
        <v>1044.22</v>
      </c>
      <c r="Y505">
        <v>247.75</v>
      </c>
      <c r="Z505">
        <v>1291.97</v>
      </c>
      <c r="AA505" t="s">
        <v>63</v>
      </c>
      <c r="AB505">
        <v>0</v>
      </c>
      <c r="AC505">
        <v>86.18</v>
      </c>
      <c r="AD505">
        <v>244</v>
      </c>
      <c r="AE505">
        <v>285</v>
      </c>
    </row>
    <row r="506" spans="1:31" x14ac:dyDescent="0.25">
      <c r="A506" t="s">
        <v>2572</v>
      </c>
      <c r="B506" t="s">
        <v>2573</v>
      </c>
      <c r="C506" s="1">
        <v>45063</v>
      </c>
      <c r="D506" s="1">
        <v>44292</v>
      </c>
      <c r="E506" t="s">
        <v>66</v>
      </c>
      <c r="F506" t="s">
        <v>78</v>
      </c>
      <c r="G506" t="s">
        <v>105</v>
      </c>
      <c r="H506" t="s">
        <v>148</v>
      </c>
      <c r="I506" t="s">
        <v>2574</v>
      </c>
      <c r="J506" t="s">
        <v>55</v>
      </c>
      <c r="K506" t="s">
        <v>70</v>
      </c>
      <c r="L506" t="s">
        <v>2575</v>
      </c>
      <c r="M506">
        <v>298.87</v>
      </c>
      <c r="N506">
        <v>29</v>
      </c>
      <c r="O506" t="s">
        <v>2576</v>
      </c>
      <c r="P506" t="s">
        <v>86</v>
      </c>
      <c r="Q506" t="s">
        <v>428</v>
      </c>
      <c r="R506" t="s">
        <v>88</v>
      </c>
      <c r="S506" t="s">
        <v>89</v>
      </c>
      <c r="T506" t="s">
        <v>737</v>
      </c>
      <c r="U506">
        <v>3112</v>
      </c>
      <c r="V506">
        <v>437</v>
      </c>
      <c r="W506">
        <v>11</v>
      </c>
      <c r="X506">
        <v>226.89</v>
      </c>
      <c r="Y506">
        <v>489.57</v>
      </c>
      <c r="Z506">
        <v>716.46</v>
      </c>
      <c r="AA506" t="s">
        <v>63</v>
      </c>
      <c r="AB506">
        <v>0</v>
      </c>
      <c r="AC506">
        <v>82.23</v>
      </c>
      <c r="AD506">
        <v>225</v>
      </c>
      <c r="AE506">
        <v>182</v>
      </c>
    </row>
    <row r="507" spans="1:31" x14ac:dyDescent="0.25">
      <c r="A507" t="s">
        <v>2577</v>
      </c>
      <c r="B507" t="s">
        <v>2578</v>
      </c>
      <c r="C507" s="1">
        <v>43874</v>
      </c>
      <c r="D507" s="1">
        <v>45588</v>
      </c>
      <c r="E507" t="s">
        <v>66</v>
      </c>
      <c r="F507" t="s">
        <v>93</v>
      </c>
      <c r="G507" t="s">
        <v>115</v>
      </c>
      <c r="H507" t="s">
        <v>80</v>
      </c>
      <c r="I507" t="s">
        <v>2579</v>
      </c>
      <c r="J507" t="s">
        <v>82</v>
      </c>
      <c r="K507" t="s">
        <v>83</v>
      </c>
      <c r="L507" t="s">
        <v>2580</v>
      </c>
      <c r="M507">
        <v>469.98</v>
      </c>
      <c r="N507">
        <v>35</v>
      </c>
      <c r="O507" t="s">
        <v>2581</v>
      </c>
      <c r="P507" t="s">
        <v>42</v>
      </c>
      <c r="Q507" t="s">
        <v>488</v>
      </c>
      <c r="R507" t="s">
        <v>88</v>
      </c>
      <c r="S507" t="s">
        <v>128</v>
      </c>
      <c r="T507" t="s">
        <v>1339</v>
      </c>
      <c r="U507">
        <v>3235</v>
      </c>
      <c r="V507">
        <v>190</v>
      </c>
      <c r="W507">
        <v>11</v>
      </c>
      <c r="X507">
        <v>1699.56</v>
      </c>
      <c r="Y507">
        <v>495.05</v>
      </c>
      <c r="Z507">
        <v>2194.61</v>
      </c>
      <c r="AA507" t="s">
        <v>63</v>
      </c>
      <c r="AB507">
        <v>0</v>
      </c>
      <c r="AC507">
        <v>92.89</v>
      </c>
      <c r="AD507">
        <v>453</v>
      </c>
      <c r="AE507">
        <v>482</v>
      </c>
    </row>
    <row r="508" spans="1:31" x14ac:dyDescent="0.25">
      <c r="A508" t="s">
        <v>2582</v>
      </c>
      <c r="B508" t="s">
        <v>2583</v>
      </c>
      <c r="C508" s="1">
        <v>44187</v>
      </c>
      <c r="D508" s="1">
        <v>45429</v>
      </c>
      <c r="E508" t="s">
        <v>50</v>
      </c>
      <c r="F508" t="s">
        <v>34</v>
      </c>
      <c r="G508" t="s">
        <v>105</v>
      </c>
      <c r="H508" t="s">
        <v>218</v>
      </c>
      <c r="I508" t="s">
        <v>2584</v>
      </c>
      <c r="J508" t="s">
        <v>38</v>
      </c>
      <c r="K508" t="s">
        <v>97</v>
      </c>
      <c r="L508" t="s">
        <v>2585</v>
      </c>
      <c r="M508">
        <v>329.81</v>
      </c>
      <c r="N508">
        <v>10</v>
      </c>
      <c r="O508" t="s">
        <v>2586</v>
      </c>
      <c r="P508" t="s">
        <v>142</v>
      </c>
      <c r="Q508" t="s">
        <v>541</v>
      </c>
      <c r="R508" t="s">
        <v>61</v>
      </c>
      <c r="S508" t="s">
        <v>45</v>
      </c>
      <c r="T508" t="s">
        <v>939</v>
      </c>
      <c r="U508">
        <v>287</v>
      </c>
      <c r="V508">
        <v>221</v>
      </c>
      <c r="W508">
        <v>16</v>
      </c>
      <c r="X508">
        <v>1298.98</v>
      </c>
      <c r="Y508">
        <v>172.38</v>
      </c>
      <c r="Z508">
        <v>1471.36</v>
      </c>
      <c r="AA508" t="s">
        <v>63</v>
      </c>
      <c r="AB508">
        <v>0</v>
      </c>
      <c r="AC508">
        <v>81.05</v>
      </c>
      <c r="AD508">
        <v>278</v>
      </c>
      <c r="AE508">
        <v>322</v>
      </c>
    </row>
    <row r="509" spans="1:31" x14ac:dyDescent="0.25">
      <c r="A509" t="s">
        <v>2587</v>
      </c>
      <c r="B509" t="s">
        <v>2588</v>
      </c>
      <c r="C509" s="1">
        <v>44258</v>
      </c>
      <c r="D509" s="1">
        <v>45316</v>
      </c>
      <c r="E509" t="s">
        <v>50</v>
      </c>
      <c r="F509" t="s">
        <v>78</v>
      </c>
      <c r="G509" t="s">
        <v>115</v>
      </c>
      <c r="H509" t="s">
        <v>116</v>
      </c>
      <c r="I509" t="s">
        <v>2589</v>
      </c>
      <c r="J509" t="s">
        <v>82</v>
      </c>
      <c r="K509" t="s">
        <v>83</v>
      </c>
      <c r="L509" t="s">
        <v>2590</v>
      </c>
      <c r="M509">
        <v>155.25</v>
      </c>
      <c r="N509">
        <v>66</v>
      </c>
      <c r="O509" t="s">
        <v>2591</v>
      </c>
      <c r="P509" t="s">
        <v>110</v>
      </c>
      <c r="Q509" t="s">
        <v>315</v>
      </c>
      <c r="R509" t="s">
        <v>153</v>
      </c>
      <c r="S509" t="s">
        <v>101</v>
      </c>
      <c r="T509" t="s">
        <v>190</v>
      </c>
      <c r="U509">
        <v>858</v>
      </c>
      <c r="V509">
        <v>437</v>
      </c>
      <c r="W509">
        <v>24</v>
      </c>
      <c r="X509">
        <v>1164.81</v>
      </c>
      <c r="Y509">
        <v>254.17</v>
      </c>
      <c r="Z509">
        <v>1418.98</v>
      </c>
      <c r="AA509" t="s">
        <v>47</v>
      </c>
      <c r="AB509">
        <v>2</v>
      </c>
      <c r="AC509">
        <v>92.7</v>
      </c>
      <c r="AD509">
        <v>226</v>
      </c>
      <c r="AE509">
        <v>221</v>
      </c>
    </row>
    <row r="510" spans="1:31" x14ac:dyDescent="0.25">
      <c r="A510" t="s">
        <v>2592</v>
      </c>
      <c r="B510" t="s">
        <v>2593</v>
      </c>
      <c r="C510" s="1">
        <v>45352</v>
      </c>
      <c r="D510" s="1">
        <v>44633</v>
      </c>
      <c r="E510" t="s">
        <v>66</v>
      </c>
      <c r="F510" t="s">
        <v>93</v>
      </c>
      <c r="G510" t="s">
        <v>94</v>
      </c>
      <c r="H510" t="s">
        <v>164</v>
      </c>
      <c r="I510" t="s">
        <v>2594</v>
      </c>
      <c r="J510" t="s">
        <v>96</v>
      </c>
      <c r="K510" t="s">
        <v>56</v>
      </c>
      <c r="L510" t="s">
        <v>2595</v>
      </c>
      <c r="M510">
        <v>485.7</v>
      </c>
      <c r="N510">
        <v>63</v>
      </c>
      <c r="O510" t="s">
        <v>2596</v>
      </c>
      <c r="P510" t="s">
        <v>110</v>
      </c>
      <c r="Q510" t="s">
        <v>404</v>
      </c>
      <c r="R510" t="s">
        <v>153</v>
      </c>
      <c r="S510" t="s">
        <v>128</v>
      </c>
      <c r="T510" t="s">
        <v>279</v>
      </c>
      <c r="U510">
        <v>4886</v>
      </c>
      <c r="V510">
        <v>263</v>
      </c>
      <c r="W510">
        <v>12</v>
      </c>
      <c r="X510">
        <v>666.52</v>
      </c>
      <c r="Y510">
        <v>187.03</v>
      </c>
      <c r="Z510">
        <v>853.55</v>
      </c>
      <c r="AA510" t="s">
        <v>63</v>
      </c>
      <c r="AB510">
        <v>0</v>
      </c>
      <c r="AC510">
        <v>82.68</v>
      </c>
      <c r="AD510">
        <v>100</v>
      </c>
      <c r="AE510">
        <v>106</v>
      </c>
    </row>
    <row r="511" spans="1:31" x14ac:dyDescent="0.25">
      <c r="A511" t="s">
        <v>2597</v>
      </c>
      <c r="B511" t="s">
        <v>2598</v>
      </c>
      <c r="C511" s="1">
        <v>45467</v>
      </c>
      <c r="D511" s="1">
        <v>45653</v>
      </c>
      <c r="E511" t="s">
        <v>50</v>
      </c>
      <c r="F511" t="s">
        <v>93</v>
      </c>
      <c r="G511" t="s">
        <v>115</v>
      </c>
      <c r="H511" t="s">
        <v>148</v>
      </c>
      <c r="I511" t="s">
        <v>2599</v>
      </c>
      <c r="J511" t="s">
        <v>107</v>
      </c>
      <c r="K511" t="s">
        <v>70</v>
      </c>
      <c r="L511" t="s">
        <v>2600</v>
      </c>
      <c r="M511">
        <v>489.95</v>
      </c>
      <c r="N511">
        <v>41</v>
      </c>
      <c r="O511" t="s">
        <v>2601</v>
      </c>
      <c r="P511" t="s">
        <v>42</v>
      </c>
      <c r="Q511" t="s">
        <v>160</v>
      </c>
      <c r="R511" t="s">
        <v>88</v>
      </c>
      <c r="S511" t="s">
        <v>74</v>
      </c>
      <c r="T511" t="s">
        <v>303</v>
      </c>
      <c r="U511">
        <v>3410</v>
      </c>
      <c r="V511">
        <v>499</v>
      </c>
      <c r="W511">
        <v>13</v>
      </c>
      <c r="X511">
        <v>1855.33</v>
      </c>
      <c r="Y511">
        <v>303</v>
      </c>
      <c r="Z511">
        <v>2158.33</v>
      </c>
      <c r="AA511" t="s">
        <v>63</v>
      </c>
      <c r="AB511">
        <v>0</v>
      </c>
      <c r="AC511">
        <v>93</v>
      </c>
      <c r="AD511">
        <v>87</v>
      </c>
      <c r="AE511">
        <v>80</v>
      </c>
    </row>
    <row r="512" spans="1:31" x14ac:dyDescent="0.25">
      <c r="A512" t="s">
        <v>2602</v>
      </c>
      <c r="B512" t="s">
        <v>2603</v>
      </c>
      <c r="C512" s="1">
        <v>44625</v>
      </c>
      <c r="D512" s="1">
        <v>45584</v>
      </c>
      <c r="E512" t="s">
        <v>66</v>
      </c>
      <c r="F512" t="s">
        <v>93</v>
      </c>
      <c r="G512" t="s">
        <v>52</v>
      </c>
      <c r="H512" t="s">
        <v>68</v>
      </c>
      <c r="I512" t="s">
        <v>2604</v>
      </c>
      <c r="J512" t="s">
        <v>107</v>
      </c>
      <c r="K512" t="s">
        <v>83</v>
      </c>
      <c r="L512" t="s">
        <v>2605</v>
      </c>
      <c r="M512">
        <v>299.81</v>
      </c>
      <c r="N512">
        <v>27</v>
      </c>
      <c r="O512" t="s">
        <v>2606</v>
      </c>
      <c r="P512" t="s">
        <v>142</v>
      </c>
      <c r="Q512" t="s">
        <v>488</v>
      </c>
      <c r="R512" t="s">
        <v>153</v>
      </c>
      <c r="S512" t="s">
        <v>128</v>
      </c>
      <c r="T512" t="s">
        <v>112</v>
      </c>
      <c r="U512">
        <v>210</v>
      </c>
      <c r="V512">
        <v>481</v>
      </c>
      <c r="W512">
        <v>2</v>
      </c>
      <c r="X512">
        <v>781.61</v>
      </c>
      <c r="Y512">
        <v>418.42</v>
      </c>
      <c r="Z512">
        <v>1200.03</v>
      </c>
      <c r="AA512" t="s">
        <v>63</v>
      </c>
      <c r="AB512">
        <v>0</v>
      </c>
      <c r="AC512">
        <v>79.75</v>
      </c>
      <c r="AD512">
        <v>323</v>
      </c>
      <c r="AE512">
        <v>300</v>
      </c>
    </row>
    <row r="513" spans="1:31" x14ac:dyDescent="0.25">
      <c r="A513" t="s">
        <v>2607</v>
      </c>
      <c r="B513" t="s">
        <v>2608</v>
      </c>
      <c r="C513" s="1">
        <v>44703</v>
      </c>
      <c r="D513" s="1">
        <v>44808</v>
      </c>
      <c r="E513" t="s">
        <v>50</v>
      </c>
      <c r="F513" t="s">
        <v>78</v>
      </c>
      <c r="G513" t="s">
        <v>67</v>
      </c>
      <c r="H513" t="s">
        <v>36</v>
      </c>
      <c r="I513" t="s">
        <v>2609</v>
      </c>
      <c r="J513" t="s">
        <v>107</v>
      </c>
      <c r="K513" t="s">
        <v>83</v>
      </c>
      <c r="L513" t="s">
        <v>2610</v>
      </c>
      <c r="M513">
        <v>412.26</v>
      </c>
      <c r="N513">
        <v>39</v>
      </c>
      <c r="O513" t="s">
        <v>2611</v>
      </c>
      <c r="P513" t="s">
        <v>86</v>
      </c>
      <c r="Q513" t="s">
        <v>700</v>
      </c>
      <c r="R513" t="s">
        <v>88</v>
      </c>
      <c r="S513" t="s">
        <v>128</v>
      </c>
      <c r="T513" t="s">
        <v>121</v>
      </c>
      <c r="U513">
        <v>3650</v>
      </c>
      <c r="V513">
        <v>408</v>
      </c>
      <c r="W513">
        <v>27</v>
      </c>
      <c r="X513">
        <v>1728.03</v>
      </c>
      <c r="Y513">
        <v>49.34</v>
      </c>
      <c r="Z513">
        <v>1777.37</v>
      </c>
      <c r="AA513" t="s">
        <v>63</v>
      </c>
      <c r="AB513">
        <v>0</v>
      </c>
      <c r="AC513">
        <v>90.54</v>
      </c>
      <c r="AD513">
        <v>307</v>
      </c>
      <c r="AE513">
        <v>341</v>
      </c>
    </row>
    <row r="514" spans="1:31" x14ac:dyDescent="0.25">
      <c r="A514" t="s">
        <v>2612</v>
      </c>
      <c r="B514" t="s">
        <v>2613</v>
      </c>
      <c r="C514" s="1">
        <v>43988</v>
      </c>
      <c r="D514" s="1">
        <v>44289</v>
      </c>
      <c r="E514" t="s">
        <v>66</v>
      </c>
      <c r="F514" t="s">
        <v>147</v>
      </c>
      <c r="G514" t="s">
        <v>115</v>
      </c>
      <c r="H514" t="s">
        <v>218</v>
      </c>
      <c r="I514" t="s">
        <v>2614</v>
      </c>
      <c r="J514" t="s">
        <v>38</v>
      </c>
      <c r="K514" t="s">
        <v>97</v>
      </c>
      <c r="L514" t="s">
        <v>2615</v>
      </c>
      <c r="M514">
        <v>318.23</v>
      </c>
      <c r="N514">
        <v>68</v>
      </c>
      <c r="O514" t="s">
        <v>2341</v>
      </c>
      <c r="P514" t="s">
        <v>42</v>
      </c>
      <c r="Q514" t="s">
        <v>43</v>
      </c>
      <c r="R514" t="s">
        <v>88</v>
      </c>
      <c r="S514" t="s">
        <v>45</v>
      </c>
      <c r="T514" t="s">
        <v>372</v>
      </c>
      <c r="U514">
        <v>491</v>
      </c>
      <c r="V514">
        <v>242</v>
      </c>
      <c r="W514">
        <v>6</v>
      </c>
      <c r="X514">
        <v>145.46</v>
      </c>
      <c r="Y514">
        <v>135.18</v>
      </c>
      <c r="Z514">
        <v>280.64</v>
      </c>
      <c r="AA514" t="s">
        <v>63</v>
      </c>
      <c r="AB514">
        <v>0</v>
      </c>
      <c r="AC514">
        <v>84.62</v>
      </c>
      <c r="AD514">
        <v>305</v>
      </c>
      <c r="AE514">
        <v>303</v>
      </c>
    </row>
    <row r="515" spans="1:31" x14ac:dyDescent="0.25">
      <c r="A515" t="s">
        <v>2616</v>
      </c>
      <c r="B515" t="s">
        <v>2617</v>
      </c>
      <c r="C515" s="1">
        <v>44098</v>
      </c>
      <c r="D515" s="1">
        <v>44041</v>
      </c>
      <c r="E515" t="s">
        <v>50</v>
      </c>
      <c r="F515" t="s">
        <v>147</v>
      </c>
      <c r="G515" t="s">
        <v>115</v>
      </c>
      <c r="H515" t="s">
        <v>218</v>
      </c>
      <c r="I515" t="s">
        <v>2618</v>
      </c>
      <c r="J515" t="s">
        <v>96</v>
      </c>
      <c r="K515" t="s">
        <v>56</v>
      </c>
      <c r="L515" t="s">
        <v>2619</v>
      </c>
      <c r="M515">
        <v>326.58999999999997</v>
      </c>
      <c r="N515">
        <v>7</v>
      </c>
      <c r="O515" t="s">
        <v>809</v>
      </c>
      <c r="P515" t="s">
        <v>42</v>
      </c>
      <c r="Q515" t="s">
        <v>182</v>
      </c>
      <c r="R515" t="s">
        <v>88</v>
      </c>
      <c r="S515" t="s">
        <v>128</v>
      </c>
      <c r="T515" t="s">
        <v>190</v>
      </c>
      <c r="U515">
        <v>4932</v>
      </c>
      <c r="V515">
        <v>209</v>
      </c>
      <c r="W515">
        <v>28</v>
      </c>
      <c r="X515">
        <v>348.55</v>
      </c>
      <c r="Y515">
        <v>134.19999999999999</v>
      </c>
      <c r="Z515">
        <v>482.75</v>
      </c>
      <c r="AA515" t="s">
        <v>63</v>
      </c>
      <c r="AB515">
        <v>0</v>
      </c>
      <c r="AC515">
        <v>95.92</v>
      </c>
      <c r="AD515">
        <v>495</v>
      </c>
      <c r="AE515">
        <v>506</v>
      </c>
    </row>
    <row r="516" spans="1:31" x14ac:dyDescent="0.25">
      <c r="A516" t="s">
        <v>2620</v>
      </c>
      <c r="B516" t="s">
        <v>2621</v>
      </c>
      <c r="C516" s="1">
        <v>45532</v>
      </c>
      <c r="D516" s="1">
        <v>45018</v>
      </c>
      <c r="E516" t="s">
        <v>66</v>
      </c>
      <c r="F516" t="s">
        <v>51</v>
      </c>
      <c r="G516" t="s">
        <v>105</v>
      </c>
      <c r="H516" t="s">
        <v>53</v>
      </c>
      <c r="I516" t="s">
        <v>2622</v>
      </c>
      <c r="J516" t="s">
        <v>107</v>
      </c>
      <c r="K516" t="s">
        <v>97</v>
      </c>
      <c r="L516" t="s">
        <v>2623</v>
      </c>
      <c r="M516">
        <v>366.12</v>
      </c>
      <c r="N516">
        <v>47</v>
      </c>
      <c r="O516" t="s">
        <v>2624</v>
      </c>
      <c r="P516" t="s">
        <v>42</v>
      </c>
      <c r="Q516" t="s">
        <v>997</v>
      </c>
      <c r="R516" t="s">
        <v>44</v>
      </c>
      <c r="S516" t="s">
        <v>101</v>
      </c>
      <c r="T516" t="s">
        <v>737</v>
      </c>
      <c r="U516">
        <v>357</v>
      </c>
      <c r="V516">
        <v>464</v>
      </c>
      <c r="W516">
        <v>2</v>
      </c>
      <c r="X516">
        <v>1015.74</v>
      </c>
      <c r="Y516">
        <v>73.2</v>
      </c>
      <c r="Z516">
        <v>1088.94</v>
      </c>
      <c r="AA516" t="s">
        <v>63</v>
      </c>
      <c r="AB516">
        <v>0</v>
      </c>
      <c r="AC516">
        <v>95.87</v>
      </c>
      <c r="AD516">
        <v>456</v>
      </c>
      <c r="AE516">
        <v>482</v>
      </c>
    </row>
    <row r="517" spans="1:31" x14ac:dyDescent="0.25">
      <c r="A517" t="s">
        <v>2625</v>
      </c>
      <c r="B517" t="s">
        <v>2626</v>
      </c>
      <c r="C517" s="1">
        <v>45373</v>
      </c>
      <c r="D517" s="1">
        <v>45448</v>
      </c>
      <c r="E517" t="s">
        <v>66</v>
      </c>
      <c r="F517" t="s">
        <v>93</v>
      </c>
      <c r="G517" t="s">
        <v>337</v>
      </c>
      <c r="H517" t="s">
        <v>116</v>
      </c>
      <c r="I517" t="s">
        <v>2627</v>
      </c>
      <c r="J517" t="s">
        <v>38</v>
      </c>
      <c r="K517" t="s">
        <v>97</v>
      </c>
      <c r="L517" t="s">
        <v>2628</v>
      </c>
      <c r="M517">
        <v>152.36000000000001</v>
      </c>
      <c r="N517">
        <v>85</v>
      </c>
      <c r="O517" t="s">
        <v>487</v>
      </c>
      <c r="P517" t="s">
        <v>59</v>
      </c>
      <c r="Q517" t="s">
        <v>168</v>
      </c>
      <c r="R517" t="s">
        <v>88</v>
      </c>
      <c r="S517" t="s">
        <v>128</v>
      </c>
      <c r="T517" t="s">
        <v>927</v>
      </c>
      <c r="U517">
        <v>669</v>
      </c>
      <c r="V517">
        <v>101</v>
      </c>
      <c r="W517">
        <v>6</v>
      </c>
      <c r="X517">
        <v>1097.06</v>
      </c>
      <c r="Y517">
        <v>487</v>
      </c>
      <c r="Z517">
        <v>1584.06</v>
      </c>
      <c r="AA517" t="s">
        <v>63</v>
      </c>
      <c r="AB517">
        <v>0</v>
      </c>
      <c r="AC517">
        <v>80.650000000000006</v>
      </c>
      <c r="AD517">
        <v>413</v>
      </c>
      <c r="AE517">
        <v>414</v>
      </c>
    </row>
    <row r="518" spans="1:31" x14ac:dyDescent="0.25">
      <c r="A518" t="s">
        <v>2629</v>
      </c>
      <c r="B518" t="s">
        <v>2630</v>
      </c>
      <c r="C518" s="1">
        <v>44135</v>
      </c>
      <c r="D518" s="1">
        <v>44742</v>
      </c>
      <c r="E518" t="s">
        <v>50</v>
      </c>
      <c r="F518" t="s">
        <v>51</v>
      </c>
      <c r="G518" t="s">
        <v>67</v>
      </c>
      <c r="H518" t="s">
        <v>116</v>
      </c>
      <c r="I518" t="s">
        <v>2631</v>
      </c>
      <c r="J518" t="s">
        <v>55</v>
      </c>
      <c r="K518" t="s">
        <v>70</v>
      </c>
      <c r="L518" t="s">
        <v>2632</v>
      </c>
      <c r="M518">
        <v>237.21</v>
      </c>
      <c r="N518">
        <v>53</v>
      </c>
      <c r="O518" t="s">
        <v>2633</v>
      </c>
      <c r="P518" t="s">
        <v>86</v>
      </c>
      <c r="Q518" t="s">
        <v>404</v>
      </c>
      <c r="R518" t="s">
        <v>61</v>
      </c>
      <c r="S518" t="s">
        <v>128</v>
      </c>
      <c r="T518" t="s">
        <v>196</v>
      </c>
      <c r="U518">
        <v>2243</v>
      </c>
      <c r="V518">
        <v>107</v>
      </c>
      <c r="W518">
        <v>10</v>
      </c>
      <c r="X518">
        <v>535.33000000000004</v>
      </c>
      <c r="Y518">
        <v>262.31</v>
      </c>
      <c r="Z518">
        <v>797.6400000000001</v>
      </c>
      <c r="AA518" t="s">
        <v>63</v>
      </c>
      <c r="AB518">
        <v>0</v>
      </c>
      <c r="AC518">
        <v>86</v>
      </c>
      <c r="AD518">
        <v>196</v>
      </c>
      <c r="AE518">
        <v>150</v>
      </c>
    </row>
    <row r="519" spans="1:31" x14ac:dyDescent="0.25">
      <c r="A519" t="s">
        <v>2634</v>
      </c>
      <c r="B519" t="s">
        <v>1961</v>
      </c>
      <c r="C519" s="1">
        <v>44149</v>
      </c>
      <c r="D519" s="1">
        <v>44670</v>
      </c>
      <c r="E519" t="s">
        <v>50</v>
      </c>
      <c r="F519" t="s">
        <v>78</v>
      </c>
      <c r="G519" t="s">
        <v>52</v>
      </c>
      <c r="H519" t="s">
        <v>218</v>
      </c>
      <c r="I519" t="s">
        <v>2635</v>
      </c>
      <c r="J519" t="s">
        <v>55</v>
      </c>
      <c r="K519" t="s">
        <v>70</v>
      </c>
      <c r="L519" t="s">
        <v>2636</v>
      </c>
      <c r="M519">
        <v>6.86</v>
      </c>
      <c r="N519">
        <v>65</v>
      </c>
      <c r="O519" t="s">
        <v>2637</v>
      </c>
      <c r="P519" t="s">
        <v>110</v>
      </c>
      <c r="Q519" t="s">
        <v>152</v>
      </c>
      <c r="R519" t="s">
        <v>153</v>
      </c>
      <c r="S519" t="s">
        <v>101</v>
      </c>
      <c r="T519" t="s">
        <v>1261</v>
      </c>
      <c r="U519">
        <v>4859</v>
      </c>
      <c r="V519">
        <v>342</v>
      </c>
      <c r="W519">
        <v>19</v>
      </c>
      <c r="X519">
        <v>770.51</v>
      </c>
      <c r="Y519">
        <v>51.78</v>
      </c>
      <c r="Z519">
        <v>822.29</v>
      </c>
      <c r="AA519" t="s">
        <v>63</v>
      </c>
      <c r="AB519">
        <v>0</v>
      </c>
      <c r="AC519">
        <v>88.27</v>
      </c>
      <c r="AD519">
        <v>386</v>
      </c>
      <c r="AE519">
        <v>359</v>
      </c>
    </row>
    <row r="520" spans="1:31" x14ac:dyDescent="0.25">
      <c r="A520" t="s">
        <v>2638</v>
      </c>
      <c r="B520" t="s">
        <v>2639</v>
      </c>
      <c r="C520" s="1">
        <v>44412</v>
      </c>
      <c r="D520" s="1">
        <v>45114</v>
      </c>
      <c r="E520" t="s">
        <v>50</v>
      </c>
      <c r="F520" t="s">
        <v>147</v>
      </c>
      <c r="G520" t="s">
        <v>94</v>
      </c>
      <c r="H520" t="s">
        <v>148</v>
      </c>
      <c r="I520" t="s">
        <v>2640</v>
      </c>
      <c r="J520" t="s">
        <v>82</v>
      </c>
      <c r="K520" t="s">
        <v>70</v>
      </c>
      <c r="L520" t="s">
        <v>2641</v>
      </c>
      <c r="M520">
        <v>178.29</v>
      </c>
      <c r="N520">
        <v>39</v>
      </c>
      <c r="O520" t="s">
        <v>2642</v>
      </c>
      <c r="P520" t="s">
        <v>42</v>
      </c>
      <c r="Q520" t="s">
        <v>234</v>
      </c>
      <c r="R520" t="s">
        <v>44</v>
      </c>
      <c r="S520" t="s">
        <v>101</v>
      </c>
      <c r="T520" t="s">
        <v>721</v>
      </c>
      <c r="U520">
        <v>4093</v>
      </c>
      <c r="V520">
        <v>95</v>
      </c>
      <c r="W520">
        <v>3</v>
      </c>
      <c r="X520">
        <v>1690.7</v>
      </c>
      <c r="Y520">
        <v>479.76</v>
      </c>
      <c r="Z520">
        <v>2170.46</v>
      </c>
      <c r="AA520" t="s">
        <v>63</v>
      </c>
      <c r="AB520">
        <v>0</v>
      </c>
      <c r="AC520">
        <v>88.9</v>
      </c>
      <c r="AD520">
        <v>455</v>
      </c>
      <c r="AE520">
        <v>470</v>
      </c>
    </row>
    <row r="521" spans="1:31" x14ac:dyDescent="0.25">
      <c r="A521" t="s">
        <v>2643</v>
      </c>
      <c r="B521" t="s">
        <v>2644</v>
      </c>
      <c r="C521" s="1">
        <v>45587</v>
      </c>
      <c r="D521" s="1">
        <v>45366</v>
      </c>
      <c r="E521" t="s">
        <v>66</v>
      </c>
      <c r="F521" t="s">
        <v>93</v>
      </c>
      <c r="G521" t="s">
        <v>79</v>
      </c>
      <c r="H521" t="s">
        <v>80</v>
      </c>
      <c r="I521" t="s">
        <v>2645</v>
      </c>
      <c r="J521" t="s">
        <v>82</v>
      </c>
      <c r="K521" t="s">
        <v>83</v>
      </c>
      <c r="L521" t="s">
        <v>2646</v>
      </c>
      <c r="M521">
        <v>137.11000000000001</v>
      </c>
      <c r="N521">
        <v>7</v>
      </c>
      <c r="O521" t="s">
        <v>2647</v>
      </c>
      <c r="P521" t="s">
        <v>42</v>
      </c>
      <c r="Q521" t="s">
        <v>261</v>
      </c>
      <c r="R521" t="s">
        <v>153</v>
      </c>
      <c r="S521" t="s">
        <v>45</v>
      </c>
      <c r="T521" t="s">
        <v>255</v>
      </c>
      <c r="U521">
        <v>4524</v>
      </c>
      <c r="V521">
        <v>242</v>
      </c>
      <c r="W521">
        <v>1</v>
      </c>
      <c r="X521">
        <v>879.67</v>
      </c>
      <c r="Y521">
        <v>420.16</v>
      </c>
      <c r="Z521">
        <v>1299.83</v>
      </c>
      <c r="AA521" t="s">
        <v>63</v>
      </c>
      <c r="AB521">
        <v>0</v>
      </c>
      <c r="AC521">
        <v>72.59</v>
      </c>
      <c r="AD521">
        <v>318</v>
      </c>
      <c r="AE521">
        <v>340</v>
      </c>
    </row>
    <row r="522" spans="1:31" x14ac:dyDescent="0.25">
      <c r="A522" t="s">
        <v>2648</v>
      </c>
      <c r="B522" t="s">
        <v>2649</v>
      </c>
      <c r="C522" s="1">
        <v>43912</v>
      </c>
      <c r="D522" s="1">
        <v>44598</v>
      </c>
      <c r="E522" t="s">
        <v>50</v>
      </c>
      <c r="F522" t="s">
        <v>93</v>
      </c>
      <c r="G522" t="s">
        <v>94</v>
      </c>
      <c r="H522" t="s">
        <v>53</v>
      </c>
      <c r="I522" t="s">
        <v>2650</v>
      </c>
      <c r="J522" t="s">
        <v>107</v>
      </c>
      <c r="K522" t="s">
        <v>97</v>
      </c>
      <c r="L522" t="s">
        <v>2651</v>
      </c>
      <c r="M522">
        <v>46.79</v>
      </c>
      <c r="N522">
        <v>11</v>
      </c>
      <c r="O522" t="s">
        <v>2652</v>
      </c>
      <c r="P522" t="s">
        <v>59</v>
      </c>
      <c r="Q522" t="s">
        <v>189</v>
      </c>
      <c r="R522" t="s">
        <v>88</v>
      </c>
      <c r="S522" t="s">
        <v>89</v>
      </c>
      <c r="T522" t="s">
        <v>129</v>
      </c>
      <c r="U522">
        <v>4661</v>
      </c>
      <c r="V522">
        <v>345</v>
      </c>
      <c r="W522">
        <v>28</v>
      </c>
      <c r="X522">
        <v>1396.91</v>
      </c>
      <c r="Y522">
        <v>190.68</v>
      </c>
      <c r="Z522">
        <v>1587.59</v>
      </c>
      <c r="AA522" t="s">
        <v>63</v>
      </c>
      <c r="AB522">
        <v>0</v>
      </c>
      <c r="AC522">
        <v>84.07</v>
      </c>
      <c r="AD522">
        <v>309</v>
      </c>
      <c r="AE522">
        <v>296</v>
      </c>
    </row>
    <row r="523" spans="1:31" x14ac:dyDescent="0.25">
      <c r="A523" t="s">
        <v>2653</v>
      </c>
      <c r="B523" t="s">
        <v>2654</v>
      </c>
      <c r="C523" s="1">
        <v>44646</v>
      </c>
      <c r="D523" s="1">
        <v>45432</v>
      </c>
      <c r="E523" t="s">
        <v>50</v>
      </c>
      <c r="F523" t="s">
        <v>78</v>
      </c>
      <c r="G523" t="s">
        <v>79</v>
      </c>
      <c r="H523" t="s">
        <v>36</v>
      </c>
      <c r="I523" t="s">
        <v>2655</v>
      </c>
      <c r="J523" t="s">
        <v>82</v>
      </c>
      <c r="K523" t="s">
        <v>39</v>
      </c>
      <c r="L523" t="s">
        <v>2656</v>
      </c>
      <c r="M523">
        <v>68.64</v>
      </c>
      <c r="N523">
        <v>73</v>
      </c>
      <c r="O523" t="s">
        <v>938</v>
      </c>
      <c r="P523" t="s">
        <v>59</v>
      </c>
      <c r="Q523" t="s">
        <v>290</v>
      </c>
      <c r="R523" t="s">
        <v>88</v>
      </c>
      <c r="S523" t="s">
        <v>45</v>
      </c>
      <c r="T523" t="s">
        <v>642</v>
      </c>
      <c r="U523">
        <v>216</v>
      </c>
      <c r="V523">
        <v>242</v>
      </c>
      <c r="W523">
        <v>15</v>
      </c>
      <c r="X523">
        <v>464.35</v>
      </c>
      <c r="Y523">
        <v>121.07</v>
      </c>
      <c r="Z523">
        <v>585.42000000000007</v>
      </c>
      <c r="AA523" t="s">
        <v>63</v>
      </c>
      <c r="AB523">
        <v>0</v>
      </c>
      <c r="AC523">
        <v>80.599999999999994</v>
      </c>
      <c r="AD523">
        <v>353</v>
      </c>
      <c r="AE523">
        <v>348</v>
      </c>
    </row>
    <row r="524" spans="1:31" x14ac:dyDescent="0.25">
      <c r="A524" t="s">
        <v>2657</v>
      </c>
      <c r="B524" t="s">
        <v>2658</v>
      </c>
      <c r="C524" s="1">
        <v>45591</v>
      </c>
      <c r="D524" s="1">
        <v>43905</v>
      </c>
      <c r="E524" t="s">
        <v>50</v>
      </c>
      <c r="F524" t="s">
        <v>78</v>
      </c>
      <c r="G524" t="s">
        <v>52</v>
      </c>
      <c r="H524" t="s">
        <v>116</v>
      </c>
      <c r="I524" t="s">
        <v>2659</v>
      </c>
      <c r="J524" t="s">
        <v>55</v>
      </c>
      <c r="K524" t="s">
        <v>97</v>
      </c>
      <c r="L524" t="s">
        <v>2660</v>
      </c>
      <c r="M524">
        <v>410.55</v>
      </c>
      <c r="N524">
        <v>87</v>
      </c>
      <c r="O524" t="s">
        <v>1183</v>
      </c>
      <c r="P524" t="s">
        <v>110</v>
      </c>
      <c r="Q524" t="s">
        <v>706</v>
      </c>
      <c r="R524" t="s">
        <v>153</v>
      </c>
      <c r="S524" t="s">
        <v>74</v>
      </c>
      <c r="T524" t="s">
        <v>75</v>
      </c>
      <c r="U524">
        <v>3231</v>
      </c>
      <c r="V524">
        <v>267</v>
      </c>
      <c r="W524">
        <v>29</v>
      </c>
      <c r="X524">
        <v>673.93</v>
      </c>
      <c r="Y524">
        <v>321</v>
      </c>
      <c r="Z524">
        <v>994.93</v>
      </c>
      <c r="AA524" t="s">
        <v>63</v>
      </c>
      <c r="AB524">
        <v>0</v>
      </c>
      <c r="AC524">
        <v>89.43</v>
      </c>
      <c r="AD524">
        <v>244</v>
      </c>
      <c r="AE524">
        <v>264</v>
      </c>
    </row>
    <row r="525" spans="1:31" x14ac:dyDescent="0.25">
      <c r="A525" t="s">
        <v>2661</v>
      </c>
      <c r="B525" t="s">
        <v>2662</v>
      </c>
      <c r="C525" s="1">
        <v>45422</v>
      </c>
      <c r="D525" s="1">
        <v>44441</v>
      </c>
      <c r="E525" t="s">
        <v>50</v>
      </c>
      <c r="F525" t="s">
        <v>147</v>
      </c>
      <c r="G525" t="s">
        <v>105</v>
      </c>
      <c r="H525" t="s">
        <v>116</v>
      </c>
      <c r="I525" t="s">
        <v>2663</v>
      </c>
      <c r="J525" t="s">
        <v>82</v>
      </c>
      <c r="K525" t="s">
        <v>97</v>
      </c>
      <c r="L525" t="s">
        <v>2664</v>
      </c>
      <c r="M525">
        <v>248.01</v>
      </c>
      <c r="N525">
        <v>93</v>
      </c>
      <c r="O525" t="s">
        <v>2606</v>
      </c>
      <c r="P525" t="s">
        <v>142</v>
      </c>
      <c r="Q525" t="s">
        <v>1277</v>
      </c>
      <c r="R525" t="s">
        <v>61</v>
      </c>
      <c r="S525" t="s">
        <v>128</v>
      </c>
      <c r="T525" t="s">
        <v>190</v>
      </c>
      <c r="U525">
        <v>4709</v>
      </c>
      <c r="V525">
        <v>402</v>
      </c>
      <c r="W525">
        <v>2</v>
      </c>
      <c r="X525">
        <v>1913.58</v>
      </c>
      <c r="Y525">
        <v>261.77</v>
      </c>
      <c r="Z525">
        <v>2175.35</v>
      </c>
      <c r="AA525" t="s">
        <v>63</v>
      </c>
      <c r="AB525">
        <v>0</v>
      </c>
      <c r="AC525">
        <v>79.900000000000006</v>
      </c>
      <c r="AD525">
        <v>490</v>
      </c>
      <c r="AE525">
        <v>482</v>
      </c>
    </row>
    <row r="526" spans="1:31" x14ac:dyDescent="0.25">
      <c r="A526" t="s">
        <v>2665</v>
      </c>
      <c r="B526" t="s">
        <v>2666</v>
      </c>
      <c r="C526" s="1">
        <v>45000</v>
      </c>
      <c r="D526" s="1">
        <v>43973</v>
      </c>
      <c r="E526" t="s">
        <v>66</v>
      </c>
      <c r="F526" t="s">
        <v>78</v>
      </c>
      <c r="G526" t="s">
        <v>67</v>
      </c>
      <c r="H526" t="s">
        <v>36</v>
      </c>
      <c r="I526" t="s">
        <v>2667</v>
      </c>
      <c r="J526" t="s">
        <v>82</v>
      </c>
      <c r="K526" t="s">
        <v>70</v>
      </c>
      <c r="L526" t="s">
        <v>2668</v>
      </c>
      <c r="M526">
        <v>224.71</v>
      </c>
      <c r="N526">
        <v>40</v>
      </c>
      <c r="O526" t="s">
        <v>524</v>
      </c>
      <c r="P526" t="s">
        <v>86</v>
      </c>
      <c r="Q526" t="s">
        <v>241</v>
      </c>
      <c r="R526" t="s">
        <v>88</v>
      </c>
      <c r="S526" t="s">
        <v>45</v>
      </c>
      <c r="T526" t="s">
        <v>933</v>
      </c>
      <c r="U526">
        <v>3512</v>
      </c>
      <c r="V526">
        <v>448</v>
      </c>
      <c r="W526">
        <v>8</v>
      </c>
      <c r="X526">
        <v>628.76</v>
      </c>
      <c r="Y526">
        <v>381.04</v>
      </c>
      <c r="Z526">
        <v>1009.8</v>
      </c>
      <c r="AA526" t="s">
        <v>63</v>
      </c>
      <c r="AB526">
        <v>0</v>
      </c>
      <c r="AC526">
        <v>81.87</v>
      </c>
      <c r="AD526">
        <v>254</v>
      </c>
      <c r="AE526">
        <v>301</v>
      </c>
    </row>
    <row r="527" spans="1:31" x14ac:dyDescent="0.25">
      <c r="A527" t="s">
        <v>2669</v>
      </c>
      <c r="B527" t="s">
        <v>2670</v>
      </c>
      <c r="C527" s="1">
        <v>44565</v>
      </c>
      <c r="D527" s="1">
        <v>45413</v>
      </c>
      <c r="E527" t="s">
        <v>50</v>
      </c>
      <c r="F527" t="s">
        <v>51</v>
      </c>
      <c r="G527" t="s">
        <v>35</v>
      </c>
      <c r="H527" t="s">
        <v>36</v>
      </c>
      <c r="I527" t="s">
        <v>2671</v>
      </c>
      <c r="J527" t="s">
        <v>55</v>
      </c>
      <c r="K527" t="s">
        <v>97</v>
      </c>
      <c r="L527" t="s">
        <v>2672</v>
      </c>
      <c r="M527">
        <v>319.88</v>
      </c>
      <c r="N527">
        <v>43</v>
      </c>
      <c r="O527" t="s">
        <v>2673</v>
      </c>
      <c r="P527" t="s">
        <v>110</v>
      </c>
      <c r="Q527" t="s">
        <v>111</v>
      </c>
      <c r="R527" t="s">
        <v>61</v>
      </c>
      <c r="S527" t="s">
        <v>89</v>
      </c>
      <c r="T527" t="s">
        <v>222</v>
      </c>
      <c r="U527">
        <v>4374</v>
      </c>
      <c r="V527">
        <v>70</v>
      </c>
      <c r="W527">
        <v>10</v>
      </c>
      <c r="X527">
        <v>1546.92</v>
      </c>
      <c r="Y527">
        <v>410.16</v>
      </c>
      <c r="Z527">
        <v>1957.08</v>
      </c>
      <c r="AA527" t="s">
        <v>63</v>
      </c>
      <c r="AB527">
        <v>0</v>
      </c>
      <c r="AC527">
        <v>70.62</v>
      </c>
      <c r="AD527">
        <v>77</v>
      </c>
      <c r="AE527">
        <v>61</v>
      </c>
    </row>
    <row r="528" spans="1:31" x14ac:dyDescent="0.25">
      <c r="A528" t="s">
        <v>2674</v>
      </c>
      <c r="B528" t="s">
        <v>2675</v>
      </c>
      <c r="C528" s="1">
        <v>44687</v>
      </c>
      <c r="D528" s="1">
        <v>44337</v>
      </c>
      <c r="E528" t="s">
        <v>66</v>
      </c>
      <c r="F528" t="s">
        <v>93</v>
      </c>
      <c r="G528" t="s">
        <v>35</v>
      </c>
      <c r="H528" t="s">
        <v>53</v>
      </c>
      <c r="I528" t="s">
        <v>2676</v>
      </c>
      <c r="J528" t="s">
        <v>38</v>
      </c>
      <c r="K528" t="s">
        <v>70</v>
      </c>
      <c r="L528" t="s">
        <v>2677</v>
      </c>
      <c r="M528">
        <v>386.09</v>
      </c>
      <c r="N528">
        <v>92</v>
      </c>
      <c r="O528" t="s">
        <v>2678</v>
      </c>
      <c r="P528" t="s">
        <v>42</v>
      </c>
      <c r="Q528" t="s">
        <v>189</v>
      </c>
      <c r="R528" t="s">
        <v>88</v>
      </c>
      <c r="S528" t="s">
        <v>74</v>
      </c>
      <c r="T528" t="s">
        <v>1023</v>
      </c>
      <c r="U528">
        <v>3737</v>
      </c>
      <c r="V528">
        <v>55</v>
      </c>
      <c r="W528">
        <v>19</v>
      </c>
      <c r="X528">
        <v>407.74</v>
      </c>
      <c r="Y528">
        <v>78.53</v>
      </c>
      <c r="Z528">
        <v>486.27</v>
      </c>
      <c r="AA528" t="s">
        <v>63</v>
      </c>
      <c r="AB528">
        <v>0</v>
      </c>
      <c r="AC528">
        <v>81.290000000000006</v>
      </c>
      <c r="AD528">
        <v>184</v>
      </c>
      <c r="AE528">
        <v>229</v>
      </c>
    </row>
    <row r="529" spans="1:31" x14ac:dyDescent="0.25">
      <c r="A529" t="s">
        <v>2679</v>
      </c>
      <c r="B529" t="s">
        <v>2680</v>
      </c>
      <c r="C529" s="1">
        <v>44306</v>
      </c>
      <c r="D529" s="1">
        <v>44474</v>
      </c>
      <c r="E529" t="s">
        <v>33</v>
      </c>
      <c r="F529" t="s">
        <v>78</v>
      </c>
      <c r="G529" t="s">
        <v>67</v>
      </c>
      <c r="H529" t="s">
        <v>164</v>
      </c>
      <c r="I529" t="s">
        <v>2681</v>
      </c>
      <c r="J529" t="s">
        <v>107</v>
      </c>
      <c r="K529" t="s">
        <v>70</v>
      </c>
      <c r="L529" t="s">
        <v>2682</v>
      </c>
      <c r="M529">
        <v>481.24</v>
      </c>
      <c r="N529">
        <v>29</v>
      </c>
      <c r="O529" t="s">
        <v>2683</v>
      </c>
      <c r="P529" t="s">
        <v>142</v>
      </c>
      <c r="Q529" t="s">
        <v>111</v>
      </c>
      <c r="R529" t="s">
        <v>44</v>
      </c>
      <c r="S529" t="s">
        <v>45</v>
      </c>
      <c r="T529" t="s">
        <v>642</v>
      </c>
      <c r="U529">
        <v>3630</v>
      </c>
      <c r="V529">
        <v>243</v>
      </c>
      <c r="W529">
        <v>7</v>
      </c>
      <c r="X529">
        <v>1066.9100000000001</v>
      </c>
      <c r="Y529">
        <v>325.58</v>
      </c>
      <c r="Z529">
        <v>1392.49</v>
      </c>
      <c r="AA529" t="s">
        <v>63</v>
      </c>
      <c r="AB529">
        <v>0</v>
      </c>
      <c r="AC529">
        <v>98.37</v>
      </c>
      <c r="AD529">
        <v>198</v>
      </c>
      <c r="AE529">
        <v>159</v>
      </c>
    </row>
    <row r="530" spans="1:31" x14ac:dyDescent="0.25">
      <c r="A530" t="s">
        <v>2684</v>
      </c>
      <c r="B530" t="s">
        <v>2685</v>
      </c>
      <c r="C530" s="1">
        <v>44413</v>
      </c>
      <c r="D530" s="1">
        <v>44550</v>
      </c>
      <c r="E530" t="s">
        <v>66</v>
      </c>
      <c r="F530" t="s">
        <v>51</v>
      </c>
      <c r="G530" t="s">
        <v>115</v>
      </c>
      <c r="H530" t="s">
        <v>218</v>
      </c>
      <c r="I530" t="s">
        <v>2686</v>
      </c>
      <c r="J530" t="s">
        <v>82</v>
      </c>
      <c r="K530" t="s">
        <v>83</v>
      </c>
      <c r="L530" t="s">
        <v>2687</v>
      </c>
      <c r="M530">
        <v>41.7</v>
      </c>
      <c r="N530">
        <v>93</v>
      </c>
      <c r="O530" t="s">
        <v>2293</v>
      </c>
      <c r="P530" t="s">
        <v>59</v>
      </c>
      <c r="Q530" t="s">
        <v>202</v>
      </c>
      <c r="R530" t="s">
        <v>61</v>
      </c>
      <c r="S530" t="s">
        <v>89</v>
      </c>
      <c r="T530" t="s">
        <v>291</v>
      </c>
      <c r="U530">
        <v>3258</v>
      </c>
      <c r="V530">
        <v>64</v>
      </c>
      <c r="W530">
        <v>14</v>
      </c>
      <c r="X530">
        <v>1318.52</v>
      </c>
      <c r="Y530">
        <v>464.98</v>
      </c>
      <c r="Z530">
        <v>1783.5</v>
      </c>
      <c r="AA530" t="s">
        <v>63</v>
      </c>
      <c r="AB530">
        <v>0</v>
      </c>
      <c r="AC530">
        <v>81.150000000000006</v>
      </c>
      <c r="AD530">
        <v>213</v>
      </c>
      <c r="AE530">
        <v>180</v>
      </c>
    </row>
    <row r="531" spans="1:31" x14ac:dyDescent="0.25">
      <c r="A531" t="s">
        <v>2688</v>
      </c>
      <c r="B531" t="s">
        <v>2689</v>
      </c>
      <c r="C531" s="1">
        <v>44605</v>
      </c>
      <c r="D531" s="1">
        <v>45460</v>
      </c>
      <c r="E531" t="s">
        <v>50</v>
      </c>
      <c r="F531" t="s">
        <v>93</v>
      </c>
      <c r="G531" t="s">
        <v>115</v>
      </c>
      <c r="H531" t="s">
        <v>218</v>
      </c>
      <c r="I531" t="s">
        <v>2690</v>
      </c>
      <c r="J531" t="s">
        <v>38</v>
      </c>
      <c r="K531" t="s">
        <v>83</v>
      </c>
      <c r="L531" t="s">
        <v>2691</v>
      </c>
      <c r="M531">
        <v>178.03</v>
      </c>
      <c r="N531">
        <v>57</v>
      </c>
      <c r="O531" t="s">
        <v>2692</v>
      </c>
      <c r="P531" t="s">
        <v>42</v>
      </c>
      <c r="Q531" t="s">
        <v>461</v>
      </c>
      <c r="R531" t="s">
        <v>44</v>
      </c>
      <c r="S531" t="s">
        <v>45</v>
      </c>
      <c r="T531" t="s">
        <v>422</v>
      </c>
      <c r="U531">
        <v>859</v>
      </c>
      <c r="V531">
        <v>414</v>
      </c>
      <c r="W531">
        <v>16</v>
      </c>
      <c r="X531">
        <v>945.05</v>
      </c>
      <c r="Y531">
        <v>257.05</v>
      </c>
      <c r="Z531">
        <v>1202.0999999999999</v>
      </c>
      <c r="AA531" t="s">
        <v>63</v>
      </c>
      <c r="AB531">
        <v>0</v>
      </c>
      <c r="AC531">
        <v>98.5</v>
      </c>
      <c r="AD531">
        <v>391</v>
      </c>
      <c r="AE531">
        <v>439</v>
      </c>
    </row>
    <row r="532" spans="1:31" x14ac:dyDescent="0.25">
      <c r="A532" t="s">
        <v>2693</v>
      </c>
      <c r="B532" t="s">
        <v>2694</v>
      </c>
      <c r="C532" s="1">
        <v>44887</v>
      </c>
      <c r="D532" s="1">
        <v>44128</v>
      </c>
      <c r="E532" t="s">
        <v>33</v>
      </c>
      <c r="F532" t="s">
        <v>147</v>
      </c>
      <c r="G532" t="s">
        <v>94</v>
      </c>
      <c r="H532" t="s">
        <v>218</v>
      </c>
      <c r="I532" t="s">
        <v>2695</v>
      </c>
      <c r="J532" t="s">
        <v>82</v>
      </c>
      <c r="K532" t="s">
        <v>97</v>
      </c>
      <c r="L532" t="s">
        <v>2696</v>
      </c>
      <c r="M532">
        <v>249.47</v>
      </c>
      <c r="N532">
        <v>90</v>
      </c>
      <c r="O532" t="s">
        <v>1766</v>
      </c>
      <c r="P532" t="s">
        <v>142</v>
      </c>
      <c r="Q532" t="s">
        <v>383</v>
      </c>
      <c r="R532" t="s">
        <v>153</v>
      </c>
      <c r="S532" t="s">
        <v>89</v>
      </c>
      <c r="T532" t="s">
        <v>933</v>
      </c>
      <c r="U532">
        <v>1496</v>
      </c>
      <c r="V532">
        <v>486</v>
      </c>
      <c r="W532">
        <v>6</v>
      </c>
      <c r="X532">
        <v>1092.22</v>
      </c>
      <c r="Y532">
        <v>289.64999999999998</v>
      </c>
      <c r="Z532">
        <v>1381.87</v>
      </c>
      <c r="AA532" t="s">
        <v>63</v>
      </c>
      <c r="AB532">
        <v>0</v>
      </c>
      <c r="AC532">
        <v>98.87</v>
      </c>
      <c r="AD532">
        <v>468</v>
      </c>
      <c r="AE532">
        <v>509</v>
      </c>
    </row>
    <row r="533" spans="1:31" x14ac:dyDescent="0.25">
      <c r="A533" t="s">
        <v>2697</v>
      </c>
      <c r="B533" t="s">
        <v>2698</v>
      </c>
      <c r="C533" s="1">
        <v>45512</v>
      </c>
      <c r="D533" s="1">
        <v>45506</v>
      </c>
      <c r="E533" t="s">
        <v>66</v>
      </c>
      <c r="F533" t="s">
        <v>34</v>
      </c>
      <c r="G533" t="s">
        <v>67</v>
      </c>
      <c r="H533" t="s">
        <v>80</v>
      </c>
      <c r="I533" t="s">
        <v>2699</v>
      </c>
      <c r="J533" t="s">
        <v>107</v>
      </c>
      <c r="K533" t="s">
        <v>97</v>
      </c>
      <c r="L533" t="s">
        <v>2700</v>
      </c>
      <c r="M533">
        <v>277.82</v>
      </c>
      <c r="N533">
        <v>79</v>
      </c>
      <c r="O533" t="s">
        <v>2701</v>
      </c>
      <c r="P533" t="s">
        <v>42</v>
      </c>
      <c r="Q533" t="s">
        <v>421</v>
      </c>
      <c r="R533" t="s">
        <v>61</v>
      </c>
      <c r="S533" t="s">
        <v>45</v>
      </c>
      <c r="T533" t="s">
        <v>154</v>
      </c>
      <c r="U533">
        <v>4467</v>
      </c>
      <c r="V533">
        <v>276</v>
      </c>
      <c r="W533">
        <v>20</v>
      </c>
      <c r="X533">
        <v>120.24</v>
      </c>
      <c r="Y533">
        <v>243.77</v>
      </c>
      <c r="Z533">
        <v>364.01</v>
      </c>
      <c r="AA533" t="s">
        <v>63</v>
      </c>
      <c r="AB533">
        <v>0</v>
      </c>
      <c r="AC533">
        <v>78.260000000000005</v>
      </c>
      <c r="AD533">
        <v>222</v>
      </c>
      <c r="AE533">
        <v>213</v>
      </c>
    </row>
    <row r="534" spans="1:31" x14ac:dyDescent="0.25">
      <c r="A534" t="s">
        <v>2702</v>
      </c>
      <c r="B534" t="s">
        <v>2703</v>
      </c>
      <c r="C534" s="1">
        <v>44929</v>
      </c>
      <c r="D534" s="1">
        <v>45593</v>
      </c>
      <c r="E534" t="s">
        <v>66</v>
      </c>
      <c r="F534" t="s">
        <v>78</v>
      </c>
      <c r="G534" t="s">
        <v>67</v>
      </c>
      <c r="H534" t="s">
        <v>53</v>
      </c>
      <c r="I534" t="s">
        <v>2704</v>
      </c>
      <c r="J534" t="s">
        <v>55</v>
      </c>
      <c r="K534" t="s">
        <v>70</v>
      </c>
      <c r="L534" t="s">
        <v>2705</v>
      </c>
      <c r="M534">
        <v>364.94</v>
      </c>
      <c r="N534">
        <v>93</v>
      </c>
      <c r="O534" t="s">
        <v>1338</v>
      </c>
      <c r="P534" t="s">
        <v>59</v>
      </c>
      <c r="Q534" t="s">
        <v>322</v>
      </c>
      <c r="R534" t="s">
        <v>88</v>
      </c>
      <c r="S534" t="s">
        <v>45</v>
      </c>
      <c r="T534" t="s">
        <v>329</v>
      </c>
      <c r="U534">
        <v>4825</v>
      </c>
      <c r="V534">
        <v>445</v>
      </c>
      <c r="W534">
        <v>21</v>
      </c>
      <c r="X534">
        <v>639.24</v>
      </c>
      <c r="Y534">
        <v>467.98</v>
      </c>
      <c r="Z534">
        <v>1107.22</v>
      </c>
      <c r="AA534" t="s">
        <v>63</v>
      </c>
      <c r="AB534">
        <v>0</v>
      </c>
      <c r="AC534">
        <v>96.7</v>
      </c>
      <c r="AD534">
        <v>495</v>
      </c>
      <c r="AE534">
        <v>506</v>
      </c>
    </row>
    <row r="535" spans="1:31" x14ac:dyDescent="0.25">
      <c r="A535" t="s">
        <v>2706</v>
      </c>
      <c r="B535" t="s">
        <v>2707</v>
      </c>
      <c r="C535" s="1">
        <v>44448</v>
      </c>
      <c r="D535" s="1">
        <v>45538</v>
      </c>
      <c r="E535" t="s">
        <v>66</v>
      </c>
      <c r="F535" t="s">
        <v>78</v>
      </c>
      <c r="G535" t="s">
        <v>52</v>
      </c>
      <c r="H535" t="s">
        <v>53</v>
      </c>
      <c r="I535" t="s">
        <v>2708</v>
      </c>
      <c r="J535" t="s">
        <v>38</v>
      </c>
      <c r="K535" t="s">
        <v>56</v>
      </c>
      <c r="L535" t="s">
        <v>2709</v>
      </c>
      <c r="M535">
        <v>156.07</v>
      </c>
      <c r="N535">
        <v>23</v>
      </c>
      <c r="O535" t="s">
        <v>2710</v>
      </c>
      <c r="P535" t="s">
        <v>86</v>
      </c>
      <c r="Q535" t="s">
        <v>609</v>
      </c>
      <c r="R535" t="s">
        <v>61</v>
      </c>
      <c r="S535" t="s">
        <v>101</v>
      </c>
      <c r="T535" t="s">
        <v>316</v>
      </c>
      <c r="U535">
        <v>151</v>
      </c>
      <c r="V535">
        <v>206</v>
      </c>
      <c r="W535">
        <v>9</v>
      </c>
      <c r="X535">
        <v>392.77</v>
      </c>
      <c r="Y535">
        <v>109.12</v>
      </c>
      <c r="Z535">
        <v>501.89</v>
      </c>
      <c r="AA535" t="s">
        <v>63</v>
      </c>
      <c r="AB535">
        <v>0</v>
      </c>
      <c r="AC535">
        <v>74.42</v>
      </c>
      <c r="AD535">
        <v>437</v>
      </c>
      <c r="AE535">
        <v>478</v>
      </c>
    </row>
    <row r="536" spans="1:31" x14ac:dyDescent="0.25">
      <c r="A536" t="s">
        <v>2711</v>
      </c>
      <c r="B536" t="s">
        <v>2712</v>
      </c>
      <c r="C536" s="1">
        <v>45030</v>
      </c>
      <c r="D536" s="1">
        <v>45473</v>
      </c>
      <c r="E536" t="s">
        <v>33</v>
      </c>
      <c r="F536" t="s">
        <v>34</v>
      </c>
      <c r="G536" t="s">
        <v>105</v>
      </c>
      <c r="H536" t="s">
        <v>36</v>
      </c>
      <c r="I536" t="s">
        <v>2713</v>
      </c>
      <c r="J536" t="s">
        <v>82</v>
      </c>
      <c r="K536" t="s">
        <v>70</v>
      </c>
      <c r="L536" t="s">
        <v>2714</v>
      </c>
      <c r="M536">
        <v>155.88</v>
      </c>
      <c r="N536">
        <v>60</v>
      </c>
      <c r="O536" t="s">
        <v>1456</v>
      </c>
      <c r="P536" t="s">
        <v>59</v>
      </c>
      <c r="Q536" t="s">
        <v>189</v>
      </c>
      <c r="R536" t="s">
        <v>44</v>
      </c>
      <c r="S536" t="s">
        <v>45</v>
      </c>
      <c r="T536" t="s">
        <v>341</v>
      </c>
      <c r="U536">
        <v>422</v>
      </c>
      <c r="V536">
        <v>401</v>
      </c>
      <c r="W536">
        <v>26</v>
      </c>
      <c r="X536">
        <v>573.34</v>
      </c>
      <c r="Y536">
        <v>147.33000000000001</v>
      </c>
      <c r="Z536">
        <v>720.67000000000007</v>
      </c>
      <c r="AA536" t="s">
        <v>63</v>
      </c>
      <c r="AB536">
        <v>0</v>
      </c>
      <c r="AC536">
        <v>89.32</v>
      </c>
      <c r="AD536">
        <v>452</v>
      </c>
      <c r="AE536">
        <v>433</v>
      </c>
    </row>
    <row r="537" spans="1:31" x14ac:dyDescent="0.25">
      <c r="A537" t="s">
        <v>2715</v>
      </c>
      <c r="B537" t="s">
        <v>2716</v>
      </c>
      <c r="C537" s="1">
        <v>44111</v>
      </c>
      <c r="D537" s="1">
        <v>44797</v>
      </c>
      <c r="E537" t="s">
        <v>66</v>
      </c>
      <c r="F537" t="s">
        <v>78</v>
      </c>
      <c r="G537" t="s">
        <v>52</v>
      </c>
      <c r="H537" t="s">
        <v>218</v>
      </c>
      <c r="I537" t="s">
        <v>2717</v>
      </c>
      <c r="J537" t="s">
        <v>107</v>
      </c>
      <c r="K537" t="s">
        <v>97</v>
      </c>
      <c r="L537" t="s">
        <v>2718</v>
      </c>
      <c r="M537">
        <v>129.77000000000001</v>
      </c>
      <c r="N537">
        <v>56</v>
      </c>
      <c r="O537" t="s">
        <v>2591</v>
      </c>
      <c r="P537" t="s">
        <v>110</v>
      </c>
      <c r="Q537" t="s">
        <v>290</v>
      </c>
      <c r="R537" t="s">
        <v>61</v>
      </c>
      <c r="S537" t="s">
        <v>128</v>
      </c>
      <c r="T537" t="s">
        <v>478</v>
      </c>
      <c r="U537">
        <v>58</v>
      </c>
      <c r="V537">
        <v>110</v>
      </c>
      <c r="W537">
        <v>16</v>
      </c>
      <c r="X537">
        <v>229.33</v>
      </c>
      <c r="Y537">
        <v>205.34</v>
      </c>
      <c r="Z537">
        <v>434.67</v>
      </c>
      <c r="AA537" t="s">
        <v>63</v>
      </c>
      <c r="AB537">
        <v>0</v>
      </c>
      <c r="AC537">
        <v>76.48</v>
      </c>
      <c r="AD537">
        <v>301</v>
      </c>
      <c r="AE537">
        <v>315</v>
      </c>
    </row>
    <row r="538" spans="1:31" x14ac:dyDescent="0.25">
      <c r="A538" t="s">
        <v>2719</v>
      </c>
      <c r="B538" t="s">
        <v>2459</v>
      </c>
      <c r="C538" s="1">
        <v>45180</v>
      </c>
      <c r="D538" s="1">
        <v>45640</v>
      </c>
      <c r="E538" t="s">
        <v>66</v>
      </c>
      <c r="F538" t="s">
        <v>147</v>
      </c>
      <c r="G538" t="s">
        <v>105</v>
      </c>
      <c r="H538" t="s">
        <v>218</v>
      </c>
      <c r="I538" t="s">
        <v>2720</v>
      </c>
      <c r="J538" t="s">
        <v>107</v>
      </c>
      <c r="K538" t="s">
        <v>70</v>
      </c>
      <c r="L538" t="s">
        <v>2721</v>
      </c>
      <c r="M538">
        <v>187.55</v>
      </c>
      <c r="N538">
        <v>80</v>
      </c>
      <c r="O538" t="s">
        <v>1276</v>
      </c>
      <c r="P538" t="s">
        <v>142</v>
      </c>
      <c r="Q538" t="s">
        <v>152</v>
      </c>
      <c r="R538" t="s">
        <v>153</v>
      </c>
      <c r="S538" t="s">
        <v>128</v>
      </c>
      <c r="T538" t="s">
        <v>303</v>
      </c>
      <c r="U538">
        <v>339</v>
      </c>
      <c r="V538">
        <v>80</v>
      </c>
      <c r="W538">
        <v>6</v>
      </c>
      <c r="X538">
        <v>1498.36</v>
      </c>
      <c r="Y538">
        <v>30.38</v>
      </c>
      <c r="Z538">
        <v>1528.74</v>
      </c>
      <c r="AA538" t="s">
        <v>63</v>
      </c>
      <c r="AB538">
        <v>0</v>
      </c>
      <c r="AC538">
        <v>71.95</v>
      </c>
      <c r="AD538">
        <v>366</v>
      </c>
      <c r="AE538">
        <v>375</v>
      </c>
    </row>
    <row r="539" spans="1:31" x14ac:dyDescent="0.25">
      <c r="A539" t="s">
        <v>2722</v>
      </c>
      <c r="B539" t="s">
        <v>2723</v>
      </c>
      <c r="C539" s="1">
        <v>45195</v>
      </c>
      <c r="D539" s="1">
        <v>45593</v>
      </c>
      <c r="E539" t="s">
        <v>66</v>
      </c>
      <c r="F539" t="s">
        <v>147</v>
      </c>
      <c r="G539" t="s">
        <v>79</v>
      </c>
      <c r="H539" t="s">
        <v>80</v>
      </c>
      <c r="I539" t="s">
        <v>2724</v>
      </c>
      <c r="J539" t="s">
        <v>96</v>
      </c>
      <c r="K539" t="s">
        <v>97</v>
      </c>
      <c r="L539" t="s">
        <v>2725</v>
      </c>
      <c r="M539">
        <v>191.76</v>
      </c>
      <c r="N539">
        <v>91</v>
      </c>
      <c r="O539" t="s">
        <v>2251</v>
      </c>
      <c r="P539" t="s">
        <v>142</v>
      </c>
      <c r="Q539" t="s">
        <v>404</v>
      </c>
      <c r="R539" t="s">
        <v>61</v>
      </c>
      <c r="S539" t="s">
        <v>45</v>
      </c>
      <c r="T539" t="s">
        <v>1194</v>
      </c>
      <c r="U539">
        <v>1014</v>
      </c>
      <c r="V539">
        <v>91</v>
      </c>
      <c r="W539">
        <v>7</v>
      </c>
      <c r="X539">
        <v>762.61</v>
      </c>
      <c r="Y539">
        <v>354.78</v>
      </c>
      <c r="Z539">
        <v>1117.3900000000001</v>
      </c>
      <c r="AA539" t="s">
        <v>63</v>
      </c>
      <c r="AB539">
        <v>0</v>
      </c>
      <c r="AC539">
        <v>95.74</v>
      </c>
      <c r="AD539">
        <v>90</v>
      </c>
      <c r="AE539">
        <v>119</v>
      </c>
    </row>
    <row r="540" spans="1:31" x14ac:dyDescent="0.25">
      <c r="A540" t="s">
        <v>2726</v>
      </c>
      <c r="B540" t="s">
        <v>2727</v>
      </c>
      <c r="C540" s="1">
        <v>44642</v>
      </c>
      <c r="D540" s="1">
        <v>44012</v>
      </c>
      <c r="E540" t="s">
        <v>66</v>
      </c>
      <c r="F540" t="s">
        <v>51</v>
      </c>
      <c r="G540" t="s">
        <v>79</v>
      </c>
      <c r="H540" t="s">
        <v>68</v>
      </c>
      <c r="I540" t="s">
        <v>2728</v>
      </c>
      <c r="J540" t="s">
        <v>55</v>
      </c>
      <c r="K540" t="s">
        <v>39</v>
      </c>
      <c r="L540" t="s">
        <v>2729</v>
      </c>
      <c r="M540">
        <v>214.07</v>
      </c>
      <c r="N540">
        <v>58</v>
      </c>
      <c r="O540" t="s">
        <v>2730</v>
      </c>
      <c r="P540" t="s">
        <v>42</v>
      </c>
      <c r="Q540" t="s">
        <v>228</v>
      </c>
      <c r="R540" t="s">
        <v>44</v>
      </c>
      <c r="S540" t="s">
        <v>128</v>
      </c>
      <c r="T540" t="s">
        <v>329</v>
      </c>
      <c r="U540">
        <v>850</v>
      </c>
      <c r="V540">
        <v>189</v>
      </c>
      <c r="W540">
        <v>5</v>
      </c>
      <c r="X540">
        <v>1949.72</v>
      </c>
      <c r="Y540">
        <v>248.79</v>
      </c>
      <c r="Z540">
        <v>2198.5100000000002</v>
      </c>
      <c r="AA540" t="s">
        <v>63</v>
      </c>
      <c r="AB540">
        <v>0</v>
      </c>
      <c r="AC540">
        <v>90.25</v>
      </c>
      <c r="AD540">
        <v>67</v>
      </c>
      <c r="AE540">
        <v>31</v>
      </c>
    </row>
    <row r="541" spans="1:31" x14ac:dyDescent="0.25">
      <c r="A541" t="s">
        <v>2731</v>
      </c>
      <c r="B541" t="s">
        <v>2732</v>
      </c>
      <c r="C541" s="1">
        <v>45055</v>
      </c>
      <c r="D541" s="1">
        <v>44017</v>
      </c>
      <c r="E541" t="s">
        <v>50</v>
      </c>
      <c r="F541" t="s">
        <v>147</v>
      </c>
      <c r="G541" t="s">
        <v>79</v>
      </c>
      <c r="H541" t="s">
        <v>164</v>
      </c>
      <c r="I541" t="s">
        <v>2733</v>
      </c>
      <c r="J541" t="s">
        <v>107</v>
      </c>
      <c r="K541" t="s">
        <v>70</v>
      </c>
      <c r="L541" t="s">
        <v>2734</v>
      </c>
      <c r="M541">
        <v>258.83999999999997</v>
      </c>
      <c r="N541">
        <v>42</v>
      </c>
      <c r="O541" t="s">
        <v>2735</v>
      </c>
      <c r="P541" t="s">
        <v>110</v>
      </c>
      <c r="Q541" t="s">
        <v>261</v>
      </c>
      <c r="R541" t="s">
        <v>44</v>
      </c>
      <c r="S541" t="s">
        <v>101</v>
      </c>
      <c r="T541" t="s">
        <v>190</v>
      </c>
      <c r="U541">
        <v>2769</v>
      </c>
      <c r="V541">
        <v>329</v>
      </c>
      <c r="W541">
        <v>24</v>
      </c>
      <c r="X541">
        <v>1207.3900000000001</v>
      </c>
      <c r="Y541">
        <v>146.71</v>
      </c>
      <c r="Z541">
        <v>1354.1</v>
      </c>
      <c r="AA541" t="s">
        <v>63</v>
      </c>
      <c r="AB541">
        <v>0</v>
      </c>
      <c r="AC541">
        <v>84.24</v>
      </c>
      <c r="AD541">
        <v>154</v>
      </c>
      <c r="AE541">
        <v>167</v>
      </c>
    </row>
    <row r="542" spans="1:31" x14ac:dyDescent="0.25">
      <c r="A542" t="s">
        <v>2736</v>
      </c>
      <c r="B542" t="s">
        <v>2737</v>
      </c>
      <c r="C542" s="1">
        <v>43980</v>
      </c>
      <c r="D542" s="1">
        <v>45028</v>
      </c>
      <c r="E542" t="s">
        <v>33</v>
      </c>
      <c r="F542" t="s">
        <v>93</v>
      </c>
      <c r="G542" t="s">
        <v>52</v>
      </c>
      <c r="H542" t="s">
        <v>116</v>
      </c>
      <c r="I542" t="s">
        <v>2738</v>
      </c>
      <c r="J542" t="s">
        <v>82</v>
      </c>
      <c r="K542" t="s">
        <v>83</v>
      </c>
      <c r="L542" t="s">
        <v>2739</v>
      </c>
      <c r="M542">
        <v>326.8</v>
      </c>
      <c r="N542">
        <v>34</v>
      </c>
      <c r="O542" t="s">
        <v>2336</v>
      </c>
      <c r="P542" t="s">
        <v>86</v>
      </c>
      <c r="Q542" t="s">
        <v>529</v>
      </c>
      <c r="R542" t="s">
        <v>44</v>
      </c>
      <c r="S542" t="s">
        <v>101</v>
      </c>
      <c r="T542" t="s">
        <v>190</v>
      </c>
      <c r="U542">
        <v>429</v>
      </c>
      <c r="V542">
        <v>93</v>
      </c>
      <c r="W542">
        <v>22</v>
      </c>
      <c r="X542">
        <v>220.34</v>
      </c>
      <c r="Y542">
        <v>188.26</v>
      </c>
      <c r="Z542">
        <v>408.6</v>
      </c>
      <c r="AA542" t="s">
        <v>63</v>
      </c>
      <c r="AB542">
        <v>0</v>
      </c>
      <c r="AC542">
        <v>82.24</v>
      </c>
      <c r="AD542">
        <v>198</v>
      </c>
      <c r="AE542">
        <v>193</v>
      </c>
    </row>
    <row r="543" spans="1:31" x14ac:dyDescent="0.25">
      <c r="A543" t="s">
        <v>2740</v>
      </c>
      <c r="B543" t="s">
        <v>2741</v>
      </c>
      <c r="C543" s="1">
        <v>45323</v>
      </c>
      <c r="D543" s="1">
        <v>45321</v>
      </c>
      <c r="E543" t="s">
        <v>66</v>
      </c>
      <c r="F543" t="s">
        <v>34</v>
      </c>
      <c r="G543" t="s">
        <v>35</v>
      </c>
      <c r="H543" t="s">
        <v>36</v>
      </c>
      <c r="I543" t="s">
        <v>2742</v>
      </c>
      <c r="J543" t="s">
        <v>96</v>
      </c>
      <c r="K543" t="s">
        <v>56</v>
      </c>
      <c r="L543" t="s">
        <v>2743</v>
      </c>
      <c r="M543">
        <v>198.29</v>
      </c>
      <c r="N543">
        <v>26</v>
      </c>
      <c r="O543" t="s">
        <v>694</v>
      </c>
      <c r="P543" t="s">
        <v>86</v>
      </c>
      <c r="Q543" t="s">
        <v>529</v>
      </c>
      <c r="R543" t="s">
        <v>44</v>
      </c>
      <c r="S543" t="s">
        <v>89</v>
      </c>
      <c r="T543" t="s">
        <v>636</v>
      </c>
      <c r="U543">
        <v>1628</v>
      </c>
      <c r="V543">
        <v>111</v>
      </c>
      <c r="W543">
        <v>1</v>
      </c>
      <c r="X543">
        <v>699.5</v>
      </c>
      <c r="Y543">
        <v>280.06</v>
      </c>
      <c r="Z543">
        <v>979.56</v>
      </c>
      <c r="AA543" t="s">
        <v>63</v>
      </c>
      <c r="AB543">
        <v>0</v>
      </c>
      <c r="AC543">
        <v>78.61</v>
      </c>
      <c r="AD543">
        <v>142</v>
      </c>
      <c r="AE543">
        <v>110</v>
      </c>
    </row>
    <row r="544" spans="1:31" x14ac:dyDescent="0.25">
      <c r="A544" t="s">
        <v>2744</v>
      </c>
      <c r="B544" t="s">
        <v>2745</v>
      </c>
      <c r="C544" s="1">
        <v>45236</v>
      </c>
      <c r="D544" s="1">
        <v>45225</v>
      </c>
      <c r="E544" t="s">
        <v>50</v>
      </c>
      <c r="F544" t="s">
        <v>147</v>
      </c>
      <c r="G544" t="s">
        <v>337</v>
      </c>
      <c r="H544" t="s">
        <v>164</v>
      </c>
      <c r="I544" t="s">
        <v>2746</v>
      </c>
      <c r="J544" t="s">
        <v>82</v>
      </c>
      <c r="K544" t="s">
        <v>83</v>
      </c>
      <c r="L544" t="s">
        <v>1909</v>
      </c>
      <c r="M544">
        <v>482.38</v>
      </c>
      <c r="N544">
        <v>65</v>
      </c>
      <c r="O544" t="s">
        <v>2606</v>
      </c>
      <c r="P544" t="s">
        <v>86</v>
      </c>
      <c r="Q544" t="s">
        <v>261</v>
      </c>
      <c r="R544" t="s">
        <v>153</v>
      </c>
      <c r="S544" t="s">
        <v>74</v>
      </c>
      <c r="T544" t="s">
        <v>1261</v>
      </c>
      <c r="U544">
        <v>379</v>
      </c>
      <c r="V544">
        <v>166</v>
      </c>
      <c r="W544">
        <v>22</v>
      </c>
      <c r="X544">
        <v>1713.32</v>
      </c>
      <c r="Y544">
        <v>269.02999999999997</v>
      </c>
      <c r="Z544">
        <v>1982.35</v>
      </c>
      <c r="AA544" t="s">
        <v>63</v>
      </c>
      <c r="AB544">
        <v>0</v>
      </c>
      <c r="AC544">
        <v>78.75</v>
      </c>
      <c r="AD544">
        <v>314</v>
      </c>
      <c r="AE544">
        <v>300</v>
      </c>
    </row>
    <row r="545" spans="1:31" x14ac:dyDescent="0.25">
      <c r="A545" t="s">
        <v>2747</v>
      </c>
      <c r="B545" t="s">
        <v>2748</v>
      </c>
      <c r="C545" s="1">
        <v>45051</v>
      </c>
      <c r="D545" s="1">
        <v>44904</v>
      </c>
      <c r="E545" t="s">
        <v>66</v>
      </c>
      <c r="F545" t="s">
        <v>34</v>
      </c>
      <c r="G545" t="s">
        <v>67</v>
      </c>
      <c r="H545" t="s">
        <v>218</v>
      </c>
      <c r="I545" t="s">
        <v>2749</v>
      </c>
      <c r="J545" t="s">
        <v>107</v>
      </c>
      <c r="K545" t="s">
        <v>56</v>
      </c>
      <c r="L545" t="s">
        <v>2750</v>
      </c>
      <c r="M545">
        <v>446.43</v>
      </c>
      <c r="N545">
        <v>50</v>
      </c>
      <c r="O545" t="s">
        <v>2751</v>
      </c>
      <c r="P545" t="s">
        <v>86</v>
      </c>
      <c r="Q545" t="s">
        <v>160</v>
      </c>
      <c r="R545" t="s">
        <v>88</v>
      </c>
      <c r="S545" t="s">
        <v>101</v>
      </c>
      <c r="T545" t="s">
        <v>183</v>
      </c>
      <c r="U545">
        <v>3110</v>
      </c>
      <c r="V545">
        <v>68</v>
      </c>
      <c r="W545">
        <v>19</v>
      </c>
      <c r="X545">
        <v>1951.95</v>
      </c>
      <c r="Y545">
        <v>197.56</v>
      </c>
      <c r="Z545">
        <v>2149.5100000000002</v>
      </c>
      <c r="AA545" t="s">
        <v>63</v>
      </c>
      <c r="AB545">
        <v>0</v>
      </c>
      <c r="AC545">
        <v>80.91</v>
      </c>
      <c r="AD545">
        <v>413</v>
      </c>
      <c r="AE545">
        <v>381</v>
      </c>
    </row>
    <row r="546" spans="1:31" x14ac:dyDescent="0.25">
      <c r="A546" t="s">
        <v>2752</v>
      </c>
      <c r="B546" t="s">
        <v>2753</v>
      </c>
      <c r="C546" s="1">
        <v>45395</v>
      </c>
      <c r="D546" s="1">
        <v>45193</v>
      </c>
      <c r="E546" t="s">
        <v>66</v>
      </c>
      <c r="F546" t="s">
        <v>51</v>
      </c>
      <c r="G546" t="s">
        <v>115</v>
      </c>
      <c r="H546" t="s">
        <v>148</v>
      </c>
      <c r="I546" t="s">
        <v>2754</v>
      </c>
      <c r="J546" t="s">
        <v>96</v>
      </c>
      <c r="K546" t="s">
        <v>97</v>
      </c>
      <c r="L546" t="s">
        <v>2755</v>
      </c>
      <c r="M546">
        <v>452.17</v>
      </c>
      <c r="N546">
        <v>73</v>
      </c>
      <c r="O546" t="s">
        <v>134</v>
      </c>
      <c r="P546" t="s">
        <v>59</v>
      </c>
      <c r="Q546" t="s">
        <v>43</v>
      </c>
      <c r="R546" t="s">
        <v>61</v>
      </c>
      <c r="S546" t="s">
        <v>74</v>
      </c>
      <c r="T546" t="s">
        <v>255</v>
      </c>
      <c r="U546">
        <v>711</v>
      </c>
      <c r="V546">
        <v>331</v>
      </c>
      <c r="W546">
        <v>22</v>
      </c>
      <c r="X546">
        <v>1740.85</v>
      </c>
      <c r="Y546">
        <v>495.8</v>
      </c>
      <c r="Z546">
        <v>2236.65</v>
      </c>
      <c r="AA546" t="s">
        <v>63</v>
      </c>
      <c r="AB546">
        <v>0</v>
      </c>
      <c r="AC546">
        <v>86.27</v>
      </c>
      <c r="AD546">
        <v>406</v>
      </c>
      <c r="AE546">
        <v>394</v>
      </c>
    </row>
    <row r="547" spans="1:31" x14ac:dyDescent="0.25">
      <c r="A547" t="s">
        <v>2756</v>
      </c>
      <c r="B547" t="s">
        <v>2757</v>
      </c>
      <c r="C547" s="1">
        <v>44499</v>
      </c>
      <c r="D547" s="1">
        <v>44624</v>
      </c>
      <c r="E547" t="s">
        <v>66</v>
      </c>
      <c r="F547" t="s">
        <v>78</v>
      </c>
      <c r="G547" t="s">
        <v>94</v>
      </c>
      <c r="H547" t="s">
        <v>53</v>
      </c>
      <c r="I547" t="s">
        <v>2758</v>
      </c>
      <c r="J547" t="s">
        <v>82</v>
      </c>
      <c r="K547" t="s">
        <v>39</v>
      </c>
      <c r="L547" t="s">
        <v>2759</v>
      </c>
      <c r="M547">
        <v>179.06</v>
      </c>
      <c r="N547">
        <v>30</v>
      </c>
      <c r="O547" t="s">
        <v>1408</v>
      </c>
      <c r="P547" t="s">
        <v>110</v>
      </c>
      <c r="Q547" t="s">
        <v>111</v>
      </c>
      <c r="R547" t="s">
        <v>44</v>
      </c>
      <c r="S547" t="s">
        <v>45</v>
      </c>
      <c r="T547" t="s">
        <v>196</v>
      </c>
      <c r="U547">
        <v>1093</v>
      </c>
      <c r="V547">
        <v>276</v>
      </c>
      <c r="W547">
        <v>22</v>
      </c>
      <c r="X547">
        <v>224.17</v>
      </c>
      <c r="Y547">
        <v>405.88</v>
      </c>
      <c r="Z547">
        <v>630.04999999999995</v>
      </c>
      <c r="AA547" t="s">
        <v>63</v>
      </c>
      <c r="AB547">
        <v>0</v>
      </c>
      <c r="AC547">
        <v>74.260000000000005</v>
      </c>
      <c r="AD547">
        <v>289</v>
      </c>
      <c r="AE547">
        <v>301</v>
      </c>
    </row>
    <row r="548" spans="1:31" x14ac:dyDescent="0.25">
      <c r="A548" t="s">
        <v>2760</v>
      </c>
      <c r="B548" t="s">
        <v>2761</v>
      </c>
      <c r="C548" s="1">
        <v>43896</v>
      </c>
      <c r="D548" s="1">
        <v>43881</v>
      </c>
      <c r="E548" t="s">
        <v>66</v>
      </c>
      <c r="F548" t="s">
        <v>78</v>
      </c>
      <c r="G548" t="s">
        <v>337</v>
      </c>
      <c r="H548" t="s">
        <v>68</v>
      </c>
      <c r="I548" t="s">
        <v>2762</v>
      </c>
      <c r="J548" t="s">
        <v>107</v>
      </c>
      <c r="K548" t="s">
        <v>70</v>
      </c>
      <c r="L548" t="s">
        <v>2763</v>
      </c>
      <c r="M548">
        <v>338.99</v>
      </c>
      <c r="N548">
        <v>20</v>
      </c>
      <c r="O548" t="s">
        <v>1643</v>
      </c>
      <c r="P548" t="s">
        <v>142</v>
      </c>
      <c r="Q548" t="s">
        <v>120</v>
      </c>
      <c r="R548" t="s">
        <v>153</v>
      </c>
      <c r="S548" t="s">
        <v>101</v>
      </c>
      <c r="T548" t="s">
        <v>242</v>
      </c>
      <c r="U548">
        <v>3056</v>
      </c>
      <c r="V548">
        <v>398</v>
      </c>
      <c r="W548">
        <v>16</v>
      </c>
      <c r="X548">
        <v>859.76</v>
      </c>
      <c r="Y548">
        <v>301.24</v>
      </c>
      <c r="Z548">
        <v>1161</v>
      </c>
      <c r="AA548" t="s">
        <v>63</v>
      </c>
      <c r="AB548">
        <v>0</v>
      </c>
      <c r="AC548">
        <v>90.61</v>
      </c>
      <c r="AD548">
        <v>460</v>
      </c>
      <c r="AE548">
        <v>418</v>
      </c>
    </row>
    <row r="549" spans="1:31" x14ac:dyDescent="0.25">
      <c r="A549" t="s">
        <v>2764</v>
      </c>
      <c r="B549" t="s">
        <v>2765</v>
      </c>
      <c r="C549" s="1">
        <v>45168</v>
      </c>
      <c r="D549" s="1">
        <v>44032</v>
      </c>
      <c r="E549" t="s">
        <v>66</v>
      </c>
      <c r="F549" t="s">
        <v>51</v>
      </c>
      <c r="G549" t="s">
        <v>94</v>
      </c>
      <c r="H549" t="s">
        <v>164</v>
      </c>
      <c r="I549" t="s">
        <v>2766</v>
      </c>
      <c r="J549" t="s">
        <v>38</v>
      </c>
      <c r="K549" t="s">
        <v>97</v>
      </c>
      <c r="L549" t="s">
        <v>2767</v>
      </c>
      <c r="M549">
        <v>230.06</v>
      </c>
      <c r="N549">
        <v>11</v>
      </c>
      <c r="O549" t="s">
        <v>2396</v>
      </c>
      <c r="P549" t="s">
        <v>42</v>
      </c>
      <c r="Q549" t="s">
        <v>684</v>
      </c>
      <c r="R549" t="s">
        <v>88</v>
      </c>
      <c r="S549" t="s">
        <v>101</v>
      </c>
      <c r="T549" t="s">
        <v>642</v>
      </c>
      <c r="U549">
        <v>967</v>
      </c>
      <c r="V549">
        <v>226</v>
      </c>
      <c r="W549">
        <v>24</v>
      </c>
      <c r="X549">
        <v>1764</v>
      </c>
      <c r="Y549">
        <v>326.26</v>
      </c>
      <c r="Z549">
        <v>2090.2600000000002</v>
      </c>
      <c r="AA549" t="s">
        <v>47</v>
      </c>
      <c r="AB549">
        <v>5</v>
      </c>
      <c r="AC549">
        <v>80.55</v>
      </c>
      <c r="AD549">
        <v>103</v>
      </c>
      <c r="AE549">
        <v>108</v>
      </c>
    </row>
    <row r="550" spans="1:31" x14ac:dyDescent="0.25">
      <c r="A550" t="s">
        <v>2768</v>
      </c>
      <c r="B550" t="s">
        <v>2769</v>
      </c>
      <c r="C550" s="1">
        <v>45453</v>
      </c>
      <c r="D550" s="1">
        <v>44043</v>
      </c>
      <c r="E550" t="s">
        <v>33</v>
      </c>
      <c r="F550" t="s">
        <v>51</v>
      </c>
      <c r="G550" t="s">
        <v>337</v>
      </c>
      <c r="H550" t="s">
        <v>68</v>
      </c>
      <c r="I550" t="s">
        <v>2770</v>
      </c>
      <c r="J550" t="s">
        <v>82</v>
      </c>
      <c r="K550" t="s">
        <v>70</v>
      </c>
      <c r="L550" t="s">
        <v>2771</v>
      </c>
      <c r="M550">
        <v>165.04</v>
      </c>
      <c r="N550">
        <v>42</v>
      </c>
      <c r="O550" t="s">
        <v>2772</v>
      </c>
      <c r="P550" t="s">
        <v>86</v>
      </c>
      <c r="Q550" t="s">
        <v>514</v>
      </c>
      <c r="R550" t="s">
        <v>153</v>
      </c>
      <c r="S550" t="s">
        <v>74</v>
      </c>
      <c r="T550" t="s">
        <v>249</v>
      </c>
      <c r="U550">
        <v>1226</v>
      </c>
      <c r="V550">
        <v>195</v>
      </c>
      <c r="W550">
        <v>25</v>
      </c>
      <c r="X550">
        <v>841.13</v>
      </c>
      <c r="Y550">
        <v>159.83000000000001</v>
      </c>
      <c r="Z550">
        <v>1000.96</v>
      </c>
      <c r="AA550" t="s">
        <v>47</v>
      </c>
      <c r="AB550">
        <v>4</v>
      </c>
      <c r="AC550">
        <v>86.23</v>
      </c>
      <c r="AD550">
        <v>452</v>
      </c>
      <c r="AE550">
        <v>411</v>
      </c>
    </row>
    <row r="551" spans="1:31" x14ac:dyDescent="0.25">
      <c r="A551" t="s">
        <v>2773</v>
      </c>
      <c r="B551" t="s">
        <v>2774</v>
      </c>
      <c r="C551" s="1">
        <v>45648</v>
      </c>
      <c r="D551" s="1">
        <v>45248</v>
      </c>
      <c r="E551" t="s">
        <v>66</v>
      </c>
      <c r="F551" t="s">
        <v>34</v>
      </c>
      <c r="G551" t="s">
        <v>105</v>
      </c>
      <c r="H551" t="s">
        <v>164</v>
      </c>
      <c r="I551" t="s">
        <v>2775</v>
      </c>
      <c r="J551" t="s">
        <v>82</v>
      </c>
      <c r="K551" t="s">
        <v>97</v>
      </c>
      <c r="L551" t="s">
        <v>2776</v>
      </c>
      <c r="M551">
        <v>106</v>
      </c>
      <c r="N551">
        <v>82</v>
      </c>
      <c r="O551" t="s">
        <v>2777</v>
      </c>
      <c r="P551" t="s">
        <v>59</v>
      </c>
      <c r="Q551" t="s">
        <v>234</v>
      </c>
      <c r="R551" t="s">
        <v>61</v>
      </c>
      <c r="S551" t="s">
        <v>128</v>
      </c>
      <c r="T551" t="s">
        <v>121</v>
      </c>
      <c r="U551">
        <v>1287</v>
      </c>
      <c r="V551">
        <v>91</v>
      </c>
      <c r="W551">
        <v>21</v>
      </c>
      <c r="X551">
        <v>1624.3</v>
      </c>
      <c r="Y551">
        <v>88.88</v>
      </c>
      <c r="Z551">
        <v>1713.18</v>
      </c>
      <c r="AA551" t="s">
        <v>63</v>
      </c>
      <c r="AB551">
        <v>0</v>
      </c>
      <c r="AC551">
        <v>80.92</v>
      </c>
      <c r="AD551">
        <v>198</v>
      </c>
      <c r="AE551">
        <v>195</v>
      </c>
    </row>
    <row r="552" spans="1:31" x14ac:dyDescent="0.25">
      <c r="A552" t="s">
        <v>2778</v>
      </c>
      <c r="B552" t="s">
        <v>2779</v>
      </c>
      <c r="C552" s="1">
        <v>44126</v>
      </c>
      <c r="D552" s="1">
        <v>45407</v>
      </c>
      <c r="E552" t="s">
        <v>66</v>
      </c>
      <c r="F552" t="s">
        <v>34</v>
      </c>
      <c r="G552" t="s">
        <v>105</v>
      </c>
      <c r="H552" t="s">
        <v>148</v>
      </c>
      <c r="I552" t="s">
        <v>2780</v>
      </c>
      <c r="J552" t="s">
        <v>55</v>
      </c>
      <c r="K552" t="s">
        <v>83</v>
      </c>
      <c r="L552" t="s">
        <v>518</v>
      </c>
      <c r="M552">
        <v>258.43</v>
      </c>
      <c r="N552">
        <v>52</v>
      </c>
      <c r="O552" t="s">
        <v>2781</v>
      </c>
      <c r="P552" t="s">
        <v>110</v>
      </c>
      <c r="Q552" t="s">
        <v>182</v>
      </c>
      <c r="R552" t="s">
        <v>88</v>
      </c>
      <c r="S552" t="s">
        <v>101</v>
      </c>
      <c r="T552" t="s">
        <v>737</v>
      </c>
      <c r="U552">
        <v>4855</v>
      </c>
      <c r="V552">
        <v>394</v>
      </c>
      <c r="W552">
        <v>24</v>
      </c>
      <c r="X552">
        <v>1675.21</v>
      </c>
      <c r="Y552">
        <v>201.77</v>
      </c>
      <c r="Z552">
        <v>1876.98</v>
      </c>
      <c r="AA552" t="s">
        <v>63</v>
      </c>
      <c r="AB552">
        <v>0</v>
      </c>
      <c r="AC552">
        <v>84.2</v>
      </c>
      <c r="AD552">
        <v>474</v>
      </c>
      <c r="AE552">
        <v>464</v>
      </c>
    </row>
    <row r="553" spans="1:31" x14ac:dyDescent="0.25">
      <c r="A553" t="s">
        <v>2782</v>
      </c>
      <c r="B553" t="s">
        <v>2783</v>
      </c>
      <c r="C553" s="1">
        <v>44720</v>
      </c>
      <c r="D553" s="1">
        <v>45072</v>
      </c>
      <c r="E553" t="s">
        <v>50</v>
      </c>
      <c r="F553" t="s">
        <v>34</v>
      </c>
      <c r="G553" t="s">
        <v>105</v>
      </c>
      <c r="H553" t="s">
        <v>36</v>
      </c>
      <c r="I553" t="s">
        <v>2784</v>
      </c>
      <c r="J553" t="s">
        <v>38</v>
      </c>
      <c r="K553" t="s">
        <v>39</v>
      </c>
      <c r="L553" t="s">
        <v>2785</v>
      </c>
      <c r="M553">
        <v>413.17</v>
      </c>
      <c r="N553">
        <v>4</v>
      </c>
      <c r="O553" t="s">
        <v>2786</v>
      </c>
      <c r="P553" t="s">
        <v>42</v>
      </c>
      <c r="Q553" t="s">
        <v>364</v>
      </c>
      <c r="R553" t="s">
        <v>61</v>
      </c>
      <c r="S553" t="s">
        <v>101</v>
      </c>
      <c r="T553" t="s">
        <v>365</v>
      </c>
      <c r="U553">
        <v>2113</v>
      </c>
      <c r="V553">
        <v>282</v>
      </c>
      <c r="W553">
        <v>19</v>
      </c>
      <c r="X553">
        <v>1506.75</v>
      </c>
      <c r="Y553">
        <v>15.99</v>
      </c>
      <c r="Z553">
        <v>1522.74</v>
      </c>
      <c r="AA553" t="s">
        <v>63</v>
      </c>
      <c r="AB553">
        <v>0</v>
      </c>
      <c r="AC553">
        <v>77.23</v>
      </c>
      <c r="AD553">
        <v>128</v>
      </c>
      <c r="AE553">
        <v>166</v>
      </c>
    </row>
    <row r="554" spans="1:31" x14ac:dyDescent="0.25">
      <c r="A554" t="s">
        <v>2787</v>
      </c>
      <c r="B554" t="s">
        <v>2788</v>
      </c>
      <c r="C554" s="1">
        <v>45501</v>
      </c>
      <c r="D554" s="1">
        <v>44119</v>
      </c>
      <c r="E554" t="s">
        <v>66</v>
      </c>
      <c r="F554" t="s">
        <v>93</v>
      </c>
      <c r="G554" t="s">
        <v>79</v>
      </c>
      <c r="H554" t="s">
        <v>218</v>
      </c>
      <c r="I554" t="s">
        <v>2789</v>
      </c>
      <c r="J554" t="s">
        <v>55</v>
      </c>
      <c r="K554" t="s">
        <v>56</v>
      </c>
      <c r="L554" t="s">
        <v>2790</v>
      </c>
      <c r="M554">
        <v>361.91</v>
      </c>
      <c r="N554">
        <v>91</v>
      </c>
      <c r="O554" t="s">
        <v>427</v>
      </c>
      <c r="P554" t="s">
        <v>59</v>
      </c>
      <c r="Q554" t="s">
        <v>143</v>
      </c>
      <c r="R554" t="s">
        <v>44</v>
      </c>
      <c r="S554" t="s">
        <v>89</v>
      </c>
      <c r="T554" t="s">
        <v>154</v>
      </c>
      <c r="U554">
        <v>1530</v>
      </c>
      <c r="V554">
        <v>228</v>
      </c>
      <c r="W554">
        <v>24</v>
      </c>
      <c r="X554">
        <v>1043.96</v>
      </c>
      <c r="Y554">
        <v>490.92</v>
      </c>
      <c r="Z554">
        <v>1534.88</v>
      </c>
      <c r="AA554" t="s">
        <v>63</v>
      </c>
      <c r="AB554">
        <v>0</v>
      </c>
      <c r="AC554">
        <v>86.63</v>
      </c>
      <c r="AD554">
        <v>166</v>
      </c>
      <c r="AE554">
        <v>170</v>
      </c>
    </row>
    <row r="555" spans="1:31" x14ac:dyDescent="0.25">
      <c r="A555" t="s">
        <v>2791</v>
      </c>
      <c r="B555" t="s">
        <v>2792</v>
      </c>
      <c r="C555" s="1">
        <v>43975</v>
      </c>
      <c r="D555" s="1">
        <v>44426</v>
      </c>
      <c r="E555" t="s">
        <v>66</v>
      </c>
      <c r="F555" t="s">
        <v>34</v>
      </c>
      <c r="G555" t="s">
        <v>52</v>
      </c>
      <c r="H555" t="s">
        <v>148</v>
      </c>
      <c r="I555" t="s">
        <v>2793</v>
      </c>
      <c r="J555" t="s">
        <v>38</v>
      </c>
      <c r="K555" t="s">
        <v>56</v>
      </c>
      <c r="L555" t="s">
        <v>2794</v>
      </c>
      <c r="M555">
        <v>403.8</v>
      </c>
      <c r="N555">
        <v>57</v>
      </c>
      <c r="O555" t="s">
        <v>2795</v>
      </c>
      <c r="P555" t="s">
        <v>42</v>
      </c>
      <c r="Q555" t="s">
        <v>421</v>
      </c>
      <c r="R555" t="s">
        <v>153</v>
      </c>
      <c r="S555" t="s">
        <v>89</v>
      </c>
      <c r="T555" t="s">
        <v>542</v>
      </c>
      <c r="U555">
        <v>353</v>
      </c>
      <c r="V555">
        <v>475</v>
      </c>
      <c r="W555">
        <v>12</v>
      </c>
      <c r="X555">
        <v>1359.5</v>
      </c>
      <c r="Y555">
        <v>87.62</v>
      </c>
      <c r="Z555">
        <v>1447.12</v>
      </c>
      <c r="AA555" t="s">
        <v>63</v>
      </c>
      <c r="AB555">
        <v>0</v>
      </c>
      <c r="AC555">
        <v>76.08</v>
      </c>
      <c r="AD555">
        <v>432</v>
      </c>
      <c r="AE555">
        <v>397</v>
      </c>
    </row>
    <row r="556" spans="1:31" x14ac:dyDescent="0.25">
      <c r="A556" t="s">
        <v>2796</v>
      </c>
      <c r="B556" t="s">
        <v>2797</v>
      </c>
      <c r="C556" s="1">
        <v>44802</v>
      </c>
      <c r="D556" s="1">
        <v>44027</v>
      </c>
      <c r="E556" t="s">
        <v>66</v>
      </c>
      <c r="F556" t="s">
        <v>51</v>
      </c>
      <c r="G556" t="s">
        <v>35</v>
      </c>
      <c r="H556" t="s">
        <v>116</v>
      </c>
      <c r="I556" t="s">
        <v>2798</v>
      </c>
      <c r="J556" t="s">
        <v>38</v>
      </c>
      <c r="K556" t="s">
        <v>83</v>
      </c>
      <c r="L556" t="s">
        <v>2799</v>
      </c>
      <c r="M556">
        <v>383.92</v>
      </c>
      <c r="N556">
        <v>13</v>
      </c>
      <c r="O556" t="s">
        <v>2800</v>
      </c>
      <c r="P556" t="s">
        <v>142</v>
      </c>
      <c r="Q556" t="s">
        <v>248</v>
      </c>
      <c r="R556" t="s">
        <v>88</v>
      </c>
      <c r="S556" t="s">
        <v>89</v>
      </c>
      <c r="T556" t="s">
        <v>939</v>
      </c>
      <c r="U556">
        <v>244</v>
      </c>
      <c r="V556">
        <v>432</v>
      </c>
      <c r="W556">
        <v>25</v>
      </c>
      <c r="X556">
        <v>1902.09</v>
      </c>
      <c r="Y556">
        <v>289.12</v>
      </c>
      <c r="Z556">
        <v>2191.21</v>
      </c>
      <c r="AA556" t="s">
        <v>63</v>
      </c>
      <c r="AB556">
        <v>0</v>
      </c>
      <c r="AC556">
        <v>99.83</v>
      </c>
      <c r="AD556">
        <v>169</v>
      </c>
      <c r="AE556">
        <v>166</v>
      </c>
    </row>
    <row r="557" spans="1:31" x14ac:dyDescent="0.25">
      <c r="A557" t="s">
        <v>2801</v>
      </c>
      <c r="B557" t="s">
        <v>2802</v>
      </c>
      <c r="C557" s="1">
        <v>44126</v>
      </c>
      <c r="D557" s="1">
        <v>44380</v>
      </c>
      <c r="E557" t="s">
        <v>66</v>
      </c>
      <c r="F557" t="s">
        <v>34</v>
      </c>
      <c r="G557" t="s">
        <v>52</v>
      </c>
      <c r="H557" t="s">
        <v>218</v>
      </c>
      <c r="I557" t="s">
        <v>2803</v>
      </c>
      <c r="J557" t="s">
        <v>107</v>
      </c>
      <c r="K557" t="s">
        <v>39</v>
      </c>
      <c r="L557" t="s">
        <v>2804</v>
      </c>
      <c r="M557">
        <v>457.53</v>
      </c>
      <c r="N557">
        <v>94</v>
      </c>
      <c r="O557" t="s">
        <v>2805</v>
      </c>
      <c r="P557" t="s">
        <v>86</v>
      </c>
      <c r="Q557" t="s">
        <v>997</v>
      </c>
      <c r="R557" t="s">
        <v>153</v>
      </c>
      <c r="S557" t="s">
        <v>45</v>
      </c>
      <c r="T557" t="s">
        <v>235</v>
      </c>
      <c r="U557">
        <v>1578</v>
      </c>
      <c r="V557">
        <v>399</v>
      </c>
      <c r="W557">
        <v>1</v>
      </c>
      <c r="X557">
        <v>1439.19</v>
      </c>
      <c r="Y557">
        <v>473.67</v>
      </c>
      <c r="Z557">
        <v>1912.86</v>
      </c>
      <c r="AA557" t="s">
        <v>47</v>
      </c>
      <c r="AB557">
        <v>13</v>
      </c>
      <c r="AC557">
        <v>99.46</v>
      </c>
      <c r="AD557">
        <v>123</v>
      </c>
      <c r="AE557">
        <v>73</v>
      </c>
    </row>
    <row r="558" spans="1:31" x14ac:dyDescent="0.25">
      <c r="A558" t="s">
        <v>2806</v>
      </c>
      <c r="B558" t="s">
        <v>2807</v>
      </c>
      <c r="C558" s="1">
        <v>43921</v>
      </c>
      <c r="D558" s="1">
        <v>44405</v>
      </c>
      <c r="E558" t="s">
        <v>50</v>
      </c>
      <c r="F558" t="s">
        <v>34</v>
      </c>
      <c r="G558" t="s">
        <v>67</v>
      </c>
      <c r="H558" t="s">
        <v>164</v>
      </c>
      <c r="I558" t="s">
        <v>2808</v>
      </c>
      <c r="J558" t="s">
        <v>107</v>
      </c>
      <c r="K558" t="s">
        <v>39</v>
      </c>
      <c r="L558" t="s">
        <v>2809</v>
      </c>
      <c r="M558">
        <v>150.77000000000001</v>
      </c>
      <c r="N558">
        <v>58</v>
      </c>
      <c r="O558" t="s">
        <v>2810</v>
      </c>
      <c r="P558" t="s">
        <v>59</v>
      </c>
      <c r="Q558" t="s">
        <v>43</v>
      </c>
      <c r="R558" t="s">
        <v>88</v>
      </c>
      <c r="S558" t="s">
        <v>128</v>
      </c>
      <c r="T558" t="s">
        <v>434</v>
      </c>
      <c r="U558">
        <v>3416</v>
      </c>
      <c r="V558">
        <v>447</v>
      </c>
      <c r="W558">
        <v>16</v>
      </c>
      <c r="X558">
        <v>147.58000000000001</v>
      </c>
      <c r="Y558">
        <v>229.81</v>
      </c>
      <c r="Z558">
        <v>377.39</v>
      </c>
      <c r="AA558" t="s">
        <v>63</v>
      </c>
      <c r="AB558">
        <v>0</v>
      </c>
      <c r="AC558">
        <v>89.05</v>
      </c>
      <c r="AD558">
        <v>476</v>
      </c>
      <c r="AE558">
        <v>430</v>
      </c>
    </row>
    <row r="559" spans="1:31" x14ac:dyDescent="0.25">
      <c r="A559" t="s">
        <v>2811</v>
      </c>
      <c r="B559" t="s">
        <v>2812</v>
      </c>
      <c r="C559" s="1">
        <v>45535</v>
      </c>
      <c r="D559" s="1">
        <v>45018</v>
      </c>
      <c r="E559" t="s">
        <v>50</v>
      </c>
      <c r="F559" t="s">
        <v>78</v>
      </c>
      <c r="G559" t="s">
        <v>67</v>
      </c>
      <c r="H559" t="s">
        <v>116</v>
      </c>
      <c r="I559" t="s">
        <v>2813</v>
      </c>
      <c r="J559" t="s">
        <v>38</v>
      </c>
      <c r="K559" t="s">
        <v>97</v>
      </c>
      <c r="L559" t="s">
        <v>2814</v>
      </c>
      <c r="M559">
        <v>285.98</v>
      </c>
      <c r="N559">
        <v>39</v>
      </c>
      <c r="O559" t="s">
        <v>705</v>
      </c>
      <c r="P559" t="s">
        <v>42</v>
      </c>
      <c r="Q559" t="s">
        <v>609</v>
      </c>
      <c r="R559" t="s">
        <v>44</v>
      </c>
      <c r="S559" t="s">
        <v>74</v>
      </c>
      <c r="T559" t="s">
        <v>136</v>
      </c>
      <c r="U559">
        <v>1730</v>
      </c>
      <c r="V559">
        <v>469</v>
      </c>
      <c r="W559">
        <v>10</v>
      </c>
      <c r="X559">
        <v>1217.29</v>
      </c>
      <c r="Y559">
        <v>265.64999999999998</v>
      </c>
      <c r="Z559">
        <v>1482.94</v>
      </c>
      <c r="AA559" t="s">
        <v>63</v>
      </c>
      <c r="AB559">
        <v>0</v>
      </c>
      <c r="AC559">
        <v>79.63</v>
      </c>
      <c r="AD559">
        <v>472</v>
      </c>
      <c r="AE559">
        <v>512</v>
      </c>
    </row>
    <row r="560" spans="1:31" x14ac:dyDescent="0.25">
      <c r="A560" t="s">
        <v>2815</v>
      </c>
      <c r="B560" t="s">
        <v>2816</v>
      </c>
      <c r="C560" s="1">
        <v>44838</v>
      </c>
      <c r="D560" s="1">
        <v>44662</v>
      </c>
      <c r="E560" t="s">
        <v>66</v>
      </c>
      <c r="F560" t="s">
        <v>78</v>
      </c>
      <c r="G560" t="s">
        <v>115</v>
      </c>
      <c r="H560" t="s">
        <v>53</v>
      </c>
      <c r="I560" t="s">
        <v>2817</v>
      </c>
      <c r="J560" t="s">
        <v>107</v>
      </c>
      <c r="K560" t="s">
        <v>70</v>
      </c>
      <c r="L560" t="s">
        <v>1617</v>
      </c>
      <c r="M560">
        <v>229.18</v>
      </c>
      <c r="N560">
        <v>40</v>
      </c>
      <c r="O560" t="s">
        <v>2358</v>
      </c>
      <c r="P560" t="s">
        <v>142</v>
      </c>
      <c r="Q560" t="s">
        <v>43</v>
      </c>
      <c r="R560" t="s">
        <v>61</v>
      </c>
      <c r="S560" t="s">
        <v>101</v>
      </c>
      <c r="T560" t="s">
        <v>737</v>
      </c>
      <c r="U560">
        <v>1472</v>
      </c>
      <c r="V560">
        <v>331</v>
      </c>
      <c r="W560">
        <v>24</v>
      </c>
      <c r="X560">
        <v>535.30999999999995</v>
      </c>
      <c r="Y560">
        <v>42.4</v>
      </c>
      <c r="Z560">
        <v>577.70999999999992</v>
      </c>
      <c r="AA560" t="s">
        <v>63</v>
      </c>
      <c r="AB560">
        <v>0</v>
      </c>
      <c r="AC560">
        <v>83.43</v>
      </c>
      <c r="AD560">
        <v>101</v>
      </c>
      <c r="AE560">
        <v>78</v>
      </c>
    </row>
    <row r="561" spans="1:31" x14ac:dyDescent="0.25">
      <c r="A561" t="s">
        <v>2818</v>
      </c>
      <c r="B561" t="s">
        <v>2819</v>
      </c>
      <c r="C561" s="1">
        <v>44387</v>
      </c>
      <c r="D561" s="1">
        <v>44819</v>
      </c>
      <c r="E561" t="s">
        <v>50</v>
      </c>
      <c r="F561" t="s">
        <v>147</v>
      </c>
      <c r="G561" t="s">
        <v>67</v>
      </c>
      <c r="H561" t="s">
        <v>36</v>
      </c>
      <c r="I561" t="s">
        <v>2820</v>
      </c>
      <c r="J561" t="s">
        <v>96</v>
      </c>
      <c r="K561" t="s">
        <v>70</v>
      </c>
      <c r="L561" t="s">
        <v>2821</v>
      </c>
      <c r="M561">
        <v>327.89</v>
      </c>
      <c r="N561">
        <v>28</v>
      </c>
      <c r="O561" t="s">
        <v>2678</v>
      </c>
      <c r="P561" t="s">
        <v>142</v>
      </c>
      <c r="Q561" t="s">
        <v>461</v>
      </c>
      <c r="R561" t="s">
        <v>44</v>
      </c>
      <c r="S561" t="s">
        <v>89</v>
      </c>
      <c r="T561" t="s">
        <v>255</v>
      </c>
      <c r="U561">
        <v>2172</v>
      </c>
      <c r="V561">
        <v>142</v>
      </c>
      <c r="W561">
        <v>21</v>
      </c>
      <c r="X561">
        <v>90.31</v>
      </c>
      <c r="Y561">
        <v>378.49</v>
      </c>
      <c r="Z561">
        <v>468.8</v>
      </c>
      <c r="AA561" t="s">
        <v>63</v>
      </c>
      <c r="AB561">
        <v>0</v>
      </c>
      <c r="AC561">
        <v>70.760000000000005</v>
      </c>
      <c r="AD561">
        <v>447</v>
      </c>
      <c r="AE561">
        <v>430</v>
      </c>
    </row>
    <row r="562" spans="1:31" x14ac:dyDescent="0.25">
      <c r="A562" t="s">
        <v>2822</v>
      </c>
      <c r="B562" t="s">
        <v>2823</v>
      </c>
      <c r="C562" s="1">
        <v>44455</v>
      </c>
      <c r="D562" s="1">
        <v>44862</v>
      </c>
      <c r="E562" t="s">
        <v>66</v>
      </c>
      <c r="F562" t="s">
        <v>78</v>
      </c>
      <c r="G562" t="s">
        <v>94</v>
      </c>
      <c r="H562" t="s">
        <v>53</v>
      </c>
      <c r="I562" t="s">
        <v>2824</v>
      </c>
      <c r="J562" t="s">
        <v>107</v>
      </c>
      <c r="K562" t="s">
        <v>83</v>
      </c>
      <c r="L562" t="s">
        <v>2825</v>
      </c>
      <c r="M562">
        <v>369.66</v>
      </c>
      <c r="N562">
        <v>27</v>
      </c>
      <c r="O562" t="s">
        <v>2826</v>
      </c>
      <c r="P562" t="s">
        <v>59</v>
      </c>
      <c r="Q562" t="s">
        <v>241</v>
      </c>
      <c r="R562" t="s">
        <v>153</v>
      </c>
      <c r="S562" t="s">
        <v>74</v>
      </c>
      <c r="T562" t="s">
        <v>737</v>
      </c>
      <c r="U562">
        <v>1125</v>
      </c>
      <c r="V562">
        <v>274</v>
      </c>
      <c r="W562">
        <v>23</v>
      </c>
      <c r="X562">
        <v>636.70000000000005</v>
      </c>
      <c r="Y562">
        <v>296.86</v>
      </c>
      <c r="Z562">
        <v>933.56000000000006</v>
      </c>
      <c r="AA562" t="s">
        <v>63</v>
      </c>
      <c r="AB562">
        <v>0</v>
      </c>
      <c r="AC562">
        <v>73.25</v>
      </c>
      <c r="AD562">
        <v>474</v>
      </c>
      <c r="AE562">
        <v>482</v>
      </c>
    </row>
    <row r="563" spans="1:31" x14ac:dyDescent="0.25">
      <c r="A563" t="s">
        <v>2827</v>
      </c>
      <c r="B563" t="s">
        <v>2828</v>
      </c>
      <c r="C563" s="1">
        <v>44322</v>
      </c>
      <c r="D563" s="1">
        <v>43836</v>
      </c>
      <c r="E563" t="s">
        <v>66</v>
      </c>
      <c r="F563" t="s">
        <v>34</v>
      </c>
      <c r="G563" t="s">
        <v>105</v>
      </c>
      <c r="H563" t="s">
        <v>116</v>
      </c>
      <c r="I563" t="s">
        <v>2829</v>
      </c>
      <c r="J563" t="s">
        <v>96</v>
      </c>
      <c r="K563" t="s">
        <v>97</v>
      </c>
      <c r="L563" t="s">
        <v>2830</v>
      </c>
      <c r="M563">
        <v>265.69</v>
      </c>
      <c r="N563">
        <v>98</v>
      </c>
      <c r="O563" t="s">
        <v>2831</v>
      </c>
      <c r="P563" t="s">
        <v>86</v>
      </c>
      <c r="Q563" t="s">
        <v>111</v>
      </c>
      <c r="R563" t="s">
        <v>44</v>
      </c>
      <c r="S563" t="s">
        <v>101</v>
      </c>
      <c r="T563" t="s">
        <v>75</v>
      </c>
      <c r="U563">
        <v>146</v>
      </c>
      <c r="V563">
        <v>295</v>
      </c>
      <c r="W563">
        <v>23</v>
      </c>
      <c r="X563">
        <v>1527.05</v>
      </c>
      <c r="Y563">
        <v>487.96</v>
      </c>
      <c r="Z563">
        <v>2015.01</v>
      </c>
      <c r="AA563" t="s">
        <v>63</v>
      </c>
      <c r="AB563">
        <v>0</v>
      </c>
      <c r="AC563">
        <v>94.11</v>
      </c>
      <c r="AD563">
        <v>104</v>
      </c>
      <c r="AE563">
        <v>105</v>
      </c>
    </row>
    <row r="564" spans="1:31" x14ac:dyDescent="0.25">
      <c r="A564" t="s">
        <v>2832</v>
      </c>
      <c r="B564" t="s">
        <v>2833</v>
      </c>
      <c r="C564" s="1">
        <v>44140</v>
      </c>
      <c r="D564" s="1">
        <v>45527</v>
      </c>
      <c r="E564" t="s">
        <v>66</v>
      </c>
      <c r="F564" t="s">
        <v>93</v>
      </c>
      <c r="G564" t="s">
        <v>52</v>
      </c>
      <c r="H564" t="s">
        <v>68</v>
      </c>
      <c r="I564" t="s">
        <v>2834</v>
      </c>
      <c r="J564" t="s">
        <v>96</v>
      </c>
      <c r="K564" t="s">
        <v>70</v>
      </c>
      <c r="L564" t="s">
        <v>2835</v>
      </c>
      <c r="M564">
        <v>483.21</v>
      </c>
      <c r="N564">
        <v>67</v>
      </c>
      <c r="O564" t="s">
        <v>502</v>
      </c>
      <c r="P564" t="s">
        <v>42</v>
      </c>
      <c r="Q564" t="s">
        <v>364</v>
      </c>
      <c r="R564" t="s">
        <v>88</v>
      </c>
      <c r="S564" t="s">
        <v>89</v>
      </c>
      <c r="T564" t="s">
        <v>1261</v>
      </c>
      <c r="U564">
        <v>2658</v>
      </c>
      <c r="V564">
        <v>462</v>
      </c>
      <c r="W564">
        <v>15</v>
      </c>
      <c r="X564">
        <v>877.85</v>
      </c>
      <c r="Y564">
        <v>251.29</v>
      </c>
      <c r="Z564">
        <v>1129.1400000000001</v>
      </c>
      <c r="AA564" t="s">
        <v>63</v>
      </c>
      <c r="AB564">
        <v>0</v>
      </c>
      <c r="AC564">
        <v>97.21</v>
      </c>
      <c r="AD564">
        <v>194</v>
      </c>
      <c r="AE564">
        <v>172</v>
      </c>
    </row>
    <row r="565" spans="1:31" x14ac:dyDescent="0.25">
      <c r="A565" t="s">
        <v>2836</v>
      </c>
      <c r="B565" t="s">
        <v>2837</v>
      </c>
      <c r="C565" s="1">
        <v>45037</v>
      </c>
      <c r="D565" s="1">
        <v>44698</v>
      </c>
      <c r="E565" t="s">
        <v>66</v>
      </c>
      <c r="F565" t="s">
        <v>34</v>
      </c>
      <c r="G565" t="s">
        <v>67</v>
      </c>
      <c r="H565" t="s">
        <v>164</v>
      </c>
      <c r="I565" t="s">
        <v>2838</v>
      </c>
      <c r="J565" t="s">
        <v>107</v>
      </c>
      <c r="K565" t="s">
        <v>97</v>
      </c>
      <c r="L565" t="s">
        <v>2839</v>
      </c>
      <c r="M565">
        <v>379.19</v>
      </c>
      <c r="N565">
        <v>60</v>
      </c>
      <c r="O565" t="s">
        <v>358</v>
      </c>
      <c r="P565" t="s">
        <v>86</v>
      </c>
      <c r="Q565" t="s">
        <v>168</v>
      </c>
      <c r="R565" t="s">
        <v>44</v>
      </c>
      <c r="S565" t="s">
        <v>89</v>
      </c>
      <c r="T565" t="s">
        <v>422</v>
      </c>
      <c r="U565">
        <v>2047</v>
      </c>
      <c r="V565">
        <v>123</v>
      </c>
      <c r="W565">
        <v>9</v>
      </c>
      <c r="X565">
        <v>992.01</v>
      </c>
      <c r="Y565">
        <v>54.46</v>
      </c>
      <c r="Z565">
        <v>1046.47</v>
      </c>
      <c r="AA565" t="s">
        <v>63</v>
      </c>
      <c r="AB565">
        <v>0</v>
      </c>
      <c r="AC565">
        <v>95.41</v>
      </c>
      <c r="AD565">
        <v>163</v>
      </c>
      <c r="AE565">
        <v>160</v>
      </c>
    </row>
    <row r="566" spans="1:31" x14ac:dyDescent="0.25">
      <c r="A566" t="s">
        <v>2840</v>
      </c>
      <c r="B566" t="s">
        <v>2841</v>
      </c>
      <c r="C566" s="1">
        <v>44199</v>
      </c>
      <c r="D566" s="1">
        <v>45152</v>
      </c>
      <c r="E566" t="s">
        <v>33</v>
      </c>
      <c r="F566" t="s">
        <v>147</v>
      </c>
      <c r="G566" t="s">
        <v>52</v>
      </c>
      <c r="H566" t="s">
        <v>36</v>
      </c>
      <c r="I566" t="s">
        <v>2842</v>
      </c>
      <c r="J566" t="s">
        <v>107</v>
      </c>
      <c r="K566" t="s">
        <v>56</v>
      </c>
      <c r="L566" t="s">
        <v>2843</v>
      </c>
      <c r="M566">
        <v>126.76</v>
      </c>
      <c r="N566">
        <v>33</v>
      </c>
      <c r="O566" t="s">
        <v>1403</v>
      </c>
      <c r="P566" t="s">
        <v>42</v>
      </c>
      <c r="Q566" t="s">
        <v>160</v>
      </c>
      <c r="R566" t="s">
        <v>44</v>
      </c>
      <c r="S566" t="s">
        <v>128</v>
      </c>
      <c r="T566" t="s">
        <v>636</v>
      </c>
      <c r="U566">
        <v>2699</v>
      </c>
      <c r="V566">
        <v>271</v>
      </c>
      <c r="W566">
        <v>12</v>
      </c>
      <c r="X566">
        <v>69.27</v>
      </c>
      <c r="Y566">
        <v>408.57</v>
      </c>
      <c r="Z566">
        <v>477.84</v>
      </c>
      <c r="AA566" t="s">
        <v>63</v>
      </c>
      <c r="AB566">
        <v>0</v>
      </c>
      <c r="AC566">
        <v>95.2</v>
      </c>
      <c r="AD566">
        <v>274</v>
      </c>
      <c r="AE566">
        <v>233</v>
      </c>
    </row>
    <row r="567" spans="1:31" x14ac:dyDescent="0.25">
      <c r="A567" t="s">
        <v>2844</v>
      </c>
      <c r="B567" t="s">
        <v>2845</v>
      </c>
      <c r="C567" s="1">
        <v>45134</v>
      </c>
      <c r="D567" s="1">
        <v>45387</v>
      </c>
      <c r="E567" t="s">
        <v>66</v>
      </c>
      <c r="F567" t="s">
        <v>93</v>
      </c>
      <c r="G567" t="s">
        <v>115</v>
      </c>
      <c r="H567" t="s">
        <v>36</v>
      </c>
      <c r="I567" t="s">
        <v>2846</v>
      </c>
      <c r="J567" t="s">
        <v>55</v>
      </c>
      <c r="K567" t="s">
        <v>56</v>
      </c>
      <c r="L567" t="s">
        <v>2847</v>
      </c>
      <c r="M567">
        <v>229.36</v>
      </c>
      <c r="N567">
        <v>25</v>
      </c>
      <c r="O567" t="s">
        <v>2848</v>
      </c>
      <c r="P567" t="s">
        <v>42</v>
      </c>
      <c r="Q567" t="s">
        <v>684</v>
      </c>
      <c r="R567" t="s">
        <v>88</v>
      </c>
      <c r="S567" t="s">
        <v>101</v>
      </c>
      <c r="T567" t="s">
        <v>939</v>
      </c>
      <c r="U567">
        <v>3909</v>
      </c>
      <c r="V567">
        <v>165</v>
      </c>
      <c r="W567">
        <v>6</v>
      </c>
      <c r="X567">
        <v>1608.67</v>
      </c>
      <c r="Y567">
        <v>35.82</v>
      </c>
      <c r="Z567">
        <v>1644.49</v>
      </c>
      <c r="AA567" t="s">
        <v>63</v>
      </c>
      <c r="AB567">
        <v>0</v>
      </c>
      <c r="AC567">
        <v>76.040000000000006</v>
      </c>
      <c r="AD567">
        <v>463</v>
      </c>
      <c r="AE567">
        <v>507</v>
      </c>
    </row>
    <row r="568" spans="1:31" x14ac:dyDescent="0.25">
      <c r="A568" t="s">
        <v>2849</v>
      </c>
      <c r="B568" t="s">
        <v>2850</v>
      </c>
      <c r="C568" s="1">
        <v>44777</v>
      </c>
      <c r="D568" s="1">
        <v>43904</v>
      </c>
      <c r="E568" t="s">
        <v>66</v>
      </c>
      <c r="F568" t="s">
        <v>78</v>
      </c>
      <c r="G568" t="s">
        <v>67</v>
      </c>
      <c r="H568" t="s">
        <v>164</v>
      </c>
      <c r="I568" t="s">
        <v>2851</v>
      </c>
      <c r="J568" t="s">
        <v>38</v>
      </c>
      <c r="K568" t="s">
        <v>83</v>
      </c>
      <c r="L568" t="s">
        <v>1129</v>
      </c>
      <c r="M568">
        <v>385.2</v>
      </c>
      <c r="N568">
        <v>88</v>
      </c>
      <c r="O568" t="s">
        <v>2852</v>
      </c>
      <c r="P568" t="s">
        <v>59</v>
      </c>
      <c r="Q568" t="s">
        <v>371</v>
      </c>
      <c r="R568" t="s">
        <v>153</v>
      </c>
      <c r="S568" t="s">
        <v>101</v>
      </c>
      <c r="T568" t="s">
        <v>434</v>
      </c>
      <c r="U568">
        <v>1626</v>
      </c>
      <c r="V568">
        <v>355</v>
      </c>
      <c r="W568">
        <v>21</v>
      </c>
      <c r="X568">
        <v>1312.13</v>
      </c>
      <c r="Y568">
        <v>352.33</v>
      </c>
      <c r="Z568">
        <v>1664.46</v>
      </c>
      <c r="AA568" t="s">
        <v>63</v>
      </c>
      <c r="AB568">
        <v>0</v>
      </c>
      <c r="AC568">
        <v>90.66</v>
      </c>
      <c r="AD568">
        <v>382</v>
      </c>
      <c r="AE568">
        <v>422</v>
      </c>
    </row>
    <row r="569" spans="1:31" x14ac:dyDescent="0.25">
      <c r="A569" t="s">
        <v>2853</v>
      </c>
      <c r="B569" t="s">
        <v>2854</v>
      </c>
      <c r="C569" s="1">
        <v>43881</v>
      </c>
      <c r="D569" s="1">
        <v>44718</v>
      </c>
      <c r="E569" t="s">
        <v>33</v>
      </c>
      <c r="F569" t="s">
        <v>147</v>
      </c>
      <c r="G569" t="s">
        <v>105</v>
      </c>
      <c r="H569" t="s">
        <v>80</v>
      </c>
      <c r="I569" t="s">
        <v>2855</v>
      </c>
      <c r="J569" t="s">
        <v>82</v>
      </c>
      <c r="K569" t="s">
        <v>56</v>
      </c>
      <c r="L569" t="s">
        <v>2856</v>
      </c>
      <c r="M569">
        <v>464.04</v>
      </c>
      <c r="N569">
        <v>69</v>
      </c>
      <c r="O569" t="s">
        <v>2219</v>
      </c>
      <c r="P569" t="s">
        <v>142</v>
      </c>
      <c r="Q569" t="s">
        <v>706</v>
      </c>
      <c r="R569" t="s">
        <v>44</v>
      </c>
      <c r="S569" t="s">
        <v>45</v>
      </c>
      <c r="T569" t="s">
        <v>365</v>
      </c>
      <c r="U569">
        <v>3476</v>
      </c>
      <c r="V569">
        <v>59</v>
      </c>
      <c r="W569">
        <v>12</v>
      </c>
      <c r="X569">
        <v>68.84</v>
      </c>
      <c r="Y569">
        <v>182.15</v>
      </c>
      <c r="Z569">
        <v>250.99</v>
      </c>
      <c r="AA569" t="s">
        <v>47</v>
      </c>
      <c r="AB569">
        <v>13</v>
      </c>
      <c r="AC569">
        <v>82.61</v>
      </c>
      <c r="AD569">
        <v>330</v>
      </c>
      <c r="AE569">
        <v>372</v>
      </c>
    </row>
    <row r="570" spans="1:31" x14ac:dyDescent="0.25">
      <c r="A570" t="s">
        <v>2857</v>
      </c>
      <c r="B570" t="s">
        <v>2858</v>
      </c>
      <c r="C570" s="1">
        <v>45101</v>
      </c>
      <c r="D570" s="1">
        <v>44262</v>
      </c>
      <c r="E570" t="s">
        <v>50</v>
      </c>
      <c r="F570" t="s">
        <v>147</v>
      </c>
      <c r="G570" t="s">
        <v>52</v>
      </c>
      <c r="H570" t="s">
        <v>68</v>
      </c>
      <c r="I570" t="s">
        <v>2859</v>
      </c>
      <c r="J570" t="s">
        <v>38</v>
      </c>
      <c r="K570" t="s">
        <v>97</v>
      </c>
      <c r="L570" t="s">
        <v>2860</v>
      </c>
      <c r="M570">
        <v>136.81</v>
      </c>
      <c r="N570">
        <v>22</v>
      </c>
      <c r="O570" t="s">
        <v>2861</v>
      </c>
      <c r="P570" t="s">
        <v>59</v>
      </c>
      <c r="Q570" t="s">
        <v>706</v>
      </c>
      <c r="R570" t="s">
        <v>153</v>
      </c>
      <c r="S570" t="s">
        <v>128</v>
      </c>
      <c r="T570" t="s">
        <v>203</v>
      </c>
      <c r="U570">
        <v>2618</v>
      </c>
      <c r="V570">
        <v>283</v>
      </c>
      <c r="W570">
        <v>5</v>
      </c>
      <c r="X570">
        <v>829.83</v>
      </c>
      <c r="Y570">
        <v>197.34</v>
      </c>
      <c r="Z570">
        <v>1027.17</v>
      </c>
      <c r="AA570" t="s">
        <v>63</v>
      </c>
      <c r="AB570">
        <v>0</v>
      </c>
      <c r="AC570">
        <v>98.09</v>
      </c>
      <c r="AD570">
        <v>284</v>
      </c>
      <c r="AE570">
        <v>312</v>
      </c>
    </row>
    <row r="571" spans="1:31" x14ac:dyDescent="0.25">
      <c r="A571" t="s">
        <v>2862</v>
      </c>
      <c r="B571" t="s">
        <v>2863</v>
      </c>
      <c r="C571" s="1">
        <v>44963</v>
      </c>
      <c r="D571" s="1">
        <v>45491</v>
      </c>
      <c r="E571" t="s">
        <v>66</v>
      </c>
      <c r="F571" t="s">
        <v>147</v>
      </c>
      <c r="G571" t="s">
        <v>105</v>
      </c>
      <c r="H571" t="s">
        <v>218</v>
      </c>
      <c r="I571" t="s">
        <v>2864</v>
      </c>
      <c r="J571" t="s">
        <v>107</v>
      </c>
      <c r="K571" t="s">
        <v>83</v>
      </c>
      <c r="L571" t="s">
        <v>2865</v>
      </c>
      <c r="M571">
        <v>95.36</v>
      </c>
      <c r="N571">
        <v>30</v>
      </c>
      <c r="O571" t="s">
        <v>2288</v>
      </c>
      <c r="P571" t="s">
        <v>110</v>
      </c>
      <c r="Q571" t="s">
        <v>461</v>
      </c>
      <c r="R571" t="s">
        <v>61</v>
      </c>
      <c r="S571" t="s">
        <v>74</v>
      </c>
      <c r="T571" t="s">
        <v>273</v>
      </c>
      <c r="U571">
        <v>2157</v>
      </c>
      <c r="V571">
        <v>353</v>
      </c>
      <c r="W571">
        <v>2</v>
      </c>
      <c r="X571">
        <v>654.92999999999995</v>
      </c>
      <c r="Y571">
        <v>373.52</v>
      </c>
      <c r="Z571">
        <v>1028.45</v>
      </c>
      <c r="AA571" t="s">
        <v>63</v>
      </c>
      <c r="AB571">
        <v>0</v>
      </c>
      <c r="AC571">
        <v>96.7</v>
      </c>
      <c r="AD571">
        <v>173</v>
      </c>
      <c r="AE571">
        <v>181</v>
      </c>
    </row>
    <row r="572" spans="1:31" x14ac:dyDescent="0.25">
      <c r="A572" t="s">
        <v>2866</v>
      </c>
      <c r="B572" t="s">
        <v>2867</v>
      </c>
      <c r="C572" s="1">
        <v>45333</v>
      </c>
      <c r="D572" s="1">
        <v>44592</v>
      </c>
      <c r="E572" t="s">
        <v>66</v>
      </c>
      <c r="F572" t="s">
        <v>51</v>
      </c>
      <c r="G572" t="s">
        <v>35</v>
      </c>
      <c r="H572" t="s">
        <v>218</v>
      </c>
      <c r="I572" t="s">
        <v>2868</v>
      </c>
      <c r="J572" t="s">
        <v>107</v>
      </c>
      <c r="K572" t="s">
        <v>56</v>
      </c>
      <c r="L572" t="s">
        <v>2869</v>
      </c>
      <c r="M572">
        <v>149.6</v>
      </c>
      <c r="N572">
        <v>59</v>
      </c>
      <c r="O572" t="s">
        <v>2870</v>
      </c>
      <c r="P572" t="s">
        <v>110</v>
      </c>
      <c r="Q572" t="s">
        <v>700</v>
      </c>
      <c r="R572" t="s">
        <v>153</v>
      </c>
      <c r="S572" t="s">
        <v>101</v>
      </c>
      <c r="T572" t="s">
        <v>196</v>
      </c>
      <c r="U572">
        <v>2472</v>
      </c>
      <c r="V572">
        <v>464</v>
      </c>
      <c r="W572">
        <v>18</v>
      </c>
      <c r="X572">
        <v>1570.12</v>
      </c>
      <c r="Y572">
        <v>279.12</v>
      </c>
      <c r="Z572">
        <v>1849.24</v>
      </c>
      <c r="AA572" t="s">
        <v>63</v>
      </c>
      <c r="AB572">
        <v>0</v>
      </c>
      <c r="AC572">
        <v>90.34</v>
      </c>
      <c r="AD572">
        <v>429</v>
      </c>
      <c r="AE572">
        <v>438</v>
      </c>
    </row>
    <row r="573" spans="1:31" x14ac:dyDescent="0.25">
      <c r="A573" t="s">
        <v>2871</v>
      </c>
      <c r="B573" t="s">
        <v>2872</v>
      </c>
      <c r="C573" s="1">
        <v>43864</v>
      </c>
      <c r="D573" s="1">
        <v>44680</v>
      </c>
      <c r="E573" t="s">
        <v>66</v>
      </c>
      <c r="F573" t="s">
        <v>78</v>
      </c>
      <c r="G573" t="s">
        <v>105</v>
      </c>
      <c r="H573" t="s">
        <v>80</v>
      </c>
      <c r="I573" t="s">
        <v>2873</v>
      </c>
      <c r="J573" t="s">
        <v>38</v>
      </c>
      <c r="K573" t="s">
        <v>83</v>
      </c>
      <c r="L573" t="s">
        <v>2874</v>
      </c>
      <c r="M573">
        <v>110.43</v>
      </c>
      <c r="N573">
        <v>61</v>
      </c>
      <c r="O573" t="s">
        <v>2875</v>
      </c>
      <c r="P573" t="s">
        <v>110</v>
      </c>
      <c r="Q573" t="s">
        <v>248</v>
      </c>
      <c r="R573" t="s">
        <v>61</v>
      </c>
      <c r="S573" t="s">
        <v>89</v>
      </c>
      <c r="T573" t="s">
        <v>1023</v>
      </c>
      <c r="U573">
        <v>1181</v>
      </c>
      <c r="V573">
        <v>169</v>
      </c>
      <c r="W573">
        <v>2</v>
      </c>
      <c r="X573">
        <v>823.97</v>
      </c>
      <c r="Y573">
        <v>288.99</v>
      </c>
      <c r="Z573">
        <v>1112.96</v>
      </c>
      <c r="AA573" t="s">
        <v>63</v>
      </c>
      <c r="AB573">
        <v>0</v>
      </c>
      <c r="AC573">
        <v>81.53</v>
      </c>
      <c r="AD573">
        <v>415</v>
      </c>
      <c r="AE573">
        <v>385</v>
      </c>
    </row>
    <row r="574" spans="1:31" x14ac:dyDescent="0.25">
      <c r="A574" t="s">
        <v>2876</v>
      </c>
      <c r="B574" t="s">
        <v>2877</v>
      </c>
      <c r="C574" s="1">
        <v>43858</v>
      </c>
      <c r="D574" s="1">
        <v>44146</v>
      </c>
      <c r="E574" t="s">
        <v>50</v>
      </c>
      <c r="F574" t="s">
        <v>78</v>
      </c>
      <c r="G574" t="s">
        <v>94</v>
      </c>
      <c r="H574" t="s">
        <v>68</v>
      </c>
      <c r="I574" t="s">
        <v>2878</v>
      </c>
      <c r="J574" t="s">
        <v>55</v>
      </c>
      <c r="K574" t="s">
        <v>97</v>
      </c>
      <c r="L574" t="s">
        <v>2879</v>
      </c>
      <c r="M574">
        <v>372</v>
      </c>
      <c r="N574">
        <v>19</v>
      </c>
      <c r="O574" t="s">
        <v>2880</v>
      </c>
      <c r="P574" t="s">
        <v>42</v>
      </c>
      <c r="Q574" t="s">
        <v>100</v>
      </c>
      <c r="R574" t="s">
        <v>44</v>
      </c>
      <c r="S574" t="s">
        <v>45</v>
      </c>
      <c r="T574" t="s">
        <v>262</v>
      </c>
      <c r="U574">
        <v>423</v>
      </c>
      <c r="V574">
        <v>74</v>
      </c>
      <c r="W574">
        <v>20</v>
      </c>
      <c r="X574">
        <v>742.61</v>
      </c>
      <c r="Y574">
        <v>432.23</v>
      </c>
      <c r="Z574">
        <v>1174.8399999999999</v>
      </c>
      <c r="AA574" t="s">
        <v>63</v>
      </c>
      <c r="AB574">
        <v>0</v>
      </c>
      <c r="AC574">
        <v>70.180000000000007</v>
      </c>
      <c r="AD574">
        <v>437</v>
      </c>
      <c r="AE574">
        <v>484</v>
      </c>
    </row>
    <row r="575" spans="1:31" x14ac:dyDescent="0.25">
      <c r="A575" t="s">
        <v>2881</v>
      </c>
      <c r="B575" t="s">
        <v>2882</v>
      </c>
      <c r="C575" s="1">
        <v>43911</v>
      </c>
      <c r="D575" s="1">
        <v>45529</v>
      </c>
      <c r="E575" t="s">
        <v>66</v>
      </c>
      <c r="F575" t="s">
        <v>78</v>
      </c>
      <c r="G575" t="s">
        <v>337</v>
      </c>
      <c r="H575" t="s">
        <v>164</v>
      </c>
      <c r="I575" t="s">
        <v>2883</v>
      </c>
      <c r="J575" t="s">
        <v>96</v>
      </c>
      <c r="K575" t="s">
        <v>56</v>
      </c>
      <c r="L575" t="s">
        <v>2884</v>
      </c>
      <c r="M575">
        <v>347.06</v>
      </c>
      <c r="N575">
        <v>56</v>
      </c>
      <c r="O575" t="s">
        <v>2885</v>
      </c>
      <c r="P575" t="s">
        <v>42</v>
      </c>
      <c r="Q575" t="s">
        <v>315</v>
      </c>
      <c r="R575" t="s">
        <v>44</v>
      </c>
      <c r="S575" t="s">
        <v>89</v>
      </c>
      <c r="T575" t="s">
        <v>203</v>
      </c>
      <c r="U575">
        <v>2022</v>
      </c>
      <c r="V575">
        <v>159</v>
      </c>
      <c r="W575">
        <v>4</v>
      </c>
      <c r="X575">
        <v>678.29</v>
      </c>
      <c r="Y575">
        <v>148.77000000000001</v>
      </c>
      <c r="Z575">
        <v>827.06</v>
      </c>
      <c r="AA575" t="s">
        <v>63</v>
      </c>
      <c r="AB575">
        <v>0</v>
      </c>
      <c r="AC575">
        <v>79.92</v>
      </c>
      <c r="AD575">
        <v>489</v>
      </c>
      <c r="AE575">
        <v>487</v>
      </c>
    </row>
    <row r="576" spans="1:31" x14ac:dyDescent="0.25">
      <c r="A576" t="s">
        <v>2886</v>
      </c>
      <c r="B576" t="s">
        <v>2887</v>
      </c>
      <c r="C576" s="1">
        <v>44203</v>
      </c>
      <c r="D576" s="1">
        <v>44392</v>
      </c>
      <c r="E576" t="s">
        <v>66</v>
      </c>
      <c r="F576" t="s">
        <v>34</v>
      </c>
      <c r="G576" t="s">
        <v>337</v>
      </c>
      <c r="H576" t="s">
        <v>116</v>
      </c>
      <c r="I576" t="s">
        <v>2888</v>
      </c>
      <c r="J576" t="s">
        <v>96</v>
      </c>
      <c r="K576" t="s">
        <v>70</v>
      </c>
      <c r="L576" t="s">
        <v>2889</v>
      </c>
      <c r="M576">
        <v>91.45</v>
      </c>
      <c r="N576">
        <v>66</v>
      </c>
      <c r="O576" t="s">
        <v>1648</v>
      </c>
      <c r="P576" t="s">
        <v>86</v>
      </c>
      <c r="Q576" t="s">
        <v>461</v>
      </c>
      <c r="R576" t="s">
        <v>61</v>
      </c>
      <c r="S576" t="s">
        <v>128</v>
      </c>
      <c r="T576" t="s">
        <v>297</v>
      </c>
      <c r="U576">
        <v>2882</v>
      </c>
      <c r="V576">
        <v>267</v>
      </c>
      <c r="W576">
        <v>22</v>
      </c>
      <c r="X576">
        <v>1734.49</v>
      </c>
      <c r="Y576">
        <v>473.92</v>
      </c>
      <c r="Z576">
        <v>2208.41</v>
      </c>
      <c r="AA576" t="s">
        <v>63</v>
      </c>
      <c r="AB576">
        <v>0</v>
      </c>
      <c r="AC576">
        <v>95.69</v>
      </c>
      <c r="AD576">
        <v>166</v>
      </c>
      <c r="AE576">
        <v>126</v>
      </c>
    </row>
    <row r="577" spans="1:31" x14ac:dyDescent="0.25">
      <c r="A577" t="s">
        <v>2890</v>
      </c>
      <c r="B577" t="s">
        <v>2891</v>
      </c>
      <c r="C577" s="1">
        <v>43945</v>
      </c>
      <c r="D577" s="1">
        <v>45515</v>
      </c>
      <c r="E577" t="s">
        <v>66</v>
      </c>
      <c r="F577" t="s">
        <v>34</v>
      </c>
      <c r="G577" t="s">
        <v>115</v>
      </c>
      <c r="H577" t="s">
        <v>53</v>
      </c>
      <c r="I577" t="s">
        <v>2892</v>
      </c>
      <c r="J577" t="s">
        <v>55</v>
      </c>
      <c r="K577" t="s">
        <v>39</v>
      </c>
      <c r="L577" t="s">
        <v>2893</v>
      </c>
      <c r="M577">
        <v>144.16999999999999</v>
      </c>
      <c r="N577">
        <v>58</v>
      </c>
      <c r="O577" t="s">
        <v>2894</v>
      </c>
      <c r="P577" t="s">
        <v>42</v>
      </c>
      <c r="Q577" t="s">
        <v>189</v>
      </c>
      <c r="R577" t="s">
        <v>61</v>
      </c>
      <c r="S577" t="s">
        <v>74</v>
      </c>
      <c r="T577" t="s">
        <v>1023</v>
      </c>
      <c r="U577">
        <v>1999</v>
      </c>
      <c r="V577">
        <v>192</v>
      </c>
      <c r="W577">
        <v>19</v>
      </c>
      <c r="X577">
        <v>328.44</v>
      </c>
      <c r="Y577">
        <v>111.04</v>
      </c>
      <c r="Z577">
        <v>439.48</v>
      </c>
      <c r="AA577" t="s">
        <v>63</v>
      </c>
      <c r="AB577">
        <v>0</v>
      </c>
      <c r="AC577">
        <v>80.12</v>
      </c>
      <c r="AD577">
        <v>499</v>
      </c>
      <c r="AE577">
        <v>452</v>
      </c>
    </row>
    <row r="578" spans="1:31" x14ac:dyDescent="0.25">
      <c r="A578" t="s">
        <v>2895</v>
      </c>
      <c r="B578" t="s">
        <v>2812</v>
      </c>
      <c r="C578" s="1">
        <v>44932</v>
      </c>
      <c r="D578" s="1">
        <v>45170</v>
      </c>
      <c r="E578" t="s">
        <v>66</v>
      </c>
      <c r="F578" t="s">
        <v>51</v>
      </c>
      <c r="G578" t="s">
        <v>115</v>
      </c>
      <c r="H578" t="s">
        <v>80</v>
      </c>
      <c r="I578" t="s">
        <v>2896</v>
      </c>
      <c r="J578" t="s">
        <v>55</v>
      </c>
      <c r="K578" t="s">
        <v>83</v>
      </c>
      <c r="L578" t="s">
        <v>2897</v>
      </c>
      <c r="M578">
        <v>207.34</v>
      </c>
      <c r="N578">
        <v>44</v>
      </c>
      <c r="O578" t="s">
        <v>2898</v>
      </c>
      <c r="P578" t="s">
        <v>86</v>
      </c>
      <c r="Q578" t="s">
        <v>182</v>
      </c>
      <c r="R578" t="s">
        <v>88</v>
      </c>
      <c r="S578" t="s">
        <v>74</v>
      </c>
      <c r="T578" t="s">
        <v>144</v>
      </c>
      <c r="U578">
        <v>952</v>
      </c>
      <c r="V578">
        <v>467</v>
      </c>
      <c r="W578">
        <v>14</v>
      </c>
      <c r="X578">
        <v>1230.51</v>
      </c>
      <c r="Y578">
        <v>62.64</v>
      </c>
      <c r="Z578">
        <v>1293.1500000000001</v>
      </c>
      <c r="AA578" t="s">
        <v>63</v>
      </c>
      <c r="AB578">
        <v>0</v>
      </c>
      <c r="AC578">
        <v>79.59</v>
      </c>
      <c r="AD578">
        <v>236</v>
      </c>
      <c r="AE578">
        <v>239</v>
      </c>
    </row>
    <row r="579" spans="1:31" x14ac:dyDescent="0.25">
      <c r="A579" t="s">
        <v>2899</v>
      </c>
      <c r="B579" t="s">
        <v>2900</v>
      </c>
      <c r="C579" s="1">
        <v>44008</v>
      </c>
      <c r="D579" s="1">
        <v>44644</v>
      </c>
      <c r="E579" t="s">
        <v>66</v>
      </c>
      <c r="F579" t="s">
        <v>93</v>
      </c>
      <c r="G579" t="s">
        <v>115</v>
      </c>
      <c r="H579" t="s">
        <v>68</v>
      </c>
      <c r="I579" t="s">
        <v>2901</v>
      </c>
      <c r="J579" t="s">
        <v>55</v>
      </c>
      <c r="K579" t="s">
        <v>97</v>
      </c>
      <c r="L579" t="s">
        <v>2902</v>
      </c>
      <c r="M579">
        <v>115.29</v>
      </c>
      <c r="N579">
        <v>80</v>
      </c>
      <c r="O579" t="s">
        <v>2903</v>
      </c>
      <c r="P579" t="s">
        <v>86</v>
      </c>
      <c r="Q579" t="s">
        <v>228</v>
      </c>
      <c r="R579" t="s">
        <v>61</v>
      </c>
      <c r="S579" t="s">
        <v>74</v>
      </c>
      <c r="T579" t="s">
        <v>673</v>
      </c>
      <c r="U579">
        <v>1289</v>
      </c>
      <c r="V579">
        <v>279</v>
      </c>
      <c r="W579">
        <v>12</v>
      </c>
      <c r="X579">
        <v>118.22</v>
      </c>
      <c r="Y579">
        <v>200.93</v>
      </c>
      <c r="Z579">
        <v>319.14999999999998</v>
      </c>
      <c r="AA579" t="s">
        <v>63</v>
      </c>
      <c r="AB579">
        <v>0</v>
      </c>
      <c r="AC579">
        <v>82.04</v>
      </c>
      <c r="AD579">
        <v>291</v>
      </c>
      <c r="AE579">
        <v>247</v>
      </c>
    </row>
    <row r="580" spans="1:31" x14ac:dyDescent="0.25">
      <c r="A580" t="s">
        <v>2904</v>
      </c>
      <c r="B580" t="s">
        <v>2905</v>
      </c>
      <c r="C580" s="1">
        <v>45231</v>
      </c>
      <c r="D580" s="1">
        <v>44394</v>
      </c>
      <c r="E580" t="s">
        <v>66</v>
      </c>
      <c r="F580" t="s">
        <v>147</v>
      </c>
      <c r="G580" t="s">
        <v>105</v>
      </c>
      <c r="H580" t="s">
        <v>116</v>
      </c>
      <c r="I580" t="s">
        <v>2906</v>
      </c>
      <c r="J580" t="s">
        <v>38</v>
      </c>
      <c r="K580" t="s">
        <v>70</v>
      </c>
      <c r="L580" t="s">
        <v>2907</v>
      </c>
      <c r="M580">
        <v>219.84</v>
      </c>
      <c r="N580">
        <v>41</v>
      </c>
      <c r="O580" t="s">
        <v>2908</v>
      </c>
      <c r="P580" t="s">
        <v>110</v>
      </c>
      <c r="Q580" t="s">
        <v>364</v>
      </c>
      <c r="R580" t="s">
        <v>44</v>
      </c>
      <c r="S580" t="s">
        <v>74</v>
      </c>
      <c r="T580" t="s">
        <v>1261</v>
      </c>
      <c r="U580">
        <v>434</v>
      </c>
      <c r="V580">
        <v>269</v>
      </c>
      <c r="W580">
        <v>4</v>
      </c>
      <c r="X580">
        <v>876.64</v>
      </c>
      <c r="Y580">
        <v>353.86</v>
      </c>
      <c r="Z580">
        <v>1230.5</v>
      </c>
      <c r="AA580" t="s">
        <v>63</v>
      </c>
      <c r="AB580">
        <v>0</v>
      </c>
      <c r="AC580">
        <v>70.5</v>
      </c>
      <c r="AD580">
        <v>484</v>
      </c>
      <c r="AE580">
        <v>471</v>
      </c>
    </row>
    <row r="581" spans="1:31" x14ac:dyDescent="0.25">
      <c r="A581" t="s">
        <v>2909</v>
      </c>
      <c r="B581" t="s">
        <v>2910</v>
      </c>
      <c r="C581" s="1">
        <v>43834</v>
      </c>
      <c r="D581" s="1">
        <v>44687</v>
      </c>
      <c r="E581" t="s">
        <v>33</v>
      </c>
      <c r="F581" t="s">
        <v>147</v>
      </c>
      <c r="G581" t="s">
        <v>67</v>
      </c>
      <c r="H581" t="s">
        <v>36</v>
      </c>
      <c r="I581" t="s">
        <v>2911</v>
      </c>
      <c r="J581" t="s">
        <v>107</v>
      </c>
      <c r="K581" t="s">
        <v>97</v>
      </c>
      <c r="L581" t="s">
        <v>2912</v>
      </c>
      <c r="M581">
        <v>330.12</v>
      </c>
      <c r="N581">
        <v>55</v>
      </c>
      <c r="O581" t="s">
        <v>2913</v>
      </c>
      <c r="P581" t="s">
        <v>142</v>
      </c>
      <c r="Q581" t="s">
        <v>514</v>
      </c>
      <c r="R581" t="s">
        <v>61</v>
      </c>
      <c r="S581" t="s">
        <v>101</v>
      </c>
      <c r="T581" t="s">
        <v>1339</v>
      </c>
      <c r="U581">
        <v>1313</v>
      </c>
      <c r="V581">
        <v>380</v>
      </c>
      <c r="W581">
        <v>6</v>
      </c>
      <c r="X581">
        <v>1390.4</v>
      </c>
      <c r="Y581">
        <v>99.35</v>
      </c>
      <c r="Z581">
        <v>1489.75</v>
      </c>
      <c r="AA581" t="s">
        <v>63</v>
      </c>
      <c r="AB581">
        <v>0</v>
      </c>
      <c r="AC581">
        <v>89.31</v>
      </c>
      <c r="AD581">
        <v>319</v>
      </c>
      <c r="AE581">
        <v>297</v>
      </c>
    </row>
    <row r="582" spans="1:31" x14ac:dyDescent="0.25">
      <c r="A582" t="s">
        <v>2914</v>
      </c>
      <c r="B582" t="s">
        <v>2915</v>
      </c>
      <c r="C582" s="1">
        <v>44859</v>
      </c>
      <c r="D582" s="1">
        <v>44152</v>
      </c>
      <c r="E582" t="s">
        <v>66</v>
      </c>
      <c r="F582" t="s">
        <v>93</v>
      </c>
      <c r="G582" t="s">
        <v>79</v>
      </c>
      <c r="H582" t="s">
        <v>53</v>
      </c>
      <c r="I582" t="s">
        <v>2916</v>
      </c>
      <c r="J582" t="s">
        <v>38</v>
      </c>
      <c r="K582" t="s">
        <v>56</v>
      </c>
      <c r="L582" t="s">
        <v>2917</v>
      </c>
      <c r="M582">
        <v>297.08</v>
      </c>
      <c r="N582">
        <v>90</v>
      </c>
      <c r="O582" t="s">
        <v>188</v>
      </c>
      <c r="P582" t="s">
        <v>59</v>
      </c>
      <c r="Q582" t="s">
        <v>87</v>
      </c>
      <c r="R582" t="s">
        <v>88</v>
      </c>
      <c r="S582" t="s">
        <v>101</v>
      </c>
      <c r="T582" t="s">
        <v>249</v>
      </c>
      <c r="U582">
        <v>1237</v>
      </c>
      <c r="V582">
        <v>450</v>
      </c>
      <c r="W582">
        <v>20</v>
      </c>
      <c r="X582">
        <v>230.38</v>
      </c>
      <c r="Y582">
        <v>352.55</v>
      </c>
      <c r="Z582">
        <v>582.93000000000006</v>
      </c>
      <c r="AA582" t="s">
        <v>63</v>
      </c>
      <c r="AB582">
        <v>0</v>
      </c>
      <c r="AC582">
        <v>80</v>
      </c>
      <c r="AD582">
        <v>457</v>
      </c>
      <c r="AE582">
        <v>412</v>
      </c>
    </row>
    <row r="583" spans="1:31" x14ac:dyDescent="0.25">
      <c r="A583" t="s">
        <v>2918</v>
      </c>
      <c r="B583" t="s">
        <v>2919</v>
      </c>
      <c r="C583" s="1">
        <v>44092</v>
      </c>
      <c r="D583" s="1">
        <v>45658</v>
      </c>
      <c r="E583" t="s">
        <v>66</v>
      </c>
      <c r="F583" t="s">
        <v>93</v>
      </c>
      <c r="G583" t="s">
        <v>337</v>
      </c>
      <c r="H583" t="s">
        <v>164</v>
      </c>
      <c r="I583" t="s">
        <v>2920</v>
      </c>
      <c r="J583" t="s">
        <v>82</v>
      </c>
      <c r="K583" t="s">
        <v>70</v>
      </c>
      <c r="L583" t="s">
        <v>2921</v>
      </c>
      <c r="M583">
        <v>349.41</v>
      </c>
      <c r="N583">
        <v>42</v>
      </c>
      <c r="O583" t="s">
        <v>1977</v>
      </c>
      <c r="P583" t="s">
        <v>110</v>
      </c>
      <c r="Q583" t="s">
        <v>364</v>
      </c>
      <c r="R583" t="s">
        <v>88</v>
      </c>
      <c r="S583" t="s">
        <v>89</v>
      </c>
      <c r="T583" t="s">
        <v>136</v>
      </c>
      <c r="U583">
        <v>4458</v>
      </c>
      <c r="V583">
        <v>393</v>
      </c>
      <c r="W583">
        <v>20</v>
      </c>
      <c r="X583">
        <v>96.34</v>
      </c>
      <c r="Y583">
        <v>300.07</v>
      </c>
      <c r="Z583">
        <v>396.41</v>
      </c>
      <c r="AA583" t="s">
        <v>63</v>
      </c>
      <c r="AB583">
        <v>0</v>
      </c>
      <c r="AC583">
        <v>83.42</v>
      </c>
      <c r="AD583">
        <v>230</v>
      </c>
      <c r="AE583">
        <v>214</v>
      </c>
    </row>
    <row r="584" spans="1:31" x14ac:dyDescent="0.25">
      <c r="A584" t="s">
        <v>2922</v>
      </c>
      <c r="B584" t="s">
        <v>2923</v>
      </c>
      <c r="C584" s="1">
        <v>45428</v>
      </c>
      <c r="D584" s="1">
        <v>43846</v>
      </c>
      <c r="E584" t="s">
        <v>66</v>
      </c>
      <c r="F584" t="s">
        <v>93</v>
      </c>
      <c r="G584" t="s">
        <v>105</v>
      </c>
      <c r="H584" t="s">
        <v>164</v>
      </c>
      <c r="I584" t="s">
        <v>2924</v>
      </c>
      <c r="J584" t="s">
        <v>82</v>
      </c>
      <c r="K584" t="s">
        <v>97</v>
      </c>
      <c r="L584" t="s">
        <v>2925</v>
      </c>
      <c r="M584">
        <v>24.53</v>
      </c>
      <c r="N584">
        <v>43</v>
      </c>
      <c r="O584" t="s">
        <v>2926</v>
      </c>
      <c r="P584" t="s">
        <v>42</v>
      </c>
      <c r="Q584" t="s">
        <v>421</v>
      </c>
      <c r="R584" t="s">
        <v>153</v>
      </c>
      <c r="S584" t="s">
        <v>128</v>
      </c>
      <c r="T584" t="s">
        <v>303</v>
      </c>
      <c r="U584">
        <v>1184</v>
      </c>
      <c r="V584">
        <v>140</v>
      </c>
      <c r="W584">
        <v>10</v>
      </c>
      <c r="X584">
        <v>925.54</v>
      </c>
      <c r="Y584">
        <v>305.97000000000003</v>
      </c>
      <c r="Z584">
        <v>1231.51</v>
      </c>
      <c r="AA584" t="s">
        <v>63</v>
      </c>
      <c r="AB584">
        <v>0</v>
      </c>
      <c r="AC584">
        <v>82.69</v>
      </c>
      <c r="AD584">
        <v>498</v>
      </c>
      <c r="AE584">
        <v>499</v>
      </c>
    </row>
    <row r="585" spans="1:31" x14ac:dyDescent="0.25">
      <c r="A585" t="s">
        <v>2927</v>
      </c>
      <c r="B585" t="s">
        <v>2928</v>
      </c>
      <c r="C585" s="1">
        <v>44098</v>
      </c>
      <c r="D585" s="1">
        <v>45288</v>
      </c>
      <c r="E585" t="s">
        <v>66</v>
      </c>
      <c r="F585" t="s">
        <v>147</v>
      </c>
      <c r="G585" t="s">
        <v>79</v>
      </c>
      <c r="H585" t="s">
        <v>36</v>
      </c>
      <c r="I585" t="s">
        <v>2929</v>
      </c>
      <c r="J585" t="s">
        <v>82</v>
      </c>
      <c r="K585" t="s">
        <v>39</v>
      </c>
      <c r="L585" t="s">
        <v>2930</v>
      </c>
      <c r="M585">
        <v>464.56</v>
      </c>
      <c r="N585">
        <v>91</v>
      </c>
      <c r="O585" t="s">
        <v>2931</v>
      </c>
      <c r="P585" t="s">
        <v>86</v>
      </c>
      <c r="Q585" t="s">
        <v>202</v>
      </c>
      <c r="R585" t="s">
        <v>61</v>
      </c>
      <c r="S585" t="s">
        <v>101</v>
      </c>
      <c r="T585" t="s">
        <v>434</v>
      </c>
      <c r="U585">
        <v>278</v>
      </c>
      <c r="V585">
        <v>378</v>
      </c>
      <c r="W585">
        <v>27</v>
      </c>
      <c r="X585">
        <v>1081.01</v>
      </c>
      <c r="Y585">
        <v>148.91</v>
      </c>
      <c r="Z585">
        <v>1229.92</v>
      </c>
      <c r="AA585" t="s">
        <v>63</v>
      </c>
      <c r="AB585">
        <v>0</v>
      </c>
      <c r="AC585">
        <v>72.489999999999995</v>
      </c>
      <c r="AD585">
        <v>189</v>
      </c>
      <c r="AE585">
        <v>200</v>
      </c>
    </row>
    <row r="586" spans="1:31" x14ac:dyDescent="0.25">
      <c r="A586" t="s">
        <v>2932</v>
      </c>
      <c r="B586" t="s">
        <v>1735</v>
      </c>
      <c r="C586" s="1">
        <v>45589</v>
      </c>
      <c r="D586" s="1">
        <v>44745</v>
      </c>
      <c r="E586" t="s">
        <v>66</v>
      </c>
      <c r="F586" t="s">
        <v>34</v>
      </c>
      <c r="G586" t="s">
        <v>52</v>
      </c>
      <c r="H586" t="s">
        <v>164</v>
      </c>
      <c r="I586" t="s">
        <v>2933</v>
      </c>
      <c r="J586" t="s">
        <v>96</v>
      </c>
      <c r="K586" t="s">
        <v>83</v>
      </c>
      <c r="L586" t="s">
        <v>2934</v>
      </c>
      <c r="M586">
        <v>260.89</v>
      </c>
      <c r="N586">
        <v>84</v>
      </c>
      <c r="O586" t="s">
        <v>967</v>
      </c>
      <c r="P586" t="s">
        <v>142</v>
      </c>
      <c r="Q586" t="s">
        <v>684</v>
      </c>
      <c r="R586" t="s">
        <v>61</v>
      </c>
      <c r="S586" t="s">
        <v>89</v>
      </c>
      <c r="T586" t="s">
        <v>939</v>
      </c>
      <c r="U586">
        <v>4167</v>
      </c>
      <c r="V586">
        <v>446</v>
      </c>
      <c r="W586">
        <v>29</v>
      </c>
      <c r="X586">
        <v>188.23</v>
      </c>
      <c r="Y586">
        <v>408.31</v>
      </c>
      <c r="Z586">
        <v>596.54</v>
      </c>
      <c r="AA586" t="s">
        <v>63</v>
      </c>
      <c r="AB586">
        <v>0</v>
      </c>
      <c r="AC586">
        <v>89.54</v>
      </c>
      <c r="AD586">
        <v>377</v>
      </c>
      <c r="AE586">
        <v>413</v>
      </c>
    </row>
    <row r="587" spans="1:31" x14ac:dyDescent="0.25">
      <c r="A587" t="s">
        <v>2935</v>
      </c>
      <c r="B587" t="s">
        <v>2936</v>
      </c>
      <c r="C587" s="1">
        <v>44043</v>
      </c>
      <c r="D587" s="1">
        <v>45546</v>
      </c>
      <c r="E587" t="s">
        <v>66</v>
      </c>
      <c r="F587" t="s">
        <v>78</v>
      </c>
      <c r="G587" t="s">
        <v>67</v>
      </c>
      <c r="H587" t="s">
        <v>164</v>
      </c>
      <c r="I587" t="s">
        <v>2937</v>
      </c>
      <c r="J587" t="s">
        <v>96</v>
      </c>
      <c r="K587" t="s">
        <v>56</v>
      </c>
      <c r="L587" t="s">
        <v>2938</v>
      </c>
      <c r="M587">
        <v>180.83</v>
      </c>
      <c r="N587">
        <v>87</v>
      </c>
      <c r="O587" t="s">
        <v>2939</v>
      </c>
      <c r="P587" t="s">
        <v>86</v>
      </c>
      <c r="Q587" t="s">
        <v>421</v>
      </c>
      <c r="R587" t="s">
        <v>44</v>
      </c>
      <c r="S587" t="s">
        <v>89</v>
      </c>
      <c r="T587" t="s">
        <v>721</v>
      </c>
      <c r="U587">
        <v>2560</v>
      </c>
      <c r="V587">
        <v>369</v>
      </c>
      <c r="W587">
        <v>15</v>
      </c>
      <c r="X587">
        <v>174.17</v>
      </c>
      <c r="Y587">
        <v>387.95</v>
      </c>
      <c r="Z587">
        <v>562.12</v>
      </c>
      <c r="AA587" t="s">
        <v>47</v>
      </c>
      <c r="AB587">
        <v>5</v>
      </c>
      <c r="AC587">
        <v>86.33</v>
      </c>
      <c r="AD587">
        <v>498</v>
      </c>
      <c r="AE587">
        <v>471</v>
      </c>
    </row>
    <row r="588" spans="1:31" x14ac:dyDescent="0.25">
      <c r="A588" t="s">
        <v>2940</v>
      </c>
      <c r="B588" t="s">
        <v>2941</v>
      </c>
      <c r="C588" s="1">
        <v>45367</v>
      </c>
      <c r="D588" s="1">
        <v>44018</v>
      </c>
      <c r="E588" t="s">
        <v>66</v>
      </c>
      <c r="F588" t="s">
        <v>34</v>
      </c>
      <c r="G588" t="s">
        <v>94</v>
      </c>
      <c r="H588" t="s">
        <v>36</v>
      </c>
      <c r="I588" t="s">
        <v>2942</v>
      </c>
      <c r="J588" t="s">
        <v>107</v>
      </c>
      <c r="K588" t="s">
        <v>70</v>
      </c>
      <c r="L588" t="s">
        <v>2943</v>
      </c>
      <c r="M588">
        <v>82.84</v>
      </c>
      <c r="N588">
        <v>67</v>
      </c>
      <c r="O588" t="s">
        <v>1359</v>
      </c>
      <c r="P588" t="s">
        <v>59</v>
      </c>
      <c r="Q588" t="s">
        <v>421</v>
      </c>
      <c r="R588" t="s">
        <v>44</v>
      </c>
      <c r="S588" t="s">
        <v>89</v>
      </c>
      <c r="T588" t="s">
        <v>737</v>
      </c>
      <c r="U588">
        <v>3449</v>
      </c>
      <c r="V588">
        <v>268</v>
      </c>
      <c r="W588">
        <v>11</v>
      </c>
      <c r="X588">
        <v>1736.2</v>
      </c>
      <c r="Y588">
        <v>73.84</v>
      </c>
      <c r="Z588">
        <v>1810.04</v>
      </c>
      <c r="AA588" t="s">
        <v>63</v>
      </c>
      <c r="AB588">
        <v>0</v>
      </c>
      <c r="AC588">
        <v>78.489999999999995</v>
      </c>
      <c r="AD588">
        <v>147</v>
      </c>
      <c r="AE588">
        <v>128</v>
      </c>
    </row>
    <row r="589" spans="1:31" x14ac:dyDescent="0.25">
      <c r="A589" t="s">
        <v>2944</v>
      </c>
      <c r="B589" t="s">
        <v>2945</v>
      </c>
      <c r="C589" s="1">
        <v>43832</v>
      </c>
      <c r="D589" s="1">
        <v>44292</v>
      </c>
      <c r="E589" t="s">
        <v>66</v>
      </c>
      <c r="F589" t="s">
        <v>147</v>
      </c>
      <c r="G589" t="s">
        <v>35</v>
      </c>
      <c r="H589" t="s">
        <v>36</v>
      </c>
      <c r="I589" t="s">
        <v>2946</v>
      </c>
      <c r="J589" t="s">
        <v>107</v>
      </c>
      <c r="K589" t="s">
        <v>83</v>
      </c>
      <c r="L589" t="s">
        <v>2947</v>
      </c>
      <c r="M589">
        <v>320.68</v>
      </c>
      <c r="N589">
        <v>38</v>
      </c>
      <c r="O589" t="s">
        <v>2126</v>
      </c>
      <c r="P589" t="s">
        <v>110</v>
      </c>
      <c r="Q589" t="s">
        <v>175</v>
      </c>
      <c r="R589" t="s">
        <v>88</v>
      </c>
      <c r="S589" t="s">
        <v>45</v>
      </c>
      <c r="T589" t="s">
        <v>154</v>
      </c>
      <c r="U589">
        <v>4061</v>
      </c>
      <c r="V589">
        <v>100</v>
      </c>
      <c r="W589">
        <v>13</v>
      </c>
      <c r="X589">
        <v>1380.71</v>
      </c>
      <c r="Y589">
        <v>326.22000000000003</v>
      </c>
      <c r="Z589">
        <v>1706.93</v>
      </c>
      <c r="AA589" t="s">
        <v>63</v>
      </c>
      <c r="AB589">
        <v>0</v>
      </c>
      <c r="AC589">
        <v>78.180000000000007</v>
      </c>
      <c r="AD589">
        <v>50</v>
      </c>
      <c r="AE589">
        <v>36</v>
      </c>
    </row>
    <row r="590" spans="1:31" x14ac:dyDescent="0.25">
      <c r="A590" t="s">
        <v>2948</v>
      </c>
      <c r="B590" t="s">
        <v>2949</v>
      </c>
      <c r="C590" s="1">
        <v>43966</v>
      </c>
      <c r="D590" s="1">
        <v>44607</v>
      </c>
      <c r="E590" t="s">
        <v>66</v>
      </c>
      <c r="F590" t="s">
        <v>34</v>
      </c>
      <c r="G590" t="s">
        <v>94</v>
      </c>
      <c r="H590" t="s">
        <v>164</v>
      </c>
      <c r="I590" t="s">
        <v>2950</v>
      </c>
      <c r="J590" t="s">
        <v>107</v>
      </c>
      <c r="K590" t="s">
        <v>70</v>
      </c>
      <c r="L590" t="s">
        <v>2951</v>
      </c>
      <c r="M590">
        <v>201.09</v>
      </c>
      <c r="N590">
        <v>84</v>
      </c>
      <c r="O590" t="s">
        <v>957</v>
      </c>
      <c r="P590" t="s">
        <v>110</v>
      </c>
      <c r="Q590" t="s">
        <v>383</v>
      </c>
      <c r="R590" t="s">
        <v>61</v>
      </c>
      <c r="S590" t="s">
        <v>45</v>
      </c>
      <c r="T590" t="s">
        <v>434</v>
      </c>
      <c r="U590">
        <v>588</v>
      </c>
      <c r="V590">
        <v>65</v>
      </c>
      <c r="W590">
        <v>20</v>
      </c>
      <c r="X590">
        <v>259.27</v>
      </c>
      <c r="Y590">
        <v>484.95</v>
      </c>
      <c r="Z590">
        <v>744.22</v>
      </c>
      <c r="AA590" t="s">
        <v>63</v>
      </c>
      <c r="AB590">
        <v>0</v>
      </c>
      <c r="AC590">
        <v>83.73</v>
      </c>
      <c r="AD590">
        <v>307</v>
      </c>
      <c r="AE590">
        <v>293</v>
      </c>
    </row>
    <row r="591" spans="1:31" x14ac:dyDescent="0.25">
      <c r="A591" t="s">
        <v>2952</v>
      </c>
      <c r="B591" t="s">
        <v>2953</v>
      </c>
      <c r="C591" s="1">
        <v>44549</v>
      </c>
      <c r="D591" s="1">
        <v>44581</v>
      </c>
      <c r="E591" t="s">
        <v>66</v>
      </c>
      <c r="F591" t="s">
        <v>51</v>
      </c>
      <c r="G591" t="s">
        <v>52</v>
      </c>
      <c r="H591" t="s">
        <v>36</v>
      </c>
      <c r="I591" t="s">
        <v>2954</v>
      </c>
      <c r="J591" t="s">
        <v>96</v>
      </c>
      <c r="K591" t="s">
        <v>39</v>
      </c>
      <c r="L591" t="s">
        <v>2955</v>
      </c>
      <c r="M591">
        <v>53.44</v>
      </c>
      <c r="N591">
        <v>13</v>
      </c>
      <c r="O591" t="s">
        <v>2606</v>
      </c>
      <c r="P591" t="s">
        <v>86</v>
      </c>
      <c r="Q591" t="s">
        <v>461</v>
      </c>
      <c r="R591" t="s">
        <v>44</v>
      </c>
      <c r="S591" t="s">
        <v>74</v>
      </c>
      <c r="T591" t="s">
        <v>1023</v>
      </c>
      <c r="U591">
        <v>3616</v>
      </c>
      <c r="V591">
        <v>178</v>
      </c>
      <c r="W591">
        <v>24</v>
      </c>
      <c r="X591">
        <v>1955.65</v>
      </c>
      <c r="Y591">
        <v>473.11</v>
      </c>
      <c r="Z591">
        <v>2428.7600000000002</v>
      </c>
      <c r="AA591" t="s">
        <v>63</v>
      </c>
      <c r="AB591">
        <v>0</v>
      </c>
      <c r="AC591">
        <v>86.98</v>
      </c>
      <c r="AD591">
        <v>297</v>
      </c>
      <c r="AE591">
        <v>252</v>
      </c>
    </row>
    <row r="592" spans="1:31" x14ac:dyDescent="0.25">
      <c r="A592" t="s">
        <v>2956</v>
      </c>
      <c r="B592" t="s">
        <v>2957</v>
      </c>
      <c r="C592" s="1">
        <v>44938</v>
      </c>
      <c r="D592" s="1">
        <v>44133</v>
      </c>
      <c r="E592" t="s">
        <v>66</v>
      </c>
      <c r="F592" t="s">
        <v>78</v>
      </c>
      <c r="G592" t="s">
        <v>79</v>
      </c>
      <c r="H592" t="s">
        <v>116</v>
      </c>
      <c r="I592" t="s">
        <v>2958</v>
      </c>
      <c r="J592" t="s">
        <v>55</v>
      </c>
      <c r="K592" t="s">
        <v>83</v>
      </c>
      <c r="L592" t="s">
        <v>2959</v>
      </c>
      <c r="M592">
        <v>213.04</v>
      </c>
      <c r="N592">
        <v>9</v>
      </c>
      <c r="O592" t="s">
        <v>2960</v>
      </c>
      <c r="P592" t="s">
        <v>110</v>
      </c>
      <c r="Q592" t="s">
        <v>926</v>
      </c>
      <c r="R592" t="s">
        <v>61</v>
      </c>
      <c r="S592" t="s">
        <v>89</v>
      </c>
      <c r="T592" t="s">
        <v>939</v>
      </c>
      <c r="U592">
        <v>998</v>
      </c>
      <c r="V592">
        <v>200</v>
      </c>
      <c r="W592">
        <v>18</v>
      </c>
      <c r="X592">
        <v>1126.2</v>
      </c>
      <c r="Y592">
        <v>140.66999999999999</v>
      </c>
      <c r="Z592">
        <v>1266.8699999999999</v>
      </c>
      <c r="AA592" t="s">
        <v>63</v>
      </c>
      <c r="AB592">
        <v>0</v>
      </c>
      <c r="AC592">
        <v>78.42</v>
      </c>
      <c r="AD592">
        <v>492</v>
      </c>
      <c r="AE592">
        <v>460</v>
      </c>
    </row>
    <row r="593" spans="1:31" x14ac:dyDescent="0.25">
      <c r="A593" t="s">
        <v>2961</v>
      </c>
      <c r="B593" t="s">
        <v>2962</v>
      </c>
      <c r="C593" s="1">
        <v>43892</v>
      </c>
      <c r="D593" s="1">
        <v>44113</v>
      </c>
      <c r="E593" t="s">
        <v>66</v>
      </c>
      <c r="F593" t="s">
        <v>147</v>
      </c>
      <c r="G593" t="s">
        <v>35</v>
      </c>
      <c r="H593" t="s">
        <v>164</v>
      </c>
      <c r="I593" t="s">
        <v>2963</v>
      </c>
      <c r="J593" t="s">
        <v>107</v>
      </c>
      <c r="K593" t="s">
        <v>39</v>
      </c>
      <c r="L593" t="s">
        <v>2964</v>
      </c>
      <c r="M593">
        <v>233.67</v>
      </c>
      <c r="N593">
        <v>92</v>
      </c>
      <c r="O593" t="s">
        <v>2965</v>
      </c>
      <c r="P593" t="s">
        <v>142</v>
      </c>
      <c r="Q593" t="s">
        <v>127</v>
      </c>
      <c r="R593" t="s">
        <v>88</v>
      </c>
      <c r="S593" t="s">
        <v>45</v>
      </c>
      <c r="T593" t="s">
        <v>75</v>
      </c>
      <c r="U593">
        <v>2991</v>
      </c>
      <c r="V593">
        <v>138</v>
      </c>
      <c r="W593">
        <v>6</v>
      </c>
      <c r="X593">
        <v>1550.64</v>
      </c>
      <c r="Y593">
        <v>437.51</v>
      </c>
      <c r="Z593">
        <v>1988.15</v>
      </c>
      <c r="AA593" t="s">
        <v>63</v>
      </c>
      <c r="AB593">
        <v>0</v>
      </c>
      <c r="AC593">
        <v>93.61</v>
      </c>
      <c r="AD593">
        <v>379</v>
      </c>
      <c r="AE593">
        <v>357</v>
      </c>
    </row>
    <row r="594" spans="1:31" x14ac:dyDescent="0.25">
      <c r="A594" t="s">
        <v>2966</v>
      </c>
      <c r="B594" t="s">
        <v>2967</v>
      </c>
      <c r="C594" s="1">
        <v>44307</v>
      </c>
      <c r="D594" s="1">
        <v>45208</v>
      </c>
      <c r="E594" t="s">
        <v>66</v>
      </c>
      <c r="F594" t="s">
        <v>51</v>
      </c>
      <c r="G594" t="s">
        <v>35</v>
      </c>
      <c r="H594" t="s">
        <v>164</v>
      </c>
      <c r="I594" t="s">
        <v>2968</v>
      </c>
      <c r="J594" t="s">
        <v>107</v>
      </c>
      <c r="K594" t="s">
        <v>56</v>
      </c>
      <c r="L594" t="s">
        <v>2969</v>
      </c>
      <c r="M594">
        <v>351.08</v>
      </c>
      <c r="N594">
        <v>48</v>
      </c>
      <c r="O594" t="s">
        <v>689</v>
      </c>
      <c r="P594" t="s">
        <v>86</v>
      </c>
      <c r="Q594" t="s">
        <v>189</v>
      </c>
      <c r="R594" t="s">
        <v>61</v>
      </c>
      <c r="S594" t="s">
        <v>45</v>
      </c>
      <c r="T594" t="s">
        <v>1023</v>
      </c>
      <c r="U594">
        <v>3235</v>
      </c>
      <c r="V594">
        <v>307</v>
      </c>
      <c r="W594">
        <v>29</v>
      </c>
      <c r="X594">
        <v>522.82000000000005</v>
      </c>
      <c r="Y594">
        <v>460.9</v>
      </c>
      <c r="Z594">
        <v>983.72</v>
      </c>
      <c r="AA594" t="s">
        <v>63</v>
      </c>
      <c r="AB594">
        <v>0</v>
      </c>
      <c r="AC594">
        <v>88.43</v>
      </c>
      <c r="AD594">
        <v>411</v>
      </c>
      <c r="AE594">
        <v>373</v>
      </c>
    </row>
    <row r="595" spans="1:31" x14ac:dyDescent="0.25">
      <c r="A595" t="s">
        <v>2970</v>
      </c>
      <c r="B595" t="s">
        <v>2971</v>
      </c>
      <c r="C595" s="1">
        <v>44458</v>
      </c>
      <c r="D595" s="1">
        <v>44547</v>
      </c>
      <c r="E595" t="s">
        <v>66</v>
      </c>
      <c r="F595" t="s">
        <v>34</v>
      </c>
      <c r="G595" t="s">
        <v>105</v>
      </c>
      <c r="H595" t="s">
        <v>80</v>
      </c>
      <c r="I595" t="s">
        <v>2972</v>
      </c>
      <c r="J595" t="s">
        <v>55</v>
      </c>
      <c r="K595" t="s">
        <v>97</v>
      </c>
      <c r="L595" t="s">
        <v>2973</v>
      </c>
      <c r="M595">
        <v>444.21</v>
      </c>
      <c r="N595">
        <v>21</v>
      </c>
      <c r="O595" t="s">
        <v>2974</v>
      </c>
      <c r="P595" t="s">
        <v>59</v>
      </c>
      <c r="Q595" t="s">
        <v>248</v>
      </c>
      <c r="R595" t="s">
        <v>61</v>
      </c>
      <c r="S595" t="s">
        <v>128</v>
      </c>
      <c r="T595" t="s">
        <v>154</v>
      </c>
      <c r="U595">
        <v>2720</v>
      </c>
      <c r="V595">
        <v>428</v>
      </c>
      <c r="W595">
        <v>29</v>
      </c>
      <c r="X595">
        <v>1193.24</v>
      </c>
      <c r="Y595">
        <v>210.97</v>
      </c>
      <c r="Z595">
        <v>1404.21</v>
      </c>
      <c r="AA595" t="s">
        <v>63</v>
      </c>
      <c r="AB595">
        <v>0</v>
      </c>
      <c r="AC595">
        <v>81.010000000000005</v>
      </c>
      <c r="AD595">
        <v>369</v>
      </c>
      <c r="AE595">
        <v>407</v>
      </c>
    </row>
    <row r="596" spans="1:31" x14ac:dyDescent="0.25">
      <c r="A596" t="s">
        <v>2975</v>
      </c>
      <c r="B596" t="s">
        <v>2976</v>
      </c>
      <c r="C596" s="1">
        <v>45596</v>
      </c>
      <c r="D596" s="1">
        <v>44677</v>
      </c>
      <c r="E596" t="s">
        <v>66</v>
      </c>
      <c r="F596" t="s">
        <v>93</v>
      </c>
      <c r="G596" t="s">
        <v>94</v>
      </c>
      <c r="H596" t="s">
        <v>80</v>
      </c>
      <c r="I596" t="s">
        <v>2977</v>
      </c>
      <c r="J596" t="s">
        <v>82</v>
      </c>
      <c r="K596" t="s">
        <v>56</v>
      </c>
      <c r="L596" t="s">
        <v>2978</v>
      </c>
      <c r="M596">
        <v>443.31</v>
      </c>
      <c r="N596">
        <v>72</v>
      </c>
      <c r="O596" t="s">
        <v>2979</v>
      </c>
      <c r="P596" t="s">
        <v>59</v>
      </c>
      <c r="Q596" t="s">
        <v>228</v>
      </c>
      <c r="R596" t="s">
        <v>61</v>
      </c>
      <c r="S596" t="s">
        <v>101</v>
      </c>
      <c r="T596" t="s">
        <v>303</v>
      </c>
      <c r="U596">
        <v>3288</v>
      </c>
      <c r="V596">
        <v>248</v>
      </c>
      <c r="W596">
        <v>20</v>
      </c>
      <c r="X596">
        <v>1812.14</v>
      </c>
      <c r="Y596">
        <v>81.28</v>
      </c>
      <c r="Z596">
        <v>1893.42</v>
      </c>
      <c r="AA596" t="s">
        <v>63</v>
      </c>
      <c r="AB596">
        <v>0</v>
      </c>
      <c r="AC596">
        <v>92.04</v>
      </c>
      <c r="AD596">
        <v>377</v>
      </c>
      <c r="AE596">
        <v>351</v>
      </c>
    </row>
    <row r="597" spans="1:31" x14ac:dyDescent="0.25">
      <c r="A597" t="s">
        <v>2980</v>
      </c>
      <c r="B597" t="s">
        <v>2981</v>
      </c>
      <c r="C597" s="1">
        <v>43974</v>
      </c>
      <c r="D597" s="1">
        <v>45350</v>
      </c>
      <c r="E597" t="s">
        <v>50</v>
      </c>
      <c r="F597" t="s">
        <v>78</v>
      </c>
      <c r="G597" t="s">
        <v>337</v>
      </c>
      <c r="H597" t="s">
        <v>218</v>
      </c>
      <c r="I597" t="s">
        <v>2982</v>
      </c>
      <c r="J597" t="s">
        <v>82</v>
      </c>
      <c r="K597" t="s">
        <v>70</v>
      </c>
      <c r="L597" t="s">
        <v>858</v>
      </c>
      <c r="M597">
        <v>355.75</v>
      </c>
      <c r="N597">
        <v>75</v>
      </c>
      <c r="O597" t="s">
        <v>2983</v>
      </c>
      <c r="P597" t="s">
        <v>110</v>
      </c>
      <c r="Q597" t="s">
        <v>421</v>
      </c>
      <c r="R597" t="s">
        <v>44</v>
      </c>
      <c r="S597" t="s">
        <v>128</v>
      </c>
      <c r="T597" t="s">
        <v>652</v>
      </c>
      <c r="U597">
        <v>1110</v>
      </c>
      <c r="V597">
        <v>466</v>
      </c>
      <c r="W597">
        <v>16</v>
      </c>
      <c r="X597">
        <v>1713.69</v>
      </c>
      <c r="Y597">
        <v>177.14</v>
      </c>
      <c r="Z597">
        <v>1890.83</v>
      </c>
      <c r="AA597" t="s">
        <v>63</v>
      </c>
      <c r="AB597">
        <v>0</v>
      </c>
      <c r="AC597">
        <v>80.69</v>
      </c>
      <c r="AD597">
        <v>308</v>
      </c>
      <c r="AE597">
        <v>332</v>
      </c>
    </row>
    <row r="598" spans="1:31" x14ac:dyDescent="0.25">
      <c r="A598" t="s">
        <v>2984</v>
      </c>
      <c r="B598" t="s">
        <v>2985</v>
      </c>
      <c r="C598" s="1">
        <v>44179</v>
      </c>
      <c r="D598" s="1">
        <v>44731</v>
      </c>
      <c r="E598" t="s">
        <v>66</v>
      </c>
      <c r="F598" t="s">
        <v>78</v>
      </c>
      <c r="G598" t="s">
        <v>94</v>
      </c>
      <c r="H598" t="s">
        <v>68</v>
      </c>
      <c r="I598" t="s">
        <v>2986</v>
      </c>
      <c r="J598" t="s">
        <v>38</v>
      </c>
      <c r="K598" t="s">
        <v>83</v>
      </c>
      <c r="L598" t="s">
        <v>2987</v>
      </c>
      <c r="M598">
        <v>22.14</v>
      </c>
      <c r="N598">
        <v>49</v>
      </c>
      <c r="O598" t="s">
        <v>2988</v>
      </c>
      <c r="P598" t="s">
        <v>59</v>
      </c>
      <c r="Q598" t="s">
        <v>241</v>
      </c>
      <c r="R598" t="s">
        <v>88</v>
      </c>
      <c r="S598" t="s">
        <v>101</v>
      </c>
      <c r="T598" t="s">
        <v>372</v>
      </c>
      <c r="U598">
        <v>1296</v>
      </c>
      <c r="V598">
        <v>491</v>
      </c>
      <c r="W598">
        <v>20</v>
      </c>
      <c r="X598">
        <v>805.51</v>
      </c>
      <c r="Y598">
        <v>318.81</v>
      </c>
      <c r="Z598">
        <v>1124.32</v>
      </c>
      <c r="AA598" t="s">
        <v>63</v>
      </c>
      <c r="AB598">
        <v>0</v>
      </c>
      <c r="AC598">
        <v>72.66</v>
      </c>
      <c r="AD598">
        <v>140</v>
      </c>
      <c r="AE598">
        <v>151</v>
      </c>
    </row>
    <row r="599" spans="1:31" x14ac:dyDescent="0.25">
      <c r="A599" t="s">
        <v>2989</v>
      </c>
      <c r="B599" t="s">
        <v>2990</v>
      </c>
      <c r="C599" s="1">
        <v>45618</v>
      </c>
      <c r="D599" s="1">
        <v>43893</v>
      </c>
      <c r="E599" t="s">
        <v>66</v>
      </c>
      <c r="F599" t="s">
        <v>93</v>
      </c>
      <c r="G599" t="s">
        <v>35</v>
      </c>
      <c r="H599" t="s">
        <v>36</v>
      </c>
      <c r="I599" t="s">
        <v>2991</v>
      </c>
      <c r="J599" t="s">
        <v>55</v>
      </c>
      <c r="K599" t="s">
        <v>56</v>
      </c>
      <c r="L599" t="s">
        <v>2992</v>
      </c>
      <c r="M599">
        <v>428.35</v>
      </c>
      <c r="N599">
        <v>14</v>
      </c>
      <c r="O599" t="s">
        <v>2993</v>
      </c>
      <c r="P599" t="s">
        <v>42</v>
      </c>
      <c r="Q599" t="s">
        <v>428</v>
      </c>
      <c r="R599" t="s">
        <v>44</v>
      </c>
      <c r="S599" t="s">
        <v>45</v>
      </c>
      <c r="T599" t="s">
        <v>467</v>
      </c>
      <c r="U599">
        <v>3003</v>
      </c>
      <c r="V599">
        <v>391</v>
      </c>
      <c r="W599">
        <v>14</v>
      </c>
      <c r="X599">
        <v>936.68</v>
      </c>
      <c r="Y599">
        <v>96.66</v>
      </c>
      <c r="Z599">
        <v>1033.3399999999999</v>
      </c>
      <c r="AA599" t="s">
        <v>63</v>
      </c>
      <c r="AB599">
        <v>0</v>
      </c>
      <c r="AC599">
        <v>75.48</v>
      </c>
      <c r="AD599">
        <v>93</v>
      </c>
      <c r="AE599">
        <v>130</v>
      </c>
    </row>
    <row r="600" spans="1:31" x14ac:dyDescent="0.25">
      <c r="A600" t="s">
        <v>2994</v>
      </c>
      <c r="B600" t="s">
        <v>2995</v>
      </c>
      <c r="C600" s="1">
        <v>44079</v>
      </c>
      <c r="D600" s="1">
        <v>45309</v>
      </c>
      <c r="E600" t="s">
        <v>50</v>
      </c>
      <c r="F600" t="s">
        <v>51</v>
      </c>
      <c r="G600" t="s">
        <v>35</v>
      </c>
      <c r="H600" t="s">
        <v>80</v>
      </c>
      <c r="I600" t="s">
        <v>2996</v>
      </c>
      <c r="J600" t="s">
        <v>55</v>
      </c>
      <c r="K600" t="s">
        <v>70</v>
      </c>
      <c r="L600" t="s">
        <v>2997</v>
      </c>
      <c r="M600">
        <v>229</v>
      </c>
      <c r="N600">
        <v>48</v>
      </c>
      <c r="O600" t="s">
        <v>844</v>
      </c>
      <c r="P600" t="s">
        <v>142</v>
      </c>
      <c r="Q600" t="s">
        <v>60</v>
      </c>
      <c r="R600" t="s">
        <v>88</v>
      </c>
      <c r="S600" t="s">
        <v>45</v>
      </c>
      <c r="T600" t="s">
        <v>642</v>
      </c>
      <c r="U600">
        <v>3989</v>
      </c>
      <c r="V600">
        <v>137</v>
      </c>
      <c r="W600">
        <v>8</v>
      </c>
      <c r="X600">
        <v>1937.1</v>
      </c>
      <c r="Y600">
        <v>407.39</v>
      </c>
      <c r="Z600">
        <v>2344.4899999999998</v>
      </c>
      <c r="AA600" t="s">
        <v>63</v>
      </c>
      <c r="AB600">
        <v>0</v>
      </c>
      <c r="AC600">
        <v>70.78</v>
      </c>
      <c r="AD600">
        <v>489</v>
      </c>
      <c r="AE600">
        <v>494</v>
      </c>
    </row>
    <row r="601" spans="1:31" x14ac:dyDescent="0.25">
      <c r="A601" t="s">
        <v>2998</v>
      </c>
      <c r="B601" t="s">
        <v>2999</v>
      </c>
      <c r="C601" s="1">
        <v>45043</v>
      </c>
      <c r="D601" s="1">
        <v>44705</v>
      </c>
      <c r="E601" t="s">
        <v>66</v>
      </c>
      <c r="F601" t="s">
        <v>93</v>
      </c>
      <c r="G601" t="s">
        <v>52</v>
      </c>
      <c r="H601" t="s">
        <v>80</v>
      </c>
      <c r="I601" t="s">
        <v>3000</v>
      </c>
      <c r="J601" t="s">
        <v>38</v>
      </c>
      <c r="K601" t="s">
        <v>83</v>
      </c>
      <c r="L601" t="s">
        <v>3001</v>
      </c>
      <c r="M601">
        <v>97.46</v>
      </c>
      <c r="N601">
        <v>43</v>
      </c>
      <c r="O601" t="s">
        <v>3002</v>
      </c>
      <c r="P601" t="s">
        <v>142</v>
      </c>
      <c r="Q601" t="s">
        <v>214</v>
      </c>
      <c r="R601" t="s">
        <v>44</v>
      </c>
      <c r="S601" t="s">
        <v>45</v>
      </c>
      <c r="T601" t="s">
        <v>316</v>
      </c>
      <c r="U601">
        <v>4631</v>
      </c>
      <c r="V601">
        <v>66</v>
      </c>
      <c r="W601">
        <v>4</v>
      </c>
      <c r="X601">
        <v>515.74</v>
      </c>
      <c r="Y601">
        <v>117.92</v>
      </c>
      <c r="Z601">
        <v>633.66</v>
      </c>
      <c r="AA601" t="s">
        <v>63</v>
      </c>
      <c r="AB601">
        <v>0</v>
      </c>
      <c r="AC601">
        <v>95.07</v>
      </c>
      <c r="AD601">
        <v>258</v>
      </c>
      <c r="AE601">
        <v>260</v>
      </c>
    </row>
    <row r="602" spans="1:31" x14ac:dyDescent="0.25">
      <c r="A602" t="s">
        <v>3003</v>
      </c>
      <c r="B602" t="s">
        <v>3004</v>
      </c>
      <c r="C602" s="1">
        <v>44301</v>
      </c>
      <c r="D602" s="1">
        <v>44233</v>
      </c>
      <c r="E602" t="s">
        <v>66</v>
      </c>
      <c r="F602" t="s">
        <v>147</v>
      </c>
      <c r="G602" t="s">
        <v>94</v>
      </c>
      <c r="H602" t="s">
        <v>80</v>
      </c>
      <c r="I602" t="s">
        <v>3005</v>
      </c>
      <c r="J602" t="s">
        <v>107</v>
      </c>
      <c r="K602" t="s">
        <v>97</v>
      </c>
      <c r="L602" t="s">
        <v>3006</v>
      </c>
      <c r="M602">
        <v>149.5</v>
      </c>
      <c r="N602">
        <v>57</v>
      </c>
      <c r="O602" t="s">
        <v>1038</v>
      </c>
      <c r="P602" t="s">
        <v>110</v>
      </c>
      <c r="Q602" t="s">
        <v>541</v>
      </c>
      <c r="R602" t="s">
        <v>153</v>
      </c>
      <c r="S602" t="s">
        <v>74</v>
      </c>
      <c r="T602" t="s">
        <v>415</v>
      </c>
      <c r="U602">
        <v>620</v>
      </c>
      <c r="V602">
        <v>260</v>
      </c>
      <c r="W602">
        <v>22</v>
      </c>
      <c r="X602">
        <v>1490.06</v>
      </c>
      <c r="Y602">
        <v>281.45999999999998</v>
      </c>
      <c r="Z602">
        <v>1771.52</v>
      </c>
      <c r="AA602" t="s">
        <v>63</v>
      </c>
      <c r="AB602">
        <v>0</v>
      </c>
      <c r="AC602">
        <v>99.32</v>
      </c>
      <c r="AD602">
        <v>215</v>
      </c>
      <c r="AE602">
        <v>235</v>
      </c>
    </row>
    <row r="603" spans="1:31" x14ac:dyDescent="0.25">
      <c r="A603" t="s">
        <v>3007</v>
      </c>
      <c r="B603" t="s">
        <v>3008</v>
      </c>
      <c r="C603" s="1">
        <v>44396</v>
      </c>
      <c r="D603" s="1">
        <v>44775</v>
      </c>
      <c r="E603" t="s">
        <v>50</v>
      </c>
      <c r="F603" t="s">
        <v>78</v>
      </c>
      <c r="G603" t="s">
        <v>105</v>
      </c>
      <c r="H603" t="s">
        <v>53</v>
      </c>
      <c r="I603" t="s">
        <v>3009</v>
      </c>
      <c r="J603" t="s">
        <v>96</v>
      </c>
      <c r="K603" t="s">
        <v>83</v>
      </c>
      <c r="L603" t="s">
        <v>3010</v>
      </c>
      <c r="M603">
        <v>209.49</v>
      </c>
      <c r="N603">
        <v>90</v>
      </c>
      <c r="O603" t="s">
        <v>2581</v>
      </c>
      <c r="P603" t="s">
        <v>110</v>
      </c>
      <c r="Q603" t="s">
        <v>609</v>
      </c>
      <c r="R603" t="s">
        <v>153</v>
      </c>
      <c r="S603" t="s">
        <v>45</v>
      </c>
      <c r="T603" t="s">
        <v>721</v>
      </c>
      <c r="U603">
        <v>419</v>
      </c>
      <c r="V603">
        <v>191</v>
      </c>
      <c r="W603">
        <v>28</v>
      </c>
      <c r="X603">
        <v>1375.56</v>
      </c>
      <c r="Y603">
        <v>316.98</v>
      </c>
      <c r="Z603">
        <v>1692.54</v>
      </c>
      <c r="AA603" t="s">
        <v>63</v>
      </c>
      <c r="AB603">
        <v>0</v>
      </c>
      <c r="AC603">
        <v>97.94</v>
      </c>
      <c r="AD603">
        <v>177</v>
      </c>
      <c r="AE603">
        <v>201</v>
      </c>
    </row>
    <row r="604" spans="1:31" x14ac:dyDescent="0.25">
      <c r="A604" t="s">
        <v>3011</v>
      </c>
      <c r="B604" t="s">
        <v>3012</v>
      </c>
      <c r="C604" s="1">
        <v>45555</v>
      </c>
      <c r="D604" s="1">
        <v>45066</v>
      </c>
      <c r="E604" t="s">
        <v>66</v>
      </c>
      <c r="F604" t="s">
        <v>51</v>
      </c>
      <c r="G604" t="s">
        <v>94</v>
      </c>
      <c r="H604" t="s">
        <v>164</v>
      </c>
      <c r="I604" t="s">
        <v>3013</v>
      </c>
      <c r="J604" t="s">
        <v>55</v>
      </c>
      <c r="K604" t="s">
        <v>83</v>
      </c>
      <c r="L604" t="s">
        <v>3014</v>
      </c>
      <c r="M604">
        <v>229.42</v>
      </c>
      <c r="N604">
        <v>27</v>
      </c>
      <c r="O604" t="s">
        <v>3015</v>
      </c>
      <c r="P604" t="s">
        <v>142</v>
      </c>
      <c r="Q604" t="s">
        <v>127</v>
      </c>
      <c r="R604" t="s">
        <v>44</v>
      </c>
      <c r="S604" t="s">
        <v>101</v>
      </c>
      <c r="T604" t="s">
        <v>136</v>
      </c>
      <c r="U604">
        <v>4634</v>
      </c>
      <c r="V604">
        <v>293</v>
      </c>
      <c r="W604">
        <v>7</v>
      </c>
      <c r="X604">
        <v>243.92</v>
      </c>
      <c r="Y604">
        <v>377.27</v>
      </c>
      <c r="Z604">
        <v>621.18999999999994</v>
      </c>
      <c r="AA604" t="s">
        <v>63</v>
      </c>
      <c r="AB604">
        <v>0</v>
      </c>
      <c r="AC604">
        <v>94.05</v>
      </c>
      <c r="AD604">
        <v>190</v>
      </c>
      <c r="AE604">
        <v>145</v>
      </c>
    </row>
    <row r="605" spans="1:31" x14ac:dyDescent="0.25">
      <c r="A605" t="s">
        <v>3016</v>
      </c>
      <c r="B605" t="s">
        <v>3017</v>
      </c>
      <c r="C605" s="1">
        <v>44488</v>
      </c>
      <c r="D605" s="1">
        <v>44236</v>
      </c>
      <c r="E605" t="s">
        <v>50</v>
      </c>
      <c r="F605" t="s">
        <v>51</v>
      </c>
      <c r="G605" t="s">
        <v>94</v>
      </c>
      <c r="H605" t="s">
        <v>148</v>
      </c>
      <c r="I605" t="s">
        <v>3018</v>
      </c>
      <c r="J605" t="s">
        <v>107</v>
      </c>
      <c r="K605" t="s">
        <v>70</v>
      </c>
      <c r="L605" t="s">
        <v>3019</v>
      </c>
      <c r="M605">
        <v>497.85</v>
      </c>
      <c r="N605">
        <v>68</v>
      </c>
      <c r="O605" t="s">
        <v>3020</v>
      </c>
      <c r="P605" t="s">
        <v>42</v>
      </c>
      <c r="Q605" t="s">
        <v>315</v>
      </c>
      <c r="R605" t="s">
        <v>44</v>
      </c>
      <c r="S605" t="s">
        <v>101</v>
      </c>
      <c r="T605" t="s">
        <v>136</v>
      </c>
      <c r="U605">
        <v>2094</v>
      </c>
      <c r="V605">
        <v>227</v>
      </c>
      <c r="W605">
        <v>10</v>
      </c>
      <c r="X605">
        <v>133.31</v>
      </c>
      <c r="Y605">
        <v>242.46</v>
      </c>
      <c r="Z605">
        <v>375.77</v>
      </c>
      <c r="AA605" t="s">
        <v>47</v>
      </c>
      <c r="AB605">
        <v>9</v>
      </c>
      <c r="AC605">
        <v>94.28</v>
      </c>
      <c r="AD605">
        <v>433</v>
      </c>
      <c r="AE605">
        <v>397</v>
      </c>
    </row>
    <row r="606" spans="1:31" x14ac:dyDescent="0.25">
      <c r="A606" t="s">
        <v>3021</v>
      </c>
      <c r="B606" t="s">
        <v>3022</v>
      </c>
      <c r="C606" s="1">
        <v>44753</v>
      </c>
      <c r="D606" s="1">
        <v>45418</v>
      </c>
      <c r="E606" t="s">
        <v>66</v>
      </c>
      <c r="F606" t="s">
        <v>34</v>
      </c>
      <c r="G606" t="s">
        <v>52</v>
      </c>
      <c r="H606" t="s">
        <v>148</v>
      </c>
      <c r="I606" t="s">
        <v>3023</v>
      </c>
      <c r="J606" t="s">
        <v>38</v>
      </c>
      <c r="K606" t="s">
        <v>97</v>
      </c>
      <c r="L606" t="s">
        <v>3024</v>
      </c>
      <c r="M606">
        <v>305.91000000000003</v>
      </c>
      <c r="N606">
        <v>12</v>
      </c>
      <c r="O606" t="s">
        <v>3025</v>
      </c>
      <c r="P606" t="s">
        <v>110</v>
      </c>
      <c r="Q606" t="s">
        <v>160</v>
      </c>
      <c r="R606" t="s">
        <v>44</v>
      </c>
      <c r="S606" t="s">
        <v>74</v>
      </c>
      <c r="T606" t="s">
        <v>102</v>
      </c>
      <c r="U606">
        <v>4524</v>
      </c>
      <c r="V606">
        <v>75</v>
      </c>
      <c r="W606">
        <v>22</v>
      </c>
      <c r="X606">
        <v>813.48</v>
      </c>
      <c r="Y606">
        <v>273.63</v>
      </c>
      <c r="Z606">
        <v>1087.1099999999999</v>
      </c>
      <c r="AA606" t="s">
        <v>63</v>
      </c>
      <c r="AB606">
        <v>0</v>
      </c>
      <c r="AC606">
        <v>79.099999999999994</v>
      </c>
      <c r="AD606">
        <v>406</v>
      </c>
      <c r="AE606">
        <v>380</v>
      </c>
    </row>
    <row r="607" spans="1:31" x14ac:dyDescent="0.25">
      <c r="A607" t="s">
        <v>3026</v>
      </c>
      <c r="B607" t="s">
        <v>3027</v>
      </c>
      <c r="C607" s="1">
        <v>44688</v>
      </c>
      <c r="D607" s="1">
        <v>44858</v>
      </c>
      <c r="E607" t="s">
        <v>66</v>
      </c>
      <c r="F607" t="s">
        <v>51</v>
      </c>
      <c r="G607" t="s">
        <v>79</v>
      </c>
      <c r="H607" t="s">
        <v>53</v>
      </c>
      <c r="I607" t="s">
        <v>3028</v>
      </c>
      <c r="J607" t="s">
        <v>82</v>
      </c>
      <c r="K607" t="s">
        <v>83</v>
      </c>
      <c r="L607" t="s">
        <v>3029</v>
      </c>
      <c r="M607">
        <v>43.87</v>
      </c>
      <c r="N607">
        <v>62</v>
      </c>
      <c r="O607" t="s">
        <v>3030</v>
      </c>
      <c r="P607" t="s">
        <v>142</v>
      </c>
      <c r="Q607" t="s">
        <v>529</v>
      </c>
      <c r="R607" t="s">
        <v>44</v>
      </c>
      <c r="S607" t="s">
        <v>89</v>
      </c>
      <c r="T607" t="s">
        <v>933</v>
      </c>
      <c r="U607">
        <v>3857</v>
      </c>
      <c r="V607">
        <v>80</v>
      </c>
      <c r="W607">
        <v>14</v>
      </c>
      <c r="X607">
        <v>669.28</v>
      </c>
      <c r="Y607">
        <v>251.11</v>
      </c>
      <c r="Z607">
        <v>920.39</v>
      </c>
      <c r="AA607" t="s">
        <v>63</v>
      </c>
      <c r="AB607">
        <v>0</v>
      </c>
      <c r="AC607">
        <v>96.16</v>
      </c>
      <c r="AD607">
        <v>174</v>
      </c>
      <c r="AE607">
        <v>218</v>
      </c>
    </row>
    <row r="608" spans="1:31" x14ac:dyDescent="0.25">
      <c r="A608" t="s">
        <v>3031</v>
      </c>
      <c r="B608" t="s">
        <v>3032</v>
      </c>
      <c r="C608" s="1">
        <v>43934</v>
      </c>
      <c r="D608" s="1">
        <v>44687</v>
      </c>
      <c r="E608" t="s">
        <v>50</v>
      </c>
      <c r="F608" t="s">
        <v>34</v>
      </c>
      <c r="G608" t="s">
        <v>79</v>
      </c>
      <c r="H608" t="s">
        <v>68</v>
      </c>
      <c r="I608" t="s">
        <v>3033</v>
      </c>
      <c r="J608" t="s">
        <v>55</v>
      </c>
      <c r="K608" t="s">
        <v>70</v>
      </c>
      <c r="L608" t="s">
        <v>3034</v>
      </c>
      <c r="M608">
        <v>414.23</v>
      </c>
      <c r="N608">
        <v>57</v>
      </c>
      <c r="O608" t="s">
        <v>3035</v>
      </c>
      <c r="P608" t="s">
        <v>142</v>
      </c>
      <c r="Q608" t="s">
        <v>234</v>
      </c>
      <c r="R608" t="s">
        <v>44</v>
      </c>
      <c r="S608" t="s">
        <v>101</v>
      </c>
      <c r="T608" t="s">
        <v>467</v>
      </c>
      <c r="U608">
        <v>3817</v>
      </c>
      <c r="V608">
        <v>346</v>
      </c>
      <c r="W608">
        <v>7</v>
      </c>
      <c r="X608">
        <v>163.04</v>
      </c>
      <c r="Y608">
        <v>88.47</v>
      </c>
      <c r="Z608">
        <v>251.51</v>
      </c>
      <c r="AA608" t="s">
        <v>47</v>
      </c>
      <c r="AB608">
        <v>14</v>
      </c>
      <c r="AC608">
        <v>81.53</v>
      </c>
      <c r="AD608">
        <v>207</v>
      </c>
      <c r="AE608">
        <v>220</v>
      </c>
    </row>
    <row r="609" spans="1:31" x14ac:dyDescent="0.25">
      <c r="A609" t="s">
        <v>3036</v>
      </c>
      <c r="B609" t="s">
        <v>3037</v>
      </c>
      <c r="C609" s="1">
        <v>44784</v>
      </c>
      <c r="D609" s="1">
        <v>44144</v>
      </c>
      <c r="E609" t="s">
        <v>66</v>
      </c>
      <c r="F609" t="s">
        <v>93</v>
      </c>
      <c r="G609" t="s">
        <v>67</v>
      </c>
      <c r="H609" t="s">
        <v>116</v>
      </c>
      <c r="I609" t="s">
        <v>3038</v>
      </c>
      <c r="J609" t="s">
        <v>107</v>
      </c>
      <c r="K609" t="s">
        <v>83</v>
      </c>
      <c r="L609" t="s">
        <v>3039</v>
      </c>
      <c r="M609">
        <v>306.69</v>
      </c>
      <c r="N609">
        <v>81</v>
      </c>
      <c r="O609" t="s">
        <v>3040</v>
      </c>
      <c r="P609" t="s">
        <v>142</v>
      </c>
      <c r="Q609" t="s">
        <v>488</v>
      </c>
      <c r="R609" t="s">
        <v>88</v>
      </c>
      <c r="S609" t="s">
        <v>89</v>
      </c>
      <c r="T609" t="s">
        <v>316</v>
      </c>
      <c r="U609">
        <v>3443</v>
      </c>
      <c r="V609">
        <v>180</v>
      </c>
      <c r="W609">
        <v>11</v>
      </c>
      <c r="X609">
        <v>597.44000000000005</v>
      </c>
      <c r="Y609">
        <v>461.89</v>
      </c>
      <c r="Z609">
        <v>1059.33</v>
      </c>
      <c r="AA609" t="s">
        <v>47</v>
      </c>
      <c r="AB609">
        <v>3</v>
      </c>
      <c r="AC609">
        <v>93.54</v>
      </c>
      <c r="AD609">
        <v>259</v>
      </c>
      <c r="AE609">
        <v>219</v>
      </c>
    </row>
    <row r="610" spans="1:31" x14ac:dyDescent="0.25">
      <c r="A610" t="s">
        <v>3041</v>
      </c>
      <c r="B610" t="s">
        <v>3042</v>
      </c>
      <c r="C610" s="1">
        <v>45114</v>
      </c>
      <c r="D610" s="1">
        <v>44518</v>
      </c>
      <c r="E610" t="s">
        <v>66</v>
      </c>
      <c r="F610" t="s">
        <v>34</v>
      </c>
      <c r="G610" t="s">
        <v>94</v>
      </c>
      <c r="H610" t="s">
        <v>218</v>
      </c>
      <c r="I610" t="s">
        <v>3043</v>
      </c>
      <c r="J610" t="s">
        <v>38</v>
      </c>
      <c r="K610" t="s">
        <v>97</v>
      </c>
      <c r="L610" t="s">
        <v>3044</v>
      </c>
      <c r="M610">
        <v>140.33000000000001</v>
      </c>
      <c r="N610">
        <v>89</v>
      </c>
      <c r="O610" t="s">
        <v>3045</v>
      </c>
      <c r="P610" t="s">
        <v>42</v>
      </c>
      <c r="Q610" t="s">
        <v>700</v>
      </c>
      <c r="R610" t="s">
        <v>44</v>
      </c>
      <c r="S610" t="s">
        <v>89</v>
      </c>
      <c r="T610" t="s">
        <v>737</v>
      </c>
      <c r="U610">
        <v>4427</v>
      </c>
      <c r="V610">
        <v>81</v>
      </c>
      <c r="W610">
        <v>27</v>
      </c>
      <c r="X610">
        <v>991.65</v>
      </c>
      <c r="Y610">
        <v>99.12</v>
      </c>
      <c r="Z610">
        <v>1090.77</v>
      </c>
      <c r="AA610" t="s">
        <v>47</v>
      </c>
      <c r="AB610">
        <v>1</v>
      </c>
      <c r="AC610">
        <v>93.64</v>
      </c>
      <c r="AD610">
        <v>56</v>
      </c>
      <c r="AE610">
        <v>75</v>
      </c>
    </row>
    <row r="611" spans="1:31" x14ac:dyDescent="0.25">
      <c r="A611" t="s">
        <v>3046</v>
      </c>
      <c r="B611" t="s">
        <v>3047</v>
      </c>
      <c r="C611" s="1">
        <v>44743</v>
      </c>
      <c r="D611" s="1">
        <v>45343</v>
      </c>
      <c r="E611" t="s">
        <v>50</v>
      </c>
      <c r="F611" t="s">
        <v>78</v>
      </c>
      <c r="G611" t="s">
        <v>94</v>
      </c>
      <c r="H611" t="s">
        <v>53</v>
      </c>
      <c r="I611" t="s">
        <v>3048</v>
      </c>
      <c r="J611" t="s">
        <v>38</v>
      </c>
      <c r="K611" t="s">
        <v>56</v>
      </c>
      <c r="L611" t="s">
        <v>3049</v>
      </c>
      <c r="M611">
        <v>27.57</v>
      </c>
      <c r="N611">
        <v>57</v>
      </c>
      <c r="O611" t="s">
        <v>3050</v>
      </c>
      <c r="P611" t="s">
        <v>42</v>
      </c>
      <c r="Q611" t="s">
        <v>143</v>
      </c>
      <c r="R611" t="s">
        <v>44</v>
      </c>
      <c r="S611" t="s">
        <v>74</v>
      </c>
      <c r="T611" t="s">
        <v>62</v>
      </c>
      <c r="U611">
        <v>3271</v>
      </c>
      <c r="V611">
        <v>220</v>
      </c>
      <c r="W611">
        <v>9</v>
      </c>
      <c r="X611">
        <v>114.79</v>
      </c>
      <c r="Y611">
        <v>188.11</v>
      </c>
      <c r="Z611">
        <v>302.89999999999998</v>
      </c>
      <c r="AA611" t="s">
        <v>47</v>
      </c>
      <c r="AB611">
        <v>10</v>
      </c>
      <c r="AC611">
        <v>73.25</v>
      </c>
      <c r="AD611">
        <v>159</v>
      </c>
      <c r="AE611">
        <v>184</v>
      </c>
    </row>
    <row r="612" spans="1:31" x14ac:dyDescent="0.25">
      <c r="A612" t="s">
        <v>3051</v>
      </c>
      <c r="B612" t="s">
        <v>3052</v>
      </c>
      <c r="C612" s="1">
        <v>44257</v>
      </c>
      <c r="D612" s="1">
        <v>44903</v>
      </c>
      <c r="E612" t="s">
        <v>50</v>
      </c>
      <c r="F612" t="s">
        <v>93</v>
      </c>
      <c r="G612" t="s">
        <v>337</v>
      </c>
      <c r="H612" t="s">
        <v>36</v>
      </c>
      <c r="I612" t="s">
        <v>3053</v>
      </c>
      <c r="J612" t="s">
        <v>96</v>
      </c>
      <c r="K612" t="s">
        <v>70</v>
      </c>
      <c r="L612" t="s">
        <v>3054</v>
      </c>
      <c r="M612">
        <v>354.17</v>
      </c>
      <c r="N612">
        <v>49</v>
      </c>
      <c r="O612" t="s">
        <v>3055</v>
      </c>
      <c r="P612" t="s">
        <v>86</v>
      </c>
      <c r="Q612" t="s">
        <v>684</v>
      </c>
      <c r="R612" t="s">
        <v>88</v>
      </c>
      <c r="S612" t="s">
        <v>101</v>
      </c>
      <c r="T612" t="s">
        <v>154</v>
      </c>
      <c r="U612">
        <v>4332</v>
      </c>
      <c r="V612">
        <v>324</v>
      </c>
      <c r="W612">
        <v>8</v>
      </c>
      <c r="X612">
        <v>706.6</v>
      </c>
      <c r="Y612">
        <v>407.2</v>
      </c>
      <c r="Z612">
        <v>1113.8</v>
      </c>
      <c r="AA612" t="s">
        <v>63</v>
      </c>
      <c r="AB612">
        <v>0</v>
      </c>
      <c r="AC612">
        <v>91.76</v>
      </c>
      <c r="AD612">
        <v>440</v>
      </c>
      <c r="AE612">
        <v>431</v>
      </c>
    </row>
    <row r="613" spans="1:31" x14ac:dyDescent="0.25">
      <c r="A613" t="s">
        <v>3056</v>
      </c>
      <c r="B613" t="s">
        <v>3057</v>
      </c>
      <c r="C613" s="1">
        <v>45658</v>
      </c>
      <c r="D613" s="1">
        <v>44510</v>
      </c>
      <c r="E613" t="s">
        <v>50</v>
      </c>
      <c r="F613" t="s">
        <v>34</v>
      </c>
      <c r="G613" t="s">
        <v>79</v>
      </c>
      <c r="H613" t="s">
        <v>80</v>
      </c>
      <c r="I613" t="s">
        <v>3058</v>
      </c>
      <c r="J613" t="s">
        <v>107</v>
      </c>
      <c r="K613" t="s">
        <v>56</v>
      </c>
      <c r="L613" t="s">
        <v>3059</v>
      </c>
      <c r="M613">
        <v>430.5</v>
      </c>
      <c r="N613">
        <v>10</v>
      </c>
      <c r="O613" t="s">
        <v>3060</v>
      </c>
      <c r="P613" t="s">
        <v>86</v>
      </c>
      <c r="Q613" t="s">
        <v>290</v>
      </c>
      <c r="R613" t="s">
        <v>88</v>
      </c>
      <c r="S613" t="s">
        <v>128</v>
      </c>
      <c r="T613" t="s">
        <v>815</v>
      </c>
      <c r="U613">
        <v>167</v>
      </c>
      <c r="V613">
        <v>219</v>
      </c>
      <c r="W613">
        <v>2</v>
      </c>
      <c r="X613">
        <v>1203.4000000000001</v>
      </c>
      <c r="Y613">
        <v>264.05</v>
      </c>
      <c r="Z613">
        <v>1467.45</v>
      </c>
      <c r="AA613" t="s">
        <v>63</v>
      </c>
      <c r="AB613">
        <v>0</v>
      </c>
      <c r="AC613">
        <v>71.13</v>
      </c>
      <c r="AD613">
        <v>55</v>
      </c>
      <c r="AE613">
        <v>91</v>
      </c>
    </row>
    <row r="614" spans="1:31" x14ac:dyDescent="0.25">
      <c r="A614" t="s">
        <v>3061</v>
      </c>
      <c r="B614" t="s">
        <v>3062</v>
      </c>
      <c r="C614" s="1">
        <v>44350</v>
      </c>
      <c r="D614" s="1">
        <v>44677</v>
      </c>
      <c r="E614" t="s">
        <v>50</v>
      </c>
      <c r="F614" t="s">
        <v>93</v>
      </c>
      <c r="G614" t="s">
        <v>337</v>
      </c>
      <c r="H614" t="s">
        <v>80</v>
      </c>
      <c r="I614" t="s">
        <v>3063</v>
      </c>
      <c r="J614" t="s">
        <v>96</v>
      </c>
      <c r="K614" t="s">
        <v>39</v>
      </c>
      <c r="L614" t="s">
        <v>3064</v>
      </c>
      <c r="M614">
        <v>288.39</v>
      </c>
      <c r="N614">
        <v>2</v>
      </c>
      <c r="O614" t="s">
        <v>3065</v>
      </c>
      <c r="P614" t="s">
        <v>86</v>
      </c>
      <c r="Q614" t="s">
        <v>189</v>
      </c>
      <c r="R614" t="s">
        <v>44</v>
      </c>
      <c r="S614" t="s">
        <v>74</v>
      </c>
      <c r="T614" t="s">
        <v>559</v>
      </c>
      <c r="U614">
        <v>1277</v>
      </c>
      <c r="V614">
        <v>321</v>
      </c>
      <c r="W614">
        <v>2</v>
      </c>
      <c r="X614">
        <v>358.93</v>
      </c>
      <c r="Y614">
        <v>278.32</v>
      </c>
      <c r="Z614">
        <v>637.25</v>
      </c>
      <c r="AA614" t="s">
        <v>63</v>
      </c>
      <c r="AB614">
        <v>0</v>
      </c>
      <c r="AC614">
        <v>74</v>
      </c>
      <c r="AD614">
        <v>68</v>
      </c>
      <c r="AE614">
        <v>36</v>
      </c>
    </row>
    <row r="615" spans="1:31" x14ac:dyDescent="0.25">
      <c r="A615" t="s">
        <v>3066</v>
      </c>
      <c r="B615" t="s">
        <v>3067</v>
      </c>
      <c r="C615" s="1">
        <v>44160</v>
      </c>
      <c r="D615" s="1">
        <v>44532</v>
      </c>
      <c r="E615" t="s">
        <v>50</v>
      </c>
      <c r="F615" t="s">
        <v>34</v>
      </c>
      <c r="G615" t="s">
        <v>35</v>
      </c>
      <c r="H615" t="s">
        <v>80</v>
      </c>
      <c r="I615" t="s">
        <v>3068</v>
      </c>
      <c r="J615" t="s">
        <v>96</v>
      </c>
      <c r="K615" t="s">
        <v>97</v>
      </c>
      <c r="L615" t="s">
        <v>3069</v>
      </c>
      <c r="M615">
        <v>36.25</v>
      </c>
      <c r="N615">
        <v>91</v>
      </c>
      <c r="O615" t="s">
        <v>1466</v>
      </c>
      <c r="P615" t="s">
        <v>86</v>
      </c>
      <c r="Q615" t="s">
        <v>455</v>
      </c>
      <c r="R615" t="s">
        <v>153</v>
      </c>
      <c r="S615" t="s">
        <v>89</v>
      </c>
      <c r="T615" t="s">
        <v>933</v>
      </c>
      <c r="U615">
        <v>88</v>
      </c>
      <c r="V615">
        <v>379</v>
      </c>
      <c r="W615">
        <v>21</v>
      </c>
      <c r="X615">
        <v>220.7</v>
      </c>
      <c r="Y615">
        <v>329.61</v>
      </c>
      <c r="Z615">
        <v>550.30999999999995</v>
      </c>
      <c r="AA615" t="s">
        <v>63</v>
      </c>
      <c r="AB615">
        <v>0</v>
      </c>
      <c r="AC615">
        <v>91.7</v>
      </c>
      <c r="AD615">
        <v>103</v>
      </c>
      <c r="AE615">
        <v>75</v>
      </c>
    </row>
    <row r="616" spans="1:31" x14ac:dyDescent="0.25">
      <c r="A616" t="s">
        <v>3070</v>
      </c>
      <c r="B616" t="s">
        <v>3071</v>
      </c>
      <c r="C616" s="1">
        <v>43840</v>
      </c>
      <c r="D616" s="1">
        <v>44364</v>
      </c>
      <c r="E616" t="s">
        <v>33</v>
      </c>
      <c r="F616" t="s">
        <v>51</v>
      </c>
      <c r="G616" t="s">
        <v>105</v>
      </c>
      <c r="H616" t="s">
        <v>53</v>
      </c>
      <c r="I616" t="s">
        <v>3072</v>
      </c>
      <c r="J616" t="s">
        <v>55</v>
      </c>
      <c r="K616" t="s">
        <v>70</v>
      </c>
      <c r="L616" t="s">
        <v>3073</v>
      </c>
      <c r="M616">
        <v>314.7</v>
      </c>
      <c r="N616">
        <v>52</v>
      </c>
      <c r="O616" t="s">
        <v>502</v>
      </c>
      <c r="P616" t="s">
        <v>86</v>
      </c>
      <c r="Q616" t="s">
        <v>73</v>
      </c>
      <c r="R616" t="s">
        <v>153</v>
      </c>
      <c r="S616" t="s">
        <v>45</v>
      </c>
      <c r="T616" t="s">
        <v>90</v>
      </c>
      <c r="U616">
        <v>3008</v>
      </c>
      <c r="V616">
        <v>389</v>
      </c>
      <c r="W616">
        <v>4</v>
      </c>
      <c r="X616">
        <v>593.33000000000004</v>
      </c>
      <c r="Y616">
        <v>483.39</v>
      </c>
      <c r="Z616">
        <v>1076.72</v>
      </c>
      <c r="AA616" t="s">
        <v>47</v>
      </c>
      <c r="AB616">
        <v>14</v>
      </c>
      <c r="AC616">
        <v>92.9</v>
      </c>
      <c r="AD616">
        <v>78</v>
      </c>
      <c r="AE616">
        <v>56</v>
      </c>
    </row>
    <row r="617" spans="1:31" x14ac:dyDescent="0.25">
      <c r="A617" t="s">
        <v>3074</v>
      </c>
      <c r="B617" t="s">
        <v>3075</v>
      </c>
      <c r="C617" s="1">
        <v>45008</v>
      </c>
      <c r="D617" s="1">
        <v>45382</v>
      </c>
      <c r="E617" t="s">
        <v>66</v>
      </c>
      <c r="F617" t="s">
        <v>93</v>
      </c>
      <c r="G617" t="s">
        <v>35</v>
      </c>
      <c r="H617" t="s">
        <v>218</v>
      </c>
      <c r="I617" t="s">
        <v>3076</v>
      </c>
      <c r="J617" t="s">
        <v>107</v>
      </c>
      <c r="K617" t="s">
        <v>70</v>
      </c>
      <c r="L617" t="s">
        <v>3077</v>
      </c>
      <c r="M617">
        <v>399.57</v>
      </c>
      <c r="N617">
        <v>92</v>
      </c>
      <c r="O617" t="s">
        <v>3078</v>
      </c>
      <c r="P617" t="s">
        <v>110</v>
      </c>
      <c r="Q617" t="s">
        <v>175</v>
      </c>
      <c r="R617" t="s">
        <v>44</v>
      </c>
      <c r="S617" t="s">
        <v>101</v>
      </c>
      <c r="T617" t="s">
        <v>242</v>
      </c>
      <c r="U617">
        <v>675</v>
      </c>
      <c r="V617">
        <v>492</v>
      </c>
      <c r="W617">
        <v>21</v>
      </c>
      <c r="X617">
        <v>1408</v>
      </c>
      <c r="Y617">
        <v>257.52999999999997</v>
      </c>
      <c r="Z617">
        <v>1665.53</v>
      </c>
      <c r="AA617" t="s">
        <v>47</v>
      </c>
      <c r="AB617">
        <v>8</v>
      </c>
      <c r="AC617">
        <v>72.58</v>
      </c>
      <c r="AD617">
        <v>181</v>
      </c>
      <c r="AE617">
        <v>228</v>
      </c>
    </row>
    <row r="618" spans="1:31" x14ac:dyDescent="0.25">
      <c r="A618" t="s">
        <v>3079</v>
      </c>
      <c r="B618" t="s">
        <v>3080</v>
      </c>
      <c r="C618" s="1">
        <v>44407</v>
      </c>
      <c r="D618" s="1">
        <v>45300</v>
      </c>
      <c r="E618" t="s">
        <v>66</v>
      </c>
      <c r="F618" t="s">
        <v>78</v>
      </c>
      <c r="G618" t="s">
        <v>35</v>
      </c>
      <c r="H618" t="s">
        <v>148</v>
      </c>
      <c r="I618" t="s">
        <v>3081</v>
      </c>
      <c r="J618" t="s">
        <v>107</v>
      </c>
      <c r="K618" t="s">
        <v>83</v>
      </c>
      <c r="L618" t="s">
        <v>3082</v>
      </c>
      <c r="M618">
        <v>330.73</v>
      </c>
      <c r="N618">
        <v>10</v>
      </c>
      <c r="O618" t="s">
        <v>3083</v>
      </c>
      <c r="P618" t="s">
        <v>86</v>
      </c>
      <c r="Q618" t="s">
        <v>73</v>
      </c>
      <c r="R618" t="s">
        <v>88</v>
      </c>
      <c r="S618" t="s">
        <v>74</v>
      </c>
      <c r="T618" t="s">
        <v>121</v>
      </c>
      <c r="U618">
        <v>3698</v>
      </c>
      <c r="V618">
        <v>233</v>
      </c>
      <c r="W618">
        <v>18</v>
      </c>
      <c r="X618">
        <v>323.38</v>
      </c>
      <c r="Y618">
        <v>401.74</v>
      </c>
      <c r="Z618">
        <v>725.12</v>
      </c>
      <c r="AA618" t="s">
        <v>63</v>
      </c>
      <c r="AB618">
        <v>0</v>
      </c>
      <c r="AC618">
        <v>85.95</v>
      </c>
      <c r="AD618">
        <v>192</v>
      </c>
      <c r="AE618">
        <v>177</v>
      </c>
    </row>
    <row r="619" spans="1:31" x14ac:dyDescent="0.25">
      <c r="A619" t="s">
        <v>3084</v>
      </c>
      <c r="B619" t="s">
        <v>3085</v>
      </c>
      <c r="C619" s="1">
        <v>44486</v>
      </c>
      <c r="D619" s="1">
        <v>44265</v>
      </c>
      <c r="E619" t="s">
        <v>66</v>
      </c>
      <c r="F619" t="s">
        <v>78</v>
      </c>
      <c r="G619" t="s">
        <v>337</v>
      </c>
      <c r="H619" t="s">
        <v>53</v>
      </c>
      <c r="I619" t="s">
        <v>3086</v>
      </c>
      <c r="J619" t="s">
        <v>82</v>
      </c>
      <c r="K619" t="s">
        <v>39</v>
      </c>
      <c r="L619" t="s">
        <v>3087</v>
      </c>
      <c r="M619">
        <v>498.76</v>
      </c>
      <c r="N619">
        <v>4</v>
      </c>
      <c r="O619" t="s">
        <v>3088</v>
      </c>
      <c r="P619" t="s">
        <v>59</v>
      </c>
      <c r="Q619" t="s">
        <v>290</v>
      </c>
      <c r="R619" t="s">
        <v>153</v>
      </c>
      <c r="S619" t="s">
        <v>101</v>
      </c>
      <c r="T619" t="s">
        <v>129</v>
      </c>
      <c r="U619">
        <v>477</v>
      </c>
      <c r="V619">
        <v>480</v>
      </c>
      <c r="W619">
        <v>23</v>
      </c>
      <c r="X619">
        <v>1439.43</v>
      </c>
      <c r="Y619">
        <v>245.99</v>
      </c>
      <c r="Z619">
        <v>1685.42</v>
      </c>
      <c r="AA619" t="s">
        <v>63</v>
      </c>
      <c r="AB619">
        <v>0</v>
      </c>
      <c r="AC619">
        <v>94.31</v>
      </c>
      <c r="AD619">
        <v>169</v>
      </c>
      <c r="AE619">
        <v>170</v>
      </c>
    </row>
    <row r="620" spans="1:31" x14ac:dyDescent="0.25">
      <c r="A620" t="s">
        <v>3089</v>
      </c>
      <c r="B620" t="s">
        <v>3090</v>
      </c>
      <c r="C620" s="1">
        <v>45210</v>
      </c>
      <c r="D620" s="1">
        <v>45067</v>
      </c>
      <c r="E620" t="s">
        <v>66</v>
      </c>
      <c r="F620" t="s">
        <v>51</v>
      </c>
      <c r="G620" t="s">
        <v>337</v>
      </c>
      <c r="H620" t="s">
        <v>80</v>
      </c>
      <c r="I620" t="s">
        <v>3091</v>
      </c>
      <c r="J620" t="s">
        <v>38</v>
      </c>
      <c r="K620" t="s">
        <v>39</v>
      </c>
      <c r="L620" t="s">
        <v>3092</v>
      </c>
      <c r="M620">
        <v>362.55</v>
      </c>
      <c r="N620">
        <v>28</v>
      </c>
      <c r="O620" t="s">
        <v>3093</v>
      </c>
      <c r="P620" t="s">
        <v>59</v>
      </c>
      <c r="Q620" t="s">
        <v>100</v>
      </c>
      <c r="R620" t="s">
        <v>44</v>
      </c>
      <c r="S620" t="s">
        <v>74</v>
      </c>
      <c r="T620" t="s">
        <v>273</v>
      </c>
      <c r="U620">
        <v>4088</v>
      </c>
      <c r="V620">
        <v>128</v>
      </c>
      <c r="W620">
        <v>11</v>
      </c>
      <c r="X620">
        <v>1385.25</v>
      </c>
      <c r="Y620">
        <v>486.06</v>
      </c>
      <c r="Z620">
        <v>1871.31</v>
      </c>
      <c r="AA620" t="s">
        <v>47</v>
      </c>
      <c r="AB620">
        <v>14</v>
      </c>
      <c r="AC620">
        <v>92.79</v>
      </c>
      <c r="AD620">
        <v>406</v>
      </c>
      <c r="AE620">
        <v>369</v>
      </c>
    </row>
    <row r="621" spans="1:31" x14ac:dyDescent="0.25">
      <c r="A621" t="s">
        <v>3094</v>
      </c>
      <c r="B621" t="s">
        <v>1448</v>
      </c>
      <c r="C621" s="1">
        <v>45230</v>
      </c>
      <c r="D621" s="1">
        <v>44529</v>
      </c>
      <c r="E621" t="s">
        <v>33</v>
      </c>
      <c r="F621" t="s">
        <v>78</v>
      </c>
      <c r="G621" t="s">
        <v>105</v>
      </c>
      <c r="H621" t="s">
        <v>68</v>
      </c>
      <c r="I621" t="s">
        <v>3095</v>
      </c>
      <c r="J621" t="s">
        <v>38</v>
      </c>
      <c r="K621" t="s">
        <v>83</v>
      </c>
      <c r="L621" t="s">
        <v>3096</v>
      </c>
      <c r="M621">
        <v>161.61000000000001</v>
      </c>
      <c r="N621">
        <v>11</v>
      </c>
      <c r="O621" t="s">
        <v>3097</v>
      </c>
      <c r="P621" t="s">
        <v>110</v>
      </c>
      <c r="Q621" t="s">
        <v>315</v>
      </c>
      <c r="R621" t="s">
        <v>153</v>
      </c>
      <c r="S621" t="s">
        <v>89</v>
      </c>
      <c r="T621" t="s">
        <v>478</v>
      </c>
      <c r="U621">
        <v>4758</v>
      </c>
      <c r="V621">
        <v>129</v>
      </c>
      <c r="W621">
        <v>22</v>
      </c>
      <c r="X621">
        <v>1929.56</v>
      </c>
      <c r="Y621">
        <v>266.43</v>
      </c>
      <c r="Z621">
        <v>2195.9899999999998</v>
      </c>
      <c r="AA621" t="s">
        <v>63</v>
      </c>
      <c r="AB621">
        <v>0</v>
      </c>
      <c r="AC621">
        <v>88.77</v>
      </c>
      <c r="AD621">
        <v>452</v>
      </c>
      <c r="AE621">
        <v>463</v>
      </c>
    </row>
    <row r="622" spans="1:31" x14ac:dyDescent="0.25">
      <c r="A622" t="s">
        <v>3098</v>
      </c>
      <c r="B622" t="s">
        <v>3099</v>
      </c>
      <c r="C622" s="1">
        <v>43962</v>
      </c>
      <c r="D622" s="1">
        <v>44630</v>
      </c>
      <c r="E622" t="s">
        <v>66</v>
      </c>
      <c r="F622" t="s">
        <v>93</v>
      </c>
      <c r="G622" t="s">
        <v>52</v>
      </c>
      <c r="H622" t="s">
        <v>164</v>
      </c>
      <c r="I622" t="s">
        <v>3100</v>
      </c>
      <c r="J622" t="s">
        <v>38</v>
      </c>
      <c r="K622" t="s">
        <v>39</v>
      </c>
      <c r="L622" t="s">
        <v>3101</v>
      </c>
      <c r="M622">
        <v>29.23</v>
      </c>
      <c r="N622">
        <v>32</v>
      </c>
      <c r="O622" t="s">
        <v>3102</v>
      </c>
      <c r="P622" t="s">
        <v>59</v>
      </c>
      <c r="Q622" t="s">
        <v>120</v>
      </c>
      <c r="R622" t="s">
        <v>88</v>
      </c>
      <c r="S622" t="s">
        <v>74</v>
      </c>
      <c r="T622" t="s">
        <v>242</v>
      </c>
      <c r="U622">
        <v>206</v>
      </c>
      <c r="V622">
        <v>235</v>
      </c>
      <c r="W622">
        <v>10</v>
      </c>
      <c r="X622">
        <v>1074.4000000000001</v>
      </c>
      <c r="Y622">
        <v>158.57</v>
      </c>
      <c r="Z622">
        <v>1232.97</v>
      </c>
      <c r="AA622" t="s">
        <v>47</v>
      </c>
      <c r="AB622">
        <v>13</v>
      </c>
      <c r="AC622">
        <v>99.48</v>
      </c>
      <c r="AD622">
        <v>100</v>
      </c>
      <c r="AE622">
        <v>145</v>
      </c>
    </row>
    <row r="623" spans="1:31" x14ac:dyDescent="0.25">
      <c r="A623" t="s">
        <v>3103</v>
      </c>
      <c r="B623" t="s">
        <v>3104</v>
      </c>
      <c r="C623" s="1">
        <v>45638</v>
      </c>
      <c r="D623" s="1">
        <v>45479</v>
      </c>
      <c r="E623" t="s">
        <v>33</v>
      </c>
      <c r="F623" t="s">
        <v>51</v>
      </c>
      <c r="G623" t="s">
        <v>52</v>
      </c>
      <c r="H623" t="s">
        <v>218</v>
      </c>
      <c r="I623" t="s">
        <v>3105</v>
      </c>
      <c r="J623" t="s">
        <v>107</v>
      </c>
      <c r="K623" t="s">
        <v>83</v>
      </c>
      <c r="L623" t="s">
        <v>3106</v>
      </c>
      <c r="M623">
        <v>456.5</v>
      </c>
      <c r="N623">
        <v>56</v>
      </c>
      <c r="O623" t="s">
        <v>678</v>
      </c>
      <c r="P623" t="s">
        <v>86</v>
      </c>
      <c r="Q623" t="s">
        <v>428</v>
      </c>
      <c r="R623" t="s">
        <v>44</v>
      </c>
      <c r="S623" t="s">
        <v>89</v>
      </c>
      <c r="T623" t="s">
        <v>190</v>
      </c>
      <c r="U623">
        <v>2772</v>
      </c>
      <c r="V623">
        <v>52</v>
      </c>
      <c r="W623">
        <v>28</v>
      </c>
      <c r="X623">
        <v>1032.74</v>
      </c>
      <c r="Y623">
        <v>372.69</v>
      </c>
      <c r="Z623">
        <v>1405.43</v>
      </c>
      <c r="AA623" t="s">
        <v>63</v>
      </c>
      <c r="AB623">
        <v>0</v>
      </c>
      <c r="AC623">
        <v>72.59</v>
      </c>
      <c r="AD623">
        <v>307</v>
      </c>
      <c r="AE623">
        <v>267</v>
      </c>
    </row>
    <row r="624" spans="1:31" x14ac:dyDescent="0.25">
      <c r="A624" t="s">
        <v>3107</v>
      </c>
      <c r="B624" t="s">
        <v>3108</v>
      </c>
      <c r="C624" s="1">
        <v>44655</v>
      </c>
      <c r="D624" s="1">
        <v>44212</v>
      </c>
      <c r="E624" t="s">
        <v>66</v>
      </c>
      <c r="F624" t="s">
        <v>34</v>
      </c>
      <c r="G624" t="s">
        <v>115</v>
      </c>
      <c r="H624" t="s">
        <v>68</v>
      </c>
      <c r="I624" t="s">
        <v>3109</v>
      </c>
      <c r="J624" t="s">
        <v>38</v>
      </c>
      <c r="K624" t="s">
        <v>83</v>
      </c>
      <c r="L624" t="s">
        <v>3110</v>
      </c>
      <c r="M624">
        <v>136.74</v>
      </c>
      <c r="N624">
        <v>89</v>
      </c>
      <c r="O624" t="s">
        <v>2309</v>
      </c>
      <c r="P624" t="s">
        <v>110</v>
      </c>
      <c r="Q624" t="s">
        <v>152</v>
      </c>
      <c r="R624" t="s">
        <v>153</v>
      </c>
      <c r="S624" t="s">
        <v>45</v>
      </c>
      <c r="T624" t="s">
        <v>262</v>
      </c>
      <c r="U624">
        <v>729</v>
      </c>
      <c r="V624">
        <v>440</v>
      </c>
      <c r="W624">
        <v>13</v>
      </c>
      <c r="X624">
        <v>1054.8599999999999</v>
      </c>
      <c r="Y624">
        <v>388.22</v>
      </c>
      <c r="Z624">
        <v>1443.08</v>
      </c>
      <c r="AA624" t="s">
        <v>63</v>
      </c>
      <c r="AB624">
        <v>0</v>
      </c>
      <c r="AC624">
        <v>95.51</v>
      </c>
      <c r="AD624">
        <v>469</v>
      </c>
      <c r="AE624">
        <v>484</v>
      </c>
    </row>
    <row r="625" spans="1:31" x14ac:dyDescent="0.25">
      <c r="A625" t="s">
        <v>3111</v>
      </c>
      <c r="B625" t="s">
        <v>3112</v>
      </c>
      <c r="C625" s="1">
        <v>45140</v>
      </c>
      <c r="D625" s="1">
        <v>45291</v>
      </c>
      <c r="E625" t="s">
        <v>66</v>
      </c>
      <c r="F625" t="s">
        <v>51</v>
      </c>
      <c r="G625" t="s">
        <v>94</v>
      </c>
      <c r="H625" t="s">
        <v>148</v>
      </c>
      <c r="I625" t="s">
        <v>3113</v>
      </c>
      <c r="J625" t="s">
        <v>107</v>
      </c>
      <c r="K625" t="s">
        <v>70</v>
      </c>
      <c r="L625" t="s">
        <v>3114</v>
      </c>
      <c r="M625">
        <v>213.73</v>
      </c>
      <c r="N625">
        <v>75</v>
      </c>
      <c r="O625" t="s">
        <v>1007</v>
      </c>
      <c r="P625" t="s">
        <v>110</v>
      </c>
      <c r="Q625" t="s">
        <v>1277</v>
      </c>
      <c r="R625" t="s">
        <v>44</v>
      </c>
      <c r="S625" t="s">
        <v>128</v>
      </c>
      <c r="T625" t="s">
        <v>169</v>
      </c>
      <c r="U625">
        <v>2155</v>
      </c>
      <c r="V625">
        <v>397</v>
      </c>
      <c r="W625">
        <v>7</v>
      </c>
      <c r="X625">
        <v>378.03</v>
      </c>
      <c r="Y625">
        <v>411.83</v>
      </c>
      <c r="Z625">
        <v>789.8599999999999</v>
      </c>
      <c r="AA625" t="s">
        <v>63</v>
      </c>
      <c r="AB625">
        <v>0</v>
      </c>
      <c r="AC625">
        <v>71.05</v>
      </c>
      <c r="AD625">
        <v>479</v>
      </c>
      <c r="AE625">
        <v>490</v>
      </c>
    </row>
    <row r="626" spans="1:31" x14ac:dyDescent="0.25">
      <c r="A626" t="s">
        <v>3115</v>
      </c>
      <c r="B626" t="s">
        <v>3116</v>
      </c>
      <c r="C626" s="1">
        <v>44489</v>
      </c>
      <c r="D626" s="1">
        <v>44700</v>
      </c>
      <c r="E626" t="s">
        <v>66</v>
      </c>
      <c r="F626" t="s">
        <v>51</v>
      </c>
      <c r="G626" t="s">
        <v>79</v>
      </c>
      <c r="H626" t="s">
        <v>116</v>
      </c>
      <c r="I626" t="s">
        <v>3117</v>
      </c>
      <c r="J626" t="s">
        <v>55</v>
      </c>
      <c r="K626" t="s">
        <v>39</v>
      </c>
      <c r="L626" t="s">
        <v>3118</v>
      </c>
      <c r="M626">
        <v>34.35</v>
      </c>
      <c r="N626">
        <v>46</v>
      </c>
      <c r="O626" t="s">
        <v>3119</v>
      </c>
      <c r="P626" t="s">
        <v>42</v>
      </c>
      <c r="Q626" t="s">
        <v>60</v>
      </c>
      <c r="R626" t="s">
        <v>44</v>
      </c>
      <c r="S626" t="s">
        <v>101</v>
      </c>
      <c r="T626" t="s">
        <v>467</v>
      </c>
      <c r="U626">
        <v>215</v>
      </c>
      <c r="V626">
        <v>456</v>
      </c>
      <c r="W626">
        <v>29</v>
      </c>
      <c r="X626">
        <v>385.04</v>
      </c>
      <c r="Y626">
        <v>285.83999999999997</v>
      </c>
      <c r="Z626">
        <v>670.88</v>
      </c>
      <c r="AA626" t="s">
        <v>63</v>
      </c>
      <c r="AB626">
        <v>0</v>
      </c>
      <c r="AC626">
        <v>70.91</v>
      </c>
      <c r="AD626">
        <v>82</v>
      </c>
      <c r="AE626">
        <v>126</v>
      </c>
    </row>
    <row r="627" spans="1:31" x14ac:dyDescent="0.25">
      <c r="A627" t="s">
        <v>3120</v>
      </c>
      <c r="B627" t="s">
        <v>3121</v>
      </c>
      <c r="C627" s="1">
        <v>44278</v>
      </c>
      <c r="D627" s="1">
        <v>45516</v>
      </c>
      <c r="E627" t="s">
        <v>66</v>
      </c>
      <c r="F627" t="s">
        <v>51</v>
      </c>
      <c r="G627" t="s">
        <v>94</v>
      </c>
      <c r="H627" t="s">
        <v>218</v>
      </c>
      <c r="I627" t="s">
        <v>3122</v>
      </c>
      <c r="J627" t="s">
        <v>82</v>
      </c>
      <c r="K627" t="s">
        <v>97</v>
      </c>
      <c r="L627" t="s">
        <v>3123</v>
      </c>
      <c r="M627">
        <v>66.680000000000007</v>
      </c>
      <c r="N627">
        <v>26</v>
      </c>
      <c r="O627" t="s">
        <v>1800</v>
      </c>
      <c r="P627" t="s">
        <v>42</v>
      </c>
      <c r="Q627" t="s">
        <v>997</v>
      </c>
      <c r="R627" t="s">
        <v>44</v>
      </c>
      <c r="S627" t="s">
        <v>45</v>
      </c>
      <c r="T627" t="s">
        <v>1023</v>
      </c>
      <c r="U627">
        <v>4080</v>
      </c>
      <c r="V627">
        <v>147</v>
      </c>
      <c r="W627">
        <v>6</v>
      </c>
      <c r="X627">
        <v>98.66</v>
      </c>
      <c r="Y627">
        <v>492.83</v>
      </c>
      <c r="Z627">
        <v>591.49</v>
      </c>
      <c r="AA627" t="s">
        <v>63</v>
      </c>
      <c r="AB627">
        <v>0</v>
      </c>
      <c r="AC627">
        <v>98.42</v>
      </c>
      <c r="AD627">
        <v>100</v>
      </c>
      <c r="AE627">
        <v>67</v>
      </c>
    </row>
    <row r="628" spans="1:31" x14ac:dyDescent="0.25">
      <c r="A628" t="s">
        <v>3124</v>
      </c>
      <c r="B628" t="s">
        <v>1726</v>
      </c>
      <c r="C628" s="1">
        <v>44644</v>
      </c>
      <c r="D628" s="1">
        <v>45284</v>
      </c>
      <c r="E628" t="s">
        <v>50</v>
      </c>
      <c r="F628" t="s">
        <v>51</v>
      </c>
      <c r="G628" t="s">
        <v>115</v>
      </c>
      <c r="H628" t="s">
        <v>68</v>
      </c>
      <c r="I628" t="s">
        <v>3125</v>
      </c>
      <c r="J628" t="s">
        <v>38</v>
      </c>
      <c r="K628" t="s">
        <v>39</v>
      </c>
      <c r="L628" t="s">
        <v>3126</v>
      </c>
      <c r="M628">
        <v>27.69</v>
      </c>
      <c r="N628">
        <v>55</v>
      </c>
      <c r="O628" t="s">
        <v>3127</v>
      </c>
      <c r="P628" t="s">
        <v>86</v>
      </c>
      <c r="Q628" t="s">
        <v>706</v>
      </c>
      <c r="R628" t="s">
        <v>61</v>
      </c>
      <c r="S628" t="s">
        <v>89</v>
      </c>
      <c r="T628" t="s">
        <v>297</v>
      </c>
      <c r="U628">
        <v>2962</v>
      </c>
      <c r="V628">
        <v>233</v>
      </c>
      <c r="W628">
        <v>2</v>
      </c>
      <c r="X628">
        <v>1220.95</v>
      </c>
      <c r="Y628">
        <v>354.45</v>
      </c>
      <c r="Z628">
        <v>1575.4</v>
      </c>
      <c r="AA628" t="s">
        <v>63</v>
      </c>
      <c r="AB628">
        <v>0</v>
      </c>
      <c r="AC628">
        <v>83.47</v>
      </c>
      <c r="AD628">
        <v>329</v>
      </c>
      <c r="AE628">
        <v>351</v>
      </c>
    </row>
    <row r="629" spans="1:31" x14ac:dyDescent="0.25">
      <c r="A629" t="s">
        <v>3128</v>
      </c>
      <c r="B629" t="s">
        <v>3129</v>
      </c>
      <c r="C629" s="1">
        <v>44890</v>
      </c>
      <c r="D629" s="1">
        <v>45538</v>
      </c>
      <c r="E629" t="s">
        <v>66</v>
      </c>
      <c r="F629" t="s">
        <v>34</v>
      </c>
      <c r="G629" t="s">
        <v>115</v>
      </c>
      <c r="H629" t="s">
        <v>53</v>
      </c>
      <c r="I629" t="s">
        <v>3130</v>
      </c>
      <c r="J629" t="s">
        <v>82</v>
      </c>
      <c r="K629" t="s">
        <v>70</v>
      </c>
      <c r="L629" t="s">
        <v>3131</v>
      </c>
      <c r="M629">
        <v>266.5</v>
      </c>
      <c r="N629">
        <v>89</v>
      </c>
      <c r="O629" t="s">
        <v>3132</v>
      </c>
      <c r="P629" t="s">
        <v>86</v>
      </c>
      <c r="Q629" t="s">
        <v>43</v>
      </c>
      <c r="R629" t="s">
        <v>88</v>
      </c>
      <c r="S629" t="s">
        <v>74</v>
      </c>
      <c r="T629" t="s">
        <v>215</v>
      </c>
      <c r="U629">
        <v>4591</v>
      </c>
      <c r="V629">
        <v>221</v>
      </c>
      <c r="W629">
        <v>13</v>
      </c>
      <c r="X629">
        <v>630.46</v>
      </c>
      <c r="Y629">
        <v>336</v>
      </c>
      <c r="Z629">
        <v>966.46</v>
      </c>
      <c r="AA629" t="s">
        <v>63</v>
      </c>
      <c r="AB629">
        <v>0</v>
      </c>
      <c r="AC629">
        <v>73.88</v>
      </c>
      <c r="AD629">
        <v>391</v>
      </c>
      <c r="AE629">
        <v>378</v>
      </c>
    </row>
    <row r="630" spans="1:31" x14ac:dyDescent="0.25">
      <c r="A630" t="s">
        <v>3133</v>
      </c>
      <c r="B630" t="s">
        <v>3134</v>
      </c>
      <c r="C630" s="1">
        <v>45389</v>
      </c>
      <c r="D630" s="1">
        <v>44566</v>
      </c>
      <c r="E630" t="s">
        <v>66</v>
      </c>
      <c r="F630" t="s">
        <v>147</v>
      </c>
      <c r="G630" t="s">
        <v>337</v>
      </c>
      <c r="H630" t="s">
        <v>80</v>
      </c>
      <c r="I630" t="s">
        <v>3135</v>
      </c>
      <c r="J630" t="s">
        <v>96</v>
      </c>
      <c r="K630" t="s">
        <v>39</v>
      </c>
      <c r="L630" t="s">
        <v>3136</v>
      </c>
      <c r="M630">
        <v>430.34</v>
      </c>
      <c r="N630">
        <v>88</v>
      </c>
      <c r="O630" t="s">
        <v>201</v>
      </c>
      <c r="P630" t="s">
        <v>142</v>
      </c>
      <c r="Q630" t="s">
        <v>152</v>
      </c>
      <c r="R630" t="s">
        <v>61</v>
      </c>
      <c r="S630" t="s">
        <v>101</v>
      </c>
      <c r="T630" t="s">
        <v>309</v>
      </c>
      <c r="U630">
        <v>4201</v>
      </c>
      <c r="V630">
        <v>449</v>
      </c>
      <c r="W630">
        <v>28</v>
      </c>
      <c r="X630">
        <v>1860.87</v>
      </c>
      <c r="Y630">
        <v>438.96</v>
      </c>
      <c r="Z630">
        <v>2299.83</v>
      </c>
      <c r="AA630" t="s">
        <v>63</v>
      </c>
      <c r="AB630">
        <v>0</v>
      </c>
      <c r="AC630">
        <v>97.06</v>
      </c>
      <c r="AD630">
        <v>242</v>
      </c>
      <c r="AE630">
        <v>216</v>
      </c>
    </row>
    <row r="631" spans="1:31" x14ac:dyDescent="0.25">
      <c r="A631" t="s">
        <v>3137</v>
      </c>
      <c r="B631" t="s">
        <v>3138</v>
      </c>
      <c r="C631" s="1">
        <v>44914</v>
      </c>
      <c r="D631" s="1">
        <v>45304</v>
      </c>
      <c r="E631" t="s">
        <v>50</v>
      </c>
      <c r="F631" t="s">
        <v>93</v>
      </c>
      <c r="G631" t="s">
        <v>337</v>
      </c>
      <c r="H631" t="s">
        <v>164</v>
      </c>
      <c r="I631" t="s">
        <v>3139</v>
      </c>
      <c r="J631" t="s">
        <v>55</v>
      </c>
      <c r="K631" t="s">
        <v>97</v>
      </c>
      <c r="L631" t="s">
        <v>506</v>
      </c>
      <c r="M631">
        <v>213.44</v>
      </c>
      <c r="N631">
        <v>6</v>
      </c>
      <c r="O631" t="s">
        <v>1791</v>
      </c>
      <c r="P631" t="s">
        <v>86</v>
      </c>
      <c r="Q631" t="s">
        <v>248</v>
      </c>
      <c r="R631" t="s">
        <v>61</v>
      </c>
      <c r="S631" t="s">
        <v>89</v>
      </c>
      <c r="T631" t="s">
        <v>129</v>
      </c>
      <c r="U631">
        <v>3590</v>
      </c>
      <c r="V631">
        <v>216</v>
      </c>
      <c r="W631">
        <v>10</v>
      </c>
      <c r="X631">
        <v>277.41000000000003</v>
      </c>
      <c r="Y631">
        <v>42.56</v>
      </c>
      <c r="Z631">
        <v>319.97000000000003</v>
      </c>
      <c r="AA631" t="s">
        <v>63</v>
      </c>
      <c r="AB631">
        <v>0</v>
      </c>
      <c r="AC631">
        <v>86.74</v>
      </c>
      <c r="AD631">
        <v>82</v>
      </c>
      <c r="AE631">
        <v>81</v>
      </c>
    </row>
    <row r="632" spans="1:31" x14ac:dyDescent="0.25">
      <c r="A632" t="s">
        <v>3140</v>
      </c>
      <c r="B632" t="s">
        <v>3141</v>
      </c>
      <c r="C632" s="1">
        <v>44549</v>
      </c>
      <c r="D632" s="1">
        <v>44419</v>
      </c>
      <c r="E632" t="s">
        <v>66</v>
      </c>
      <c r="F632" t="s">
        <v>93</v>
      </c>
      <c r="G632" t="s">
        <v>94</v>
      </c>
      <c r="H632" t="s">
        <v>53</v>
      </c>
      <c r="I632" t="s">
        <v>3142</v>
      </c>
      <c r="J632" t="s">
        <v>82</v>
      </c>
      <c r="K632" t="s">
        <v>56</v>
      </c>
      <c r="L632" t="s">
        <v>3143</v>
      </c>
      <c r="M632">
        <v>28.94</v>
      </c>
      <c r="N632">
        <v>68</v>
      </c>
      <c r="O632" t="s">
        <v>302</v>
      </c>
      <c r="P632" t="s">
        <v>42</v>
      </c>
      <c r="Q632" t="s">
        <v>120</v>
      </c>
      <c r="R632" t="s">
        <v>88</v>
      </c>
      <c r="S632" t="s">
        <v>74</v>
      </c>
      <c r="T632" t="s">
        <v>1339</v>
      </c>
      <c r="U632">
        <v>300</v>
      </c>
      <c r="V632">
        <v>369</v>
      </c>
      <c r="W632">
        <v>20</v>
      </c>
      <c r="X632">
        <v>85.79</v>
      </c>
      <c r="Y632">
        <v>132.22999999999999</v>
      </c>
      <c r="Z632">
        <v>218.02</v>
      </c>
      <c r="AA632" t="s">
        <v>63</v>
      </c>
      <c r="AB632">
        <v>0</v>
      </c>
      <c r="AC632">
        <v>73.12</v>
      </c>
      <c r="AD632">
        <v>382</v>
      </c>
      <c r="AE632">
        <v>371</v>
      </c>
    </row>
    <row r="633" spans="1:31" x14ac:dyDescent="0.25">
      <c r="A633" t="s">
        <v>3144</v>
      </c>
      <c r="B633" t="s">
        <v>3145</v>
      </c>
      <c r="C633" s="1">
        <v>44924</v>
      </c>
      <c r="D633" s="1">
        <v>44747</v>
      </c>
      <c r="E633" t="s">
        <v>66</v>
      </c>
      <c r="F633" t="s">
        <v>93</v>
      </c>
      <c r="G633" t="s">
        <v>52</v>
      </c>
      <c r="H633" t="s">
        <v>218</v>
      </c>
      <c r="I633" t="s">
        <v>3146</v>
      </c>
      <c r="J633" t="s">
        <v>55</v>
      </c>
      <c r="K633" t="s">
        <v>70</v>
      </c>
      <c r="L633" t="s">
        <v>3147</v>
      </c>
      <c r="M633">
        <v>33.56</v>
      </c>
      <c r="N633">
        <v>6</v>
      </c>
      <c r="O633" t="s">
        <v>308</v>
      </c>
      <c r="P633" t="s">
        <v>110</v>
      </c>
      <c r="Q633" t="s">
        <v>488</v>
      </c>
      <c r="R633" t="s">
        <v>44</v>
      </c>
      <c r="S633" t="s">
        <v>101</v>
      </c>
      <c r="T633" t="s">
        <v>112</v>
      </c>
      <c r="U633">
        <v>1726</v>
      </c>
      <c r="V633">
        <v>410</v>
      </c>
      <c r="W633">
        <v>17</v>
      </c>
      <c r="X633">
        <v>1830.13</v>
      </c>
      <c r="Y633">
        <v>419.98</v>
      </c>
      <c r="Z633">
        <v>2250.11</v>
      </c>
      <c r="AA633" t="s">
        <v>63</v>
      </c>
      <c r="AB633">
        <v>0</v>
      </c>
      <c r="AC633">
        <v>76.489999999999995</v>
      </c>
      <c r="AD633">
        <v>168</v>
      </c>
      <c r="AE633">
        <v>136</v>
      </c>
    </row>
    <row r="634" spans="1:31" x14ac:dyDescent="0.25">
      <c r="A634" t="s">
        <v>3148</v>
      </c>
      <c r="B634" t="s">
        <v>1815</v>
      </c>
      <c r="C634" s="1">
        <v>44748</v>
      </c>
      <c r="D634" s="1">
        <v>45195</v>
      </c>
      <c r="E634" t="s">
        <v>66</v>
      </c>
      <c r="F634" t="s">
        <v>34</v>
      </c>
      <c r="G634" t="s">
        <v>337</v>
      </c>
      <c r="H634" t="s">
        <v>53</v>
      </c>
      <c r="I634" t="s">
        <v>3149</v>
      </c>
      <c r="J634" t="s">
        <v>96</v>
      </c>
      <c r="K634" t="s">
        <v>97</v>
      </c>
      <c r="L634" t="s">
        <v>3150</v>
      </c>
      <c r="M634">
        <v>37.409999999999997</v>
      </c>
      <c r="N634">
        <v>77</v>
      </c>
      <c r="O634" t="s">
        <v>296</v>
      </c>
      <c r="P634" t="s">
        <v>142</v>
      </c>
      <c r="Q634" t="s">
        <v>428</v>
      </c>
      <c r="R634" t="s">
        <v>153</v>
      </c>
      <c r="S634" t="s">
        <v>45</v>
      </c>
      <c r="T634" t="s">
        <v>1339</v>
      </c>
      <c r="U634">
        <v>1717</v>
      </c>
      <c r="V634">
        <v>80</v>
      </c>
      <c r="W634">
        <v>2</v>
      </c>
      <c r="X634">
        <v>628.51</v>
      </c>
      <c r="Y634">
        <v>100.25</v>
      </c>
      <c r="Z634">
        <v>728.76</v>
      </c>
      <c r="AA634" t="s">
        <v>63</v>
      </c>
      <c r="AB634">
        <v>0</v>
      </c>
      <c r="AC634">
        <v>91.99</v>
      </c>
      <c r="AD634">
        <v>225</v>
      </c>
      <c r="AE634">
        <v>197</v>
      </c>
    </row>
    <row r="635" spans="1:31" x14ac:dyDescent="0.25">
      <c r="A635" t="s">
        <v>3151</v>
      </c>
      <c r="B635" t="s">
        <v>3152</v>
      </c>
      <c r="C635" s="1">
        <v>45411</v>
      </c>
      <c r="D635" s="1">
        <v>45399</v>
      </c>
      <c r="E635" t="s">
        <v>33</v>
      </c>
      <c r="F635" t="s">
        <v>147</v>
      </c>
      <c r="G635" t="s">
        <v>35</v>
      </c>
      <c r="H635" t="s">
        <v>53</v>
      </c>
      <c r="I635" t="s">
        <v>3153</v>
      </c>
      <c r="J635" t="s">
        <v>82</v>
      </c>
      <c r="K635" t="s">
        <v>56</v>
      </c>
      <c r="L635" t="s">
        <v>3154</v>
      </c>
      <c r="M635">
        <v>321.05</v>
      </c>
      <c r="N635">
        <v>80</v>
      </c>
      <c r="O635" t="s">
        <v>2624</v>
      </c>
      <c r="P635" t="s">
        <v>86</v>
      </c>
      <c r="Q635" t="s">
        <v>315</v>
      </c>
      <c r="R635" t="s">
        <v>44</v>
      </c>
      <c r="S635" t="s">
        <v>101</v>
      </c>
      <c r="T635" t="s">
        <v>636</v>
      </c>
      <c r="U635">
        <v>1568</v>
      </c>
      <c r="V635">
        <v>447</v>
      </c>
      <c r="W635">
        <v>3</v>
      </c>
      <c r="X635">
        <v>509.65</v>
      </c>
      <c r="Y635">
        <v>218.12</v>
      </c>
      <c r="Z635">
        <v>727.77</v>
      </c>
      <c r="AA635" t="s">
        <v>63</v>
      </c>
      <c r="AB635">
        <v>0</v>
      </c>
      <c r="AC635">
        <v>90.88</v>
      </c>
      <c r="AD635">
        <v>485</v>
      </c>
      <c r="AE635">
        <v>512</v>
      </c>
    </row>
    <row r="636" spans="1:31" x14ac:dyDescent="0.25">
      <c r="A636" t="s">
        <v>3155</v>
      </c>
      <c r="B636" t="s">
        <v>3156</v>
      </c>
      <c r="C636" s="1">
        <v>43848</v>
      </c>
      <c r="D636" s="1">
        <v>44158</v>
      </c>
      <c r="E636" t="s">
        <v>66</v>
      </c>
      <c r="F636" t="s">
        <v>93</v>
      </c>
      <c r="G636" t="s">
        <v>35</v>
      </c>
      <c r="H636" t="s">
        <v>53</v>
      </c>
      <c r="I636" t="s">
        <v>3157</v>
      </c>
      <c r="J636" t="s">
        <v>38</v>
      </c>
      <c r="K636" t="s">
        <v>39</v>
      </c>
      <c r="L636" t="s">
        <v>3158</v>
      </c>
      <c r="M636">
        <v>396.34</v>
      </c>
      <c r="N636">
        <v>31</v>
      </c>
      <c r="O636" t="s">
        <v>888</v>
      </c>
      <c r="P636" t="s">
        <v>86</v>
      </c>
      <c r="Q636" t="s">
        <v>421</v>
      </c>
      <c r="R636" t="s">
        <v>153</v>
      </c>
      <c r="S636" t="s">
        <v>128</v>
      </c>
      <c r="T636" t="s">
        <v>255</v>
      </c>
      <c r="U636">
        <v>4475</v>
      </c>
      <c r="V636">
        <v>303</v>
      </c>
      <c r="W636">
        <v>18</v>
      </c>
      <c r="X636">
        <v>619.54999999999995</v>
      </c>
      <c r="Y636">
        <v>403.03</v>
      </c>
      <c r="Z636">
        <v>1022.58</v>
      </c>
      <c r="AA636" t="s">
        <v>63</v>
      </c>
      <c r="AB636">
        <v>0</v>
      </c>
      <c r="AC636">
        <v>92.62</v>
      </c>
      <c r="AD636">
        <v>416</v>
      </c>
      <c r="AE636">
        <v>445</v>
      </c>
    </row>
    <row r="637" spans="1:31" x14ac:dyDescent="0.25">
      <c r="A637" t="s">
        <v>3159</v>
      </c>
      <c r="B637" t="s">
        <v>3160</v>
      </c>
      <c r="C637" s="1">
        <v>44903</v>
      </c>
      <c r="D637" s="1">
        <v>44050</v>
      </c>
      <c r="E637" t="s">
        <v>66</v>
      </c>
      <c r="F637" t="s">
        <v>51</v>
      </c>
      <c r="G637" t="s">
        <v>35</v>
      </c>
      <c r="H637" t="s">
        <v>68</v>
      </c>
      <c r="I637" t="s">
        <v>3161</v>
      </c>
      <c r="J637" t="s">
        <v>38</v>
      </c>
      <c r="K637" t="s">
        <v>56</v>
      </c>
      <c r="L637" t="s">
        <v>3162</v>
      </c>
      <c r="M637">
        <v>378.94</v>
      </c>
      <c r="N637">
        <v>82</v>
      </c>
      <c r="O637" t="s">
        <v>3163</v>
      </c>
      <c r="P637" t="s">
        <v>86</v>
      </c>
      <c r="Q637" t="s">
        <v>290</v>
      </c>
      <c r="R637" t="s">
        <v>44</v>
      </c>
      <c r="S637" t="s">
        <v>74</v>
      </c>
      <c r="T637" t="s">
        <v>508</v>
      </c>
      <c r="U637">
        <v>2027</v>
      </c>
      <c r="V637">
        <v>376</v>
      </c>
      <c r="W637">
        <v>25</v>
      </c>
      <c r="X637">
        <v>713.29</v>
      </c>
      <c r="Y637">
        <v>119.9</v>
      </c>
      <c r="Z637">
        <v>833.18999999999994</v>
      </c>
      <c r="AA637" t="s">
        <v>63</v>
      </c>
      <c r="AB637">
        <v>0</v>
      </c>
      <c r="AC637">
        <v>95.91</v>
      </c>
      <c r="AD637">
        <v>356</v>
      </c>
      <c r="AE637">
        <v>330</v>
      </c>
    </row>
    <row r="638" spans="1:31" x14ac:dyDescent="0.25">
      <c r="A638" t="s">
        <v>3164</v>
      </c>
      <c r="B638" t="s">
        <v>2583</v>
      </c>
      <c r="C638" s="1">
        <v>44927</v>
      </c>
      <c r="D638" s="1">
        <v>44304</v>
      </c>
      <c r="E638" t="s">
        <v>50</v>
      </c>
      <c r="F638" t="s">
        <v>93</v>
      </c>
      <c r="G638" t="s">
        <v>67</v>
      </c>
      <c r="H638" t="s">
        <v>218</v>
      </c>
      <c r="I638" t="s">
        <v>3165</v>
      </c>
      <c r="J638" t="s">
        <v>107</v>
      </c>
      <c r="K638" t="s">
        <v>83</v>
      </c>
      <c r="L638" t="s">
        <v>3166</v>
      </c>
      <c r="M638">
        <v>119.51</v>
      </c>
      <c r="N638">
        <v>11</v>
      </c>
      <c r="O638" t="s">
        <v>3167</v>
      </c>
      <c r="P638" t="s">
        <v>59</v>
      </c>
      <c r="Q638" t="s">
        <v>428</v>
      </c>
      <c r="R638" t="s">
        <v>61</v>
      </c>
      <c r="S638" t="s">
        <v>45</v>
      </c>
      <c r="T638" t="s">
        <v>121</v>
      </c>
      <c r="U638">
        <v>3425</v>
      </c>
      <c r="V638">
        <v>340</v>
      </c>
      <c r="W638">
        <v>19</v>
      </c>
      <c r="X638">
        <v>1008.06</v>
      </c>
      <c r="Y638">
        <v>152.47</v>
      </c>
      <c r="Z638">
        <v>1160.53</v>
      </c>
      <c r="AA638" t="s">
        <v>63</v>
      </c>
      <c r="AB638">
        <v>0</v>
      </c>
      <c r="AC638">
        <v>84.44</v>
      </c>
      <c r="AD638">
        <v>176</v>
      </c>
      <c r="AE638">
        <v>172</v>
      </c>
    </row>
    <row r="639" spans="1:31" x14ac:dyDescent="0.25">
      <c r="A639" t="s">
        <v>3168</v>
      </c>
      <c r="B639" t="s">
        <v>3169</v>
      </c>
      <c r="C639" s="1">
        <v>45656</v>
      </c>
      <c r="D639" s="1">
        <v>44867</v>
      </c>
      <c r="E639" t="s">
        <v>50</v>
      </c>
      <c r="F639" t="s">
        <v>78</v>
      </c>
      <c r="G639" t="s">
        <v>79</v>
      </c>
      <c r="H639" t="s">
        <v>68</v>
      </c>
      <c r="I639" t="s">
        <v>3170</v>
      </c>
      <c r="J639" t="s">
        <v>96</v>
      </c>
      <c r="K639" t="s">
        <v>70</v>
      </c>
      <c r="L639" t="s">
        <v>3171</v>
      </c>
      <c r="M639">
        <v>405.96</v>
      </c>
      <c r="N639">
        <v>56</v>
      </c>
      <c r="O639" t="s">
        <v>334</v>
      </c>
      <c r="P639" t="s">
        <v>142</v>
      </c>
      <c r="Q639" t="s">
        <v>514</v>
      </c>
      <c r="R639" t="s">
        <v>153</v>
      </c>
      <c r="S639" t="s">
        <v>128</v>
      </c>
      <c r="T639" t="s">
        <v>183</v>
      </c>
      <c r="U639">
        <v>2396</v>
      </c>
      <c r="V639">
        <v>375</v>
      </c>
      <c r="W639">
        <v>19</v>
      </c>
      <c r="X639">
        <v>1966.33</v>
      </c>
      <c r="Y639">
        <v>125.53</v>
      </c>
      <c r="Z639">
        <v>2091.86</v>
      </c>
      <c r="AA639" t="s">
        <v>63</v>
      </c>
      <c r="AB639">
        <v>0</v>
      </c>
      <c r="AC639">
        <v>90.54</v>
      </c>
      <c r="AD639">
        <v>358</v>
      </c>
      <c r="AE639">
        <v>356</v>
      </c>
    </row>
    <row r="640" spans="1:31" x14ac:dyDescent="0.25">
      <c r="A640" t="s">
        <v>3172</v>
      </c>
      <c r="B640" t="s">
        <v>3173</v>
      </c>
      <c r="C640" s="1">
        <v>45421</v>
      </c>
      <c r="D640" s="1">
        <v>45562</v>
      </c>
      <c r="E640" t="s">
        <v>50</v>
      </c>
      <c r="F640" t="s">
        <v>34</v>
      </c>
      <c r="G640" t="s">
        <v>67</v>
      </c>
      <c r="H640" t="s">
        <v>53</v>
      </c>
      <c r="I640" t="s">
        <v>3174</v>
      </c>
      <c r="J640" t="s">
        <v>107</v>
      </c>
      <c r="K640" t="s">
        <v>97</v>
      </c>
      <c r="L640" t="s">
        <v>3175</v>
      </c>
      <c r="M640">
        <v>29.84</v>
      </c>
      <c r="N640">
        <v>49</v>
      </c>
      <c r="O640" t="s">
        <v>957</v>
      </c>
      <c r="P640" t="s">
        <v>86</v>
      </c>
      <c r="Q640" t="s">
        <v>168</v>
      </c>
      <c r="R640" t="s">
        <v>61</v>
      </c>
      <c r="S640" t="s">
        <v>45</v>
      </c>
      <c r="T640" t="s">
        <v>203</v>
      </c>
      <c r="U640">
        <v>1520</v>
      </c>
      <c r="V640">
        <v>246</v>
      </c>
      <c r="W640">
        <v>17</v>
      </c>
      <c r="X640">
        <v>1910.21</v>
      </c>
      <c r="Y640">
        <v>136.76</v>
      </c>
      <c r="Z640">
        <v>2046.97</v>
      </c>
      <c r="AA640" t="s">
        <v>47</v>
      </c>
      <c r="AB640">
        <v>11</v>
      </c>
      <c r="AC640">
        <v>89.92</v>
      </c>
      <c r="AD640">
        <v>171</v>
      </c>
      <c r="AE640">
        <v>204</v>
      </c>
    </row>
    <row r="641" spans="1:31" x14ac:dyDescent="0.25">
      <c r="A641" t="s">
        <v>3176</v>
      </c>
      <c r="B641" t="s">
        <v>3177</v>
      </c>
      <c r="C641" s="1">
        <v>43916</v>
      </c>
      <c r="D641" s="1">
        <v>45365</v>
      </c>
      <c r="E641" t="s">
        <v>66</v>
      </c>
      <c r="F641" t="s">
        <v>147</v>
      </c>
      <c r="G641" t="s">
        <v>35</v>
      </c>
      <c r="H641" t="s">
        <v>116</v>
      </c>
      <c r="I641" t="s">
        <v>3178</v>
      </c>
      <c r="J641" t="s">
        <v>82</v>
      </c>
      <c r="K641" t="s">
        <v>39</v>
      </c>
      <c r="L641" t="s">
        <v>3179</v>
      </c>
      <c r="M641">
        <v>75.489999999999995</v>
      </c>
      <c r="N641">
        <v>43</v>
      </c>
      <c r="O641" t="s">
        <v>3180</v>
      </c>
      <c r="P641" t="s">
        <v>142</v>
      </c>
      <c r="Q641" t="s">
        <v>461</v>
      </c>
      <c r="R641" t="s">
        <v>88</v>
      </c>
      <c r="S641" t="s">
        <v>74</v>
      </c>
      <c r="T641" t="s">
        <v>559</v>
      </c>
      <c r="U641">
        <v>1155</v>
      </c>
      <c r="V641">
        <v>360</v>
      </c>
      <c r="W641">
        <v>15</v>
      </c>
      <c r="X641">
        <v>1953.5</v>
      </c>
      <c r="Y641">
        <v>337.27</v>
      </c>
      <c r="Z641">
        <v>2290.77</v>
      </c>
      <c r="AA641" t="s">
        <v>63</v>
      </c>
      <c r="AB641">
        <v>0</v>
      </c>
      <c r="AC641">
        <v>88.37</v>
      </c>
      <c r="AD641">
        <v>151</v>
      </c>
      <c r="AE641">
        <v>129</v>
      </c>
    </row>
    <row r="642" spans="1:31" x14ac:dyDescent="0.25">
      <c r="A642" t="s">
        <v>3181</v>
      </c>
      <c r="B642" t="s">
        <v>3182</v>
      </c>
      <c r="C642" s="1">
        <v>44133</v>
      </c>
      <c r="D642" s="1">
        <v>44235</v>
      </c>
      <c r="E642" t="s">
        <v>66</v>
      </c>
      <c r="F642" t="s">
        <v>147</v>
      </c>
      <c r="G642" t="s">
        <v>115</v>
      </c>
      <c r="H642" t="s">
        <v>164</v>
      </c>
      <c r="I642" t="s">
        <v>3183</v>
      </c>
      <c r="J642" t="s">
        <v>96</v>
      </c>
      <c r="K642" t="s">
        <v>97</v>
      </c>
      <c r="L642" t="s">
        <v>3184</v>
      </c>
      <c r="M642">
        <v>275.60000000000002</v>
      </c>
      <c r="N642">
        <v>67</v>
      </c>
      <c r="O642" t="s">
        <v>3185</v>
      </c>
      <c r="P642" t="s">
        <v>110</v>
      </c>
      <c r="Q642" t="s">
        <v>127</v>
      </c>
      <c r="R642" t="s">
        <v>44</v>
      </c>
      <c r="S642" t="s">
        <v>128</v>
      </c>
      <c r="T642" t="s">
        <v>652</v>
      </c>
      <c r="U642">
        <v>811</v>
      </c>
      <c r="V642">
        <v>319</v>
      </c>
      <c r="W642">
        <v>29</v>
      </c>
      <c r="X642">
        <v>1751.11</v>
      </c>
      <c r="Y642">
        <v>301.08</v>
      </c>
      <c r="Z642">
        <v>2052.19</v>
      </c>
      <c r="AA642" t="s">
        <v>63</v>
      </c>
      <c r="AB642">
        <v>0</v>
      </c>
      <c r="AC642">
        <v>81.77</v>
      </c>
      <c r="AD642">
        <v>129</v>
      </c>
      <c r="AE642">
        <v>93</v>
      </c>
    </row>
    <row r="643" spans="1:31" x14ac:dyDescent="0.25">
      <c r="A643" t="s">
        <v>3186</v>
      </c>
      <c r="B643" t="s">
        <v>3187</v>
      </c>
      <c r="C643" s="1">
        <v>44986</v>
      </c>
      <c r="D643" s="1">
        <v>44869</v>
      </c>
      <c r="E643" t="s">
        <v>66</v>
      </c>
      <c r="F643" t="s">
        <v>147</v>
      </c>
      <c r="G643" t="s">
        <v>67</v>
      </c>
      <c r="H643" t="s">
        <v>68</v>
      </c>
      <c r="I643" t="s">
        <v>3188</v>
      </c>
      <c r="J643" t="s">
        <v>38</v>
      </c>
      <c r="K643" t="s">
        <v>97</v>
      </c>
      <c r="L643" t="s">
        <v>3189</v>
      </c>
      <c r="M643">
        <v>203.98</v>
      </c>
      <c r="N643">
        <v>71</v>
      </c>
      <c r="O643" t="s">
        <v>1092</v>
      </c>
      <c r="P643" t="s">
        <v>142</v>
      </c>
      <c r="Q643" t="s">
        <v>706</v>
      </c>
      <c r="R643" t="s">
        <v>153</v>
      </c>
      <c r="S643" t="s">
        <v>45</v>
      </c>
      <c r="T643" t="s">
        <v>196</v>
      </c>
      <c r="U643">
        <v>742</v>
      </c>
      <c r="V643">
        <v>416</v>
      </c>
      <c r="W643">
        <v>21</v>
      </c>
      <c r="X643">
        <v>1950.98</v>
      </c>
      <c r="Y643">
        <v>187.82</v>
      </c>
      <c r="Z643">
        <v>2138.8000000000002</v>
      </c>
      <c r="AA643" t="s">
        <v>63</v>
      </c>
      <c r="AB643">
        <v>0</v>
      </c>
      <c r="AC643">
        <v>98.06</v>
      </c>
      <c r="AD643">
        <v>458</v>
      </c>
      <c r="AE643">
        <v>453</v>
      </c>
    </row>
    <row r="644" spans="1:31" x14ac:dyDescent="0.25">
      <c r="A644" t="s">
        <v>3190</v>
      </c>
      <c r="B644" t="s">
        <v>3191</v>
      </c>
      <c r="C644" s="1">
        <v>45314</v>
      </c>
      <c r="D644" s="1">
        <v>45171</v>
      </c>
      <c r="E644" t="s">
        <v>66</v>
      </c>
      <c r="F644" t="s">
        <v>78</v>
      </c>
      <c r="G644" t="s">
        <v>35</v>
      </c>
      <c r="H644" t="s">
        <v>80</v>
      </c>
      <c r="I644" t="s">
        <v>3192</v>
      </c>
      <c r="J644" t="s">
        <v>96</v>
      </c>
      <c r="K644" t="s">
        <v>70</v>
      </c>
      <c r="L644" t="s">
        <v>3193</v>
      </c>
      <c r="M644">
        <v>45.22</v>
      </c>
      <c r="N644">
        <v>27</v>
      </c>
      <c r="O644" t="s">
        <v>2521</v>
      </c>
      <c r="P644" t="s">
        <v>142</v>
      </c>
      <c r="Q644" t="s">
        <v>160</v>
      </c>
      <c r="R644" t="s">
        <v>44</v>
      </c>
      <c r="S644" t="s">
        <v>74</v>
      </c>
      <c r="T644" t="s">
        <v>183</v>
      </c>
      <c r="U644">
        <v>2622</v>
      </c>
      <c r="V644">
        <v>224</v>
      </c>
      <c r="W644">
        <v>19</v>
      </c>
      <c r="X644">
        <v>1078.24</v>
      </c>
      <c r="Y644">
        <v>70.180000000000007</v>
      </c>
      <c r="Z644">
        <v>1148.42</v>
      </c>
      <c r="AA644" t="s">
        <v>63</v>
      </c>
      <c r="AB644">
        <v>0</v>
      </c>
      <c r="AC644">
        <v>78.150000000000006</v>
      </c>
      <c r="AD644">
        <v>171</v>
      </c>
      <c r="AE644">
        <v>164</v>
      </c>
    </row>
    <row r="645" spans="1:31" x14ac:dyDescent="0.25">
      <c r="A645" t="s">
        <v>3194</v>
      </c>
      <c r="B645" t="s">
        <v>3195</v>
      </c>
      <c r="C645" s="1">
        <v>44858</v>
      </c>
      <c r="D645" s="1">
        <v>45326</v>
      </c>
      <c r="E645" t="s">
        <v>33</v>
      </c>
      <c r="F645" t="s">
        <v>51</v>
      </c>
      <c r="G645" t="s">
        <v>52</v>
      </c>
      <c r="H645" t="s">
        <v>148</v>
      </c>
      <c r="I645" t="s">
        <v>3196</v>
      </c>
      <c r="J645" t="s">
        <v>38</v>
      </c>
      <c r="K645" t="s">
        <v>70</v>
      </c>
      <c r="L645" t="s">
        <v>3197</v>
      </c>
      <c r="M645">
        <v>57.33</v>
      </c>
      <c r="N645">
        <v>54</v>
      </c>
      <c r="O645" t="s">
        <v>3198</v>
      </c>
      <c r="P645" t="s">
        <v>86</v>
      </c>
      <c r="Q645" t="s">
        <v>322</v>
      </c>
      <c r="R645" t="s">
        <v>88</v>
      </c>
      <c r="S645" t="s">
        <v>45</v>
      </c>
      <c r="T645" t="s">
        <v>262</v>
      </c>
      <c r="U645">
        <v>2261</v>
      </c>
      <c r="V645">
        <v>262</v>
      </c>
      <c r="W645">
        <v>1</v>
      </c>
      <c r="X645">
        <v>628.4</v>
      </c>
      <c r="Y645">
        <v>26.92</v>
      </c>
      <c r="Z645">
        <v>655.31999999999994</v>
      </c>
      <c r="AA645" t="s">
        <v>63</v>
      </c>
      <c r="AB645">
        <v>0</v>
      </c>
      <c r="AC645">
        <v>84.54</v>
      </c>
      <c r="AD645">
        <v>307</v>
      </c>
      <c r="AE645">
        <v>269</v>
      </c>
    </row>
    <row r="646" spans="1:31" x14ac:dyDescent="0.25">
      <c r="A646" t="s">
        <v>3199</v>
      </c>
      <c r="B646" t="s">
        <v>3200</v>
      </c>
      <c r="C646" s="1">
        <v>44110</v>
      </c>
      <c r="D646" s="1">
        <v>44366</v>
      </c>
      <c r="E646" t="s">
        <v>66</v>
      </c>
      <c r="F646" t="s">
        <v>93</v>
      </c>
      <c r="G646" t="s">
        <v>105</v>
      </c>
      <c r="H646" t="s">
        <v>116</v>
      </c>
      <c r="I646" t="s">
        <v>3201</v>
      </c>
      <c r="J646" t="s">
        <v>107</v>
      </c>
      <c r="K646" t="s">
        <v>70</v>
      </c>
      <c r="L646" t="s">
        <v>3202</v>
      </c>
      <c r="M646">
        <v>64.17</v>
      </c>
      <c r="N646">
        <v>35</v>
      </c>
      <c r="O646" t="s">
        <v>3203</v>
      </c>
      <c r="P646" t="s">
        <v>42</v>
      </c>
      <c r="Q646" t="s">
        <v>143</v>
      </c>
      <c r="R646" t="s">
        <v>44</v>
      </c>
      <c r="S646" t="s">
        <v>101</v>
      </c>
      <c r="T646" t="s">
        <v>405</v>
      </c>
      <c r="U646">
        <v>4749</v>
      </c>
      <c r="V646">
        <v>62</v>
      </c>
      <c r="W646">
        <v>21</v>
      </c>
      <c r="X646">
        <v>852.42</v>
      </c>
      <c r="Y646">
        <v>38.75</v>
      </c>
      <c r="Z646">
        <v>891.17</v>
      </c>
      <c r="AA646" t="s">
        <v>63</v>
      </c>
      <c r="AB646">
        <v>0</v>
      </c>
      <c r="AC646">
        <v>80.47</v>
      </c>
      <c r="AD646">
        <v>356</v>
      </c>
      <c r="AE646">
        <v>337</v>
      </c>
    </row>
    <row r="647" spans="1:31" x14ac:dyDescent="0.25">
      <c r="A647" t="s">
        <v>3204</v>
      </c>
      <c r="B647" t="s">
        <v>3205</v>
      </c>
      <c r="C647" s="1">
        <v>44887</v>
      </c>
      <c r="D647" s="1">
        <v>44527</v>
      </c>
      <c r="E647" t="s">
        <v>66</v>
      </c>
      <c r="F647" t="s">
        <v>51</v>
      </c>
      <c r="G647" t="s">
        <v>67</v>
      </c>
      <c r="H647" t="s">
        <v>68</v>
      </c>
      <c r="I647" t="s">
        <v>3206</v>
      </c>
      <c r="J647" t="s">
        <v>55</v>
      </c>
      <c r="K647" t="s">
        <v>70</v>
      </c>
      <c r="L647" t="s">
        <v>3207</v>
      </c>
      <c r="M647">
        <v>269.12</v>
      </c>
      <c r="N647">
        <v>28</v>
      </c>
      <c r="O647" t="s">
        <v>3208</v>
      </c>
      <c r="P647" t="s">
        <v>42</v>
      </c>
      <c r="Q647" t="s">
        <v>214</v>
      </c>
      <c r="R647" t="s">
        <v>61</v>
      </c>
      <c r="S647" t="s">
        <v>101</v>
      </c>
      <c r="T647" t="s">
        <v>161</v>
      </c>
      <c r="U647">
        <v>4118</v>
      </c>
      <c r="V647">
        <v>192</v>
      </c>
      <c r="W647">
        <v>21</v>
      </c>
      <c r="X647">
        <v>1128.6099999999999</v>
      </c>
      <c r="Y647">
        <v>30.65</v>
      </c>
      <c r="Z647">
        <v>1159.26</v>
      </c>
      <c r="AA647" t="s">
        <v>63</v>
      </c>
      <c r="AB647">
        <v>0</v>
      </c>
      <c r="AC647">
        <v>99.39</v>
      </c>
      <c r="AD647">
        <v>79</v>
      </c>
      <c r="AE647">
        <v>45</v>
      </c>
    </row>
    <row r="648" spans="1:31" x14ac:dyDescent="0.25">
      <c r="A648" t="s">
        <v>3209</v>
      </c>
      <c r="B648" t="s">
        <v>3210</v>
      </c>
      <c r="C648" s="1">
        <v>44783</v>
      </c>
      <c r="D648" s="1">
        <v>45282</v>
      </c>
      <c r="E648" t="s">
        <v>50</v>
      </c>
      <c r="F648" t="s">
        <v>51</v>
      </c>
      <c r="G648" t="s">
        <v>105</v>
      </c>
      <c r="H648" t="s">
        <v>36</v>
      </c>
      <c r="I648" t="s">
        <v>3211</v>
      </c>
      <c r="J648" t="s">
        <v>96</v>
      </c>
      <c r="K648" t="s">
        <v>39</v>
      </c>
      <c r="L648" t="s">
        <v>3212</v>
      </c>
      <c r="M648">
        <v>125.26</v>
      </c>
      <c r="N648">
        <v>55</v>
      </c>
      <c r="O648" t="s">
        <v>1043</v>
      </c>
      <c r="P648" t="s">
        <v>59</v>
      </c>
      <c r="Q648" t="s">
        <v>127</v>
      </c>
      <c r="R648" t="s">
        <v>44</v>
      </c>
      <c r="S648" t="s">
        <v>101</v>
      </c>
      <c r="T648" t="s">
        <v>235</v>
      </c>
      <c r="U648">
        <v>2441</v>
      </c>
      <c r="V648">
        <v>133</v>
      </c>
      <c r="W648">
        <v>27</v>
      </c>
      <c r="X648">
        <v>767.99</v>
      </c>
      <c r="Y648">
        <v>422.62</v>
      </c>
      <c r="Z648">
        <v>1190.6099999999999</v>
      </c>
      <c r="AA648" t="s">
        <v>63</v>
      </c>
      <c r="AB648">
        <v>0</v>
      </c>
      <c r="AC648">
        <v>92.57</v>
      </c>
      <c r="AD648">
        <v>314</v>
      </c>
      <c r="AE648">
        <v>279</v>
      </c>
    </row>
    <row r="649" spans="1:31" x14ac:dyDescent="0.25">
      <c r="A649" t="s">
        <v>3213</v>
      </c>
      <c r="B649" t="s">
        <v>3214</v>
      </c>
      <c r="C649" s="1">
        <v>44917</v>
      </c>
      <c r="D649" s="1">
        <v>44342</v>
      </c>
      <c r="E649" t="s">
        <v>66</v>
      </c>
      <c r="F649" t="s">
        <v>78</v>
      </c>
      <c r="G649" t="s">
        <v>67</v>
      </c>
      <c r="H649" t="s">
        <v>36</v>
      </c>
      <c r="I649" t="s">
        <v>3215</v>
      </c>
      <c r="J649" t="s">
        <v>55</v>
      </c>
      <c r="K649" t="s">
        <v>39</v>
      </c>
      <c r="L649" t="s">
        <v>3216</v>
      </c>
      <c r="M649">
        <v>399.09</v>
      </c>
      <c r="N649">
        <v>70</v>
      </c>
      <c r="O649" t="s">
        <v>3217</v>
      </c>
      <c r="P649" t="s">
        <v>110</v>
      </c>
      <c r="Q649" t="s">
        <v>328</v>
      </c>
      <c r="R649" t="s">
        <v>61</v>
      </c>
      <c r="S649" t="s">
        <v>101</v>
      </c>
      <c r="T649" t="s">
        <v>169</v>
      </c>
      <c r="U649">
        <v>1493</v>
      </c>
      <c r="V649">
        <v>418</v>
      </c>
      <c r="W649">
        <v>21</v>
      </c>
      <c r="X649">
        <v>1592.27</v>
      </c>
      <c r="Y649">
        <v>320.58999999999997</v>
      </c>
      <c r="Z649">
        <v>1912.86</v>
      </c>
      <c r="AA649" t="s">
        <v>63</v>
      </c>
      <c r="AB649">
        <v>0</v>
      </c>
      <c r="AC649">
        <v>98.08</v>
      </c>
      <c r="AD649">
        <v>480</v>
      </c>
      <c r="AE649">
        <v>471</v>
      </c>
    </row>
    <row r="650" spans="1:31" x14ac:dyDescent="0.25">
      <c r="A650" t="s">
        <v>3218</v>
      </c>
      <c r="B650" t="s">
        <v>3219</v>
      </c>
      <c r="C650" s="1">
        <v>45003</v>
      </c>
      <c r="D650" s="1">
        <v>45511</v>
      </c>
      <c r="E650" t="s">
        <v>33</v>
      </c>
      <c r="F650" t="s">
        <v>147</v>
      </c>
      <c r="G650" t="s">
        <v>79</v>
      </c>
      <c r="H650" t="s">
        <v>218</v>
      </c>
      <c r="I650" t="s">
        <v>3220</v>
      </c>
      <c r="J650" t="s">
        <v>107</v>
      </c>
      <c r="K650" t="s">
        <v>56</v>
      </c>
      <c r="L650" t="s">
        <v>2534</v>
      </c>
      <c r="M650">
        <v>206.16</v>
      </c>
      <c r="N650">
        <v>85</v>
      </c>
      <c r="O650" t="s">
        <v>2503</v>
      </c>
      <c r="P650" t="s">
        <v>59</v>
      </c>
      <c r="Q650" t="s">
        <v>371</v>
      </c>
      <c r="R650" t="s">
        <v>61</v>
      </c>
      <c r="S650" t="s">
        <v>45</v>
      </c>
      <c r="T650" t="s">
        <v>642</v>
      </c>
      <c r="U650">
        <v>3018</v>
      </c>
      <c r="V650">
        <v>441</v>
      </c>
      <c r="W650">
        <v>18</v>
      </c>
      <c r="X650">
        <v>1769.19</v>
      </c>
      <c r="Y650">
        <v>211.68</v>
      </c>
      <c r="Z650">
        <v>1980.87</v>
      </c>
      <c r="AA650" t="s">
        <v>63</v>
      </c>
      <c r="AB650">
        <v>0</v>
      </c>
      <c r="AC650">
        <v>77.2</v>
      </c>
      <c r="AD650">
        <v>85</v>
      </c>
      <c r="AE650">
        <v>76</v>
      </c>
    </row>
    <row r="651" spans="1:31" x14ac:dyDescent="0.25">
      <c r="A651" t="s">
        <v>3221</v>
      </c>
      <c r="B651" t="s">
        <v>3222</v>
      </c>
      <c r="C651" s="1">
        <v>44414</v>
      </c>
      <c r="D651" s="1">
        <v>45281</v>
      </c>
      <c r="E651" t="s">
        <v>50</v>
      </c>
      <c r="F651" t="s">
        <v>93</v>
      </c>
      <c r="G651" t="s">
        <v>52</v>
      </c>
      <c r="H651" t="s">
        <v>68</v>
      </c>
      <c r="I651" t="s">
        <v>3223</v>
      </c>
      <c r="J651" t="s">
        <v>55</v>
      </c>
      <c r="K651" t="s">
        <v>39</v>
      </c>
      <c r="L651" t="s">
        <v>3224</v>
      </c>
      <c r="M651">
        <v>25.38</v>
      </c>
      <c r="N651">
        <v>51</v>
      </c>
      <c r="O651" t="s">
        <v>1427</v>
      </c>
      <c r="P651" t="s">
        <v>110</v>
      </c>
      <c r="Q651" t="s">
        <v>120</v>
      </c>
      <c r="R651" t="s">
        <v>153</v>
      </c>
      <c r="S651" t="s">
        <v>101</v>
      </c>
      <c r="T651" t="s">
        <v>939</v>
      </c>
      <c r="U651">
        <v>2094</v>
      </c>
      <c r="V651">
        <v>456</v>
      </c>
      <c r="W651">
        <v>3</v>
      </c>
      <c r="X651">
        <v>1514.06</v>
      </c>
      <c r="Y651">
        <v>168.17</v>
      </c>
      <c r="Z651">
        <v>1682.23</v>
      </c>
      <c r="AA651" t="s">
        <v>63</v>
      </c>
      <c r="AB651">
        <v>0</v>
      </c>
      <c r="AC651">
        <v>89.26</v>
      </c>
      <c r="AD651">
        <v>179</v>
      </c>
      <c r="AE651">
        <v>196</v>
      </c>
    </row>
    <row r="652" spans="1:31" x14ac:dyDescent="0.25">
      <c r="A652" t="s">
        <v>3225</v>
      </c>
      <c r="B652" t="s">
        <v>3226</v>
      </c>
      <c r="C652" s="1">
        <v>44161</v>
      </c>
      <c r="D652" s="1">
        <v>44550</v>
      </c>
      <c r="E652" t="s">
        <v>66</v>
      </c>
      <c r="F652" t="s">
        <v>34</v>
      </c>
      <c r="G652" t="s">
        <v>94</v>
      </c>
      <c r="H652" t="s">
        <v>218</v>
      </c>
      <c r="I652" t="s">
        <v>3227</v>
      </c>
      <c r="J652" t="s">
        <v>55</v>
      </c>
      <c r="K652" t="s">
        <v>83</v>
      </c>
      <c r="L652" t="s">
        <v>3228</v>
      </c>
      <c r="M652">
        <v>181.96</v>
      </c>
      <c r="N652">
        <v>41</v>
      </c>
      <c r="O652" t="s">
        <v>272</v>
      </c>
      <c r="P652" t="s">
        <v>86</v>
      </c>
      <c r="Q652" t="s">
        <v>383</v>
      </c>
      <c r="R652" t="s">
        <v>88</v>
      </c>
      <c r="S652" t="s">
        <v>128</v>
      </c>
      <c r="T652" t="s">
        <v>636</v>
      </c>
      <c r="U652">
        <v>2369</v>
      </c>
      <c r="V652">
        <v>70</v>
      </c>
      <c r="W652">
        <v>27</v>
      </c>
      <c r="X652">
        <v>1223.1400000000001</v>
      </c>
      <c r="Y652">
        <v>97.63</v>
      </c>
      <c r="Z652">
        <v>1320.77</v>
      </c>
      <c r="AA652" t="s">
        <v>63</v>
      </c>
      <c r="AB652">
        <v>0</v>
      </c>
      <c r="AC652">
        <v>99.92</v>
      </c>
      <c r="AD652">
        <v>155</v>
      </c>
      <c r="AE652">
        <v>121</v>
      </c>
    </row>
    <row r="653" spans="1:31" x14ac:dyDescent="0.25">
      <c r="A653" t="s">
        <v>3229</v>
      </c>
      <c r="B653" t="s">
        <v>3230</v>
      </c>
      <c r="C653" s="1">
        <v>44915</v>
      </c>
      <c r="D653" s="1">
        <v>45409</v>
      </c>
      <c r="E653" t="s">
        <v>33</v>
      </c>
      <c r="F653" t="s">
        <v>34</v>
      </c>
      <c r="G653" t="s">
        <v>115</v>
      </c>
      <c r="H653" t="s">
        <v>164</v>
      </c>
      <c r="I653" t="s">
        <v>3231</v>
      </c>
      <c r="J653" t="s">
        <v>82</v>
      </c>
      <c r="K653" t="s">
        <v>97</v>
      </c>
      <c r="L653" t="s">
        <v>3232</v>
      </c>
      <c r="M653">
        <v>407.9</v>
      </c>
      <c r="N653">
        <v>62</v>
      </c>
      <c r="O653" t="s">
        <v>3233</v>
      </c>
      <c r="P653" t="s">
        <v>86</v>
      </c>
      <c r="Q653" t="s">
        <v>111</v>
      </c>
      <c r="R653" t="s">
        <v>61</v>
      </c>
      <c r="S653" t="s">
        <v>89</v>
      </c>
      <c r="T653" t="s">
        <v>1339</v>
      </c>
      <c r="U653">
        <v>856</v>
      </c>
      <c r="V653">
        <v>380</v>
      </c>
      <c r="W653">
        <v>8</v>
      </c>
      <c r="X653">
        <v>907</v>
      </c>
      <c r="Y653">
        <v>48.93</v>
      </c>
      <c r="Z653">
        <v>955.93</v>
      </c>
      <c r="AA653" t="s">
        <v>63</v>
      </c>
      <c r="AB653">
        <v>0</v>
      </c>
      <c r="AC653">
        <v>95.27</v>
      </c>
      <c r="AD653">
        <v>256</v>
      </c>
      <c r="AE653">
        <v>287</v>
      </c>
    </row>
    <row r="654" spans="1:31" x14ac:dyDescent="0.25">
      <c r="A654" t="s">
        <v>3234</v>
      </c>
      <c r="B654" t="s">
        <v>3235</v>
      </c>
      <c r="C654" s="1">
        <v>45652</v>
      </c>
      <c r="D654" s="1">
        <v>45490</v>
      </c>
      <c r="E654" t="s">
        <v>50</v>
      </c>
      <c r="F654" t="s">
        <v>93</v>
      </c>
      <c r="G654" t="s">
        <v>67</v>
      </c>
      <c r="H654" t="s">
        <v>116</v>
      </c>
      <c r="I654" t="s">
        <v>3236</v>
      </c>
      <c r="J654" t="s">
        <v>55</v>
      </c>
      <c r="K654" t="s">
        <v>83</v>
      </c>
      <c r="L654" t="s">
        <v>2687</v>
      </c>
      <c r="M654">
        <v>75.73</v>
      </c>
      <c r="N654">
        <v>12</v>
      </c>
      <c r="O654" t="s">
        <v>1505</v>
      </c>
      <c r="P654" t="s">
        <v>42</v>
      </c>
      <c r="Q654" t="s">
        <v>684</v>
      </c>
      <c r="R654" t="s">
        <v>153</v>
      </c>
      <c r="S654" t="s">
        <v>74</v>
      </c>
      <c r="T654" t="s">
        <v>90</v>
      </c>
      <c r="U654">
        <v>4821</v>
      </c>
      <c r="V654">
        <v>350</v>
      </c>
      <c r="W654">
        <v>12</v>
      </c>
      <c r="X654">
        <v>1702.38</v>
      </c>
      <c r="Y654">
        <v>34.83</v>
      </c>
      <c r="Z654">
        <v>1737.21</v>
      </c>
      <c r="AA654" t="s">
        <v>63</v>
      </c>
      <c r="AB654">
        <v>0</v>
      </c>
      <c r="AC654">
        <v>81.16</v>
      </c>
      <c r="AD654">
        <v>442</v>
      </c>
      <c r="AE654">
        <v>441</v>
      </c>
    </row>
    <row r="655" spans="1:31" x14ac:dyDescent="0.25">
      <c r="A655" t="s">
        <v>3237</v>
      </c>
      <c r="B655" t="s">
        <v>3238</v>
      </c>
      <c r="C655" s="1">
        <v>44980</v>
      </c>
      <c r="D655" s="1">
        <v>44187</v>
      </c>
      <c r="E655" t="s">
        <v>66</v>
      </c>
      <c r="F655" t="s">
        <v>78</v>
      </c>
      <c r="G655" t="s">
        <v>337</v>
      </c>
      <c r="H655" t="s">
        <v>53</v>
      </c>
      <c r="I655" t="s">
        <v>3239</v>
      </c>
      <c r="J655" t="s">
        <v>82</v>
      </c>
      <c r="K655" t="s">
        <v>97</v>
      </c>
      <c r="L655" t="s">
        <v>3240</v>
      </c>
      <c r="M655">
        <v>486.61</v>
      </c>
      <c r="N655">
        <v>58</v>
      </c>
      <c r="O655" t="s">
        <v>1408</v>
      </c>
      <c r="P655" t="s">
        <v>59</v>
      </c>
      <c r="Q655" t="s">
        <v>202</v>
      </c>
      <c r="R655" t="s">
        <v>153</v>
      </c>
      <c r="S655" t="s">
        <v>89</v>
      </c>
      <c r="T655" t="s">
        <v>297</v>
      </c>
      <c r="U655">
        <v>1807</v>
      </c>
      <c r="V655">
        <v>487</v>
      </c>
      <c r="W655">
        <v>20</v>
      </c>
      <c r="X655">
        <v>255.05</v>
      </c>
      <c r="Y655">
        <v>393.12</v>
      </c>
      <c r="Z655">
        <v>648.17000000000007</v>
      </c>
      <c r="AA655" t="s">
        <v>63</v>
      </c>
      <c r="AB655">
        <v>0</v>
      </c>
      <c r="AC655">
        <v>95.8</v>
      </c>
      <c r="AD655">
        <v>412</v>
      </c>
      <c r="AE655">
        <v>422</v>
      </c>
    </row>
    <row r="656" spans="1:31" x14ac:dyDescent="0.25">
      <c r="A656" t="s">
        <v>3241</v>
      </c>
      <c r="B656" t="s">
        <v>3242</v>
      </c>
      <c r="C656" s="1">
        <v>45422</v>
      </c>
      <c r="D656" s="1">
        <v>45474</v>
      </c>
      <c r="E656" t="s">
        <v>66</v>
      </c>
      <c r="F656" t="s">
        <v>78</v>
      </c>
      <c r="G656" t="s">
        <v>52</v>
      </c>
      <c r="H656" t="s">
        <v>218</v>
      </c>
      <c r="I656" t="s">
        <v>3243</v>
      </c>
      <c r="J656" t="s">
        <v>96</v>
      </c>
      <c r="K656" t="s">
        <v>97</v>
      </c>
      <c r="L656" t="s">
        <v>3244</v>
      </c>
      <c r="M656">
        <v>481.76</v>
      </c>
      <c r="N656">
        <v>53</v>
      </c>
      <c r="O656" t="s">
        <v>2201</v>
      </c>
      <c r="P656" t="s">
        <v>42</v>
      </c>
      <c r="Q656" t="s">
        <v>182</v>
      </c>
      <c r="R656" t="s">
        <v>88</v>
      </c>
      <c r="S656" t="s">
        <v>74</v>
      </c>
      <c r="T656" t="s">
        <v>542</v>
      </c>
      <c r="U656">
        <v>2864</v>
      </c>
      <c r="V656">
        <v>482</v>
      </c>
      <c r="W656">
        <v>12</v>
      </c>
      <c r="X656">
        <v>1718.96</v>
      </c>
      <c r="Y656">
        <v>291.57</v>
      </c>
      <c r="Z656">
        <v>2010.53</v>
      </c>
      <c r="AA656" t="s">
        <v>63</v>
      </c>
      <c r="AB656">
        <v>0</v>
      </c>
      <c r="AC656">
        <v>71.290000000000006</v>
      </c>
      <c r="AD656">
        <v>146</v>
      </c>
      <c r="AE656">
        <v>186</v>
      </c>
    </row>
    <row r="657" spans="1:31" x14ac:dyDescent="0.25">
      <c r="A657" t="s">
        <v>3245</v>
      </c>
      <c r="B657" t="s">
        <v>3246</v>
      </c>
      <c r="C657" s="1">
        <v>45383</v>
      </c>
      <c r="D657" s="1">
        <v>45293</v>
      </c>
      <c r="E657" t="s">
        <v>66</v>
      </c>
      <c r="F657" t="s">
        <v>51</v>
      </c>
      <c r="G657" t="s">
        <v>115</v>
      </c>
      <c r="H657" t="s">
        <v>148</v>
      </c>
      <c r="I657" t="s">
        <v>3247</v>
      </c>
      <c r="J657" t="s">
        <v>107</v>
      </c>
      <c r="K657" t="s">
        <v>56</v>
      </c>
      <c r="L657" t="s">
        <v>3248</v>
      </c>
      <c r="M657">
        <v>97.52</v>
      </c>
      <c r="N657">
        <v>26</v>
      </c>
      <c r="O657" t="s">
        <v>1696</v>
      </c>
      <c r="P657" t="s">
        <v>59</v>
      </c>
      <c r="Q657" t="s">
        <v>684</v>
      </c>
      <c r="R657" t="s">
        <v>61</v>
      </c>
      <c r="S657" t="s">
        <v>45</v>
      </c>
      <c r="T657" t="s">
        <v>341</v>
      </c>
      <c r="U657">
        <v>1160</v>
      </c>
      <c r="V657">
        <v>332</v>
      </c>
      <c r="W657">
        <v>9</v>
      </c>
      <c r="X657">
        <v>893.68</v>
      </c>
      <c r="Y657">
        <v>241.95</v>
      </c>
      <c r="Z657">
        <v>1135.6300000000001</v>
      </c>
      <c r="AA657" t="s">
        <v>63</v>
      </c>
      <c r="AB657">
        <v>0</v>
      </c>
      <c r="AC657">
        <v>96.54</v>
      </c>
      <c r="AD657">
        <v>287</v>
      </c>
      <c r="AE657">
        <v>243</v>
      </c>
    </row>
    <row r="658" spans="1:31" x14ac:dyDescent="0.25">
      <c r="A658" t="s">
        <v>3249</v>
      </c>
      <c r="B658" t="s">
        <v>3250</v>
      </c>
      <c r="C658" s="1">
        <v>45564</v>
      </c>
      <c r="D658" s="1">
        <v>44858</v>
      </c>
      <c r="E658" t="s">
        <v>66</v>
      </c>
      <c r="F658" t="s">
        <v>51</v>
      </c>
      <c r="G658" t="s">
        <v>115</v>
      </c>
      <c r="H658" t="s">
        <v>218</v>
      </c>
      <c r="I658" t="s">
        <v>3251</v>
      </c>
      <c r="J658" t="s">
        <v>55</v>
      </c>
      <c r="K658" t="s">
        <v>83</v>
      </c>
      <c r="L658" t="s">
        <v>3252</v>
      </c>
      <c r="M658">
        <v>323.66000000000003</v>
      </c>
      <c r="N658">
        <v>60</v>
      </c>
      <c r="O658" t="s">
        <v>221</v>
      </c>
      <c r="P658" t="s">
        <v>110</v>
      </c>
      <c r="Q658" t="s">
        <v>234</v>
      </c>
      <c r="R658" t="s">
        <v>153</v>
      </c>
      <c r="S658" t="s">
        <v>128</v>
      </c>
      <c r="T658" t="s">
        <v>737</v>
      </c>
      <c r="U658">
        <v>4472</v>
      </c>
      <c r="V658">
        <v>96</v>
      </c>
      <c r="W658">
        <v>25</v>
      </c>
      <c r="X658">
        <v>1856.05</v>
      </c>
      <c r="Y658">
        <v>110.62</v>
      </c>
      <c r="Z658">
        <v>1966.67</v>
      </c>
      <c r="AA658" t="s">
        <v>63</v>
      </c>
      <c r="AB658">
        <v>0</v>
      </c>
      <c r="AC658">
        <v>86.12</v>
      </c>
      <c r="AD658">
        <v>427</v>
      </c>
      <c r="AE658">
        <v>461</v>
      </c>
    </row>
    <row r="659" spans="1:31" x14ac:dyDescent="0.25">
      <c r="A659" t="s">
        <v>3253</v>
      </c>
      <c r="B659" t="s">
        <v>3254</v>
      </c>
      <c r="C659" s="1">
        <v>44580</v>
      </c>
      <c r="D659" s="1">
        <v>44751</v>
      </c>
      <c r="E659" t="s">
        <v>50</v>
      </c>
      <c r="F659" t="s">
        <v>78</v>
      </c>
      <c r="G659" t="s">
        <v>52</v>
      </c>
      <c r="H659" t="s">
        <v>80</v>
      </c>
      <c r="I659" t="s">
        <v>3255</v>
      </c>
      <c r="J659" t="s">
        <v>82</v>
      </c>
      <c r="K659" t="s">
        <v>83</v>
      </c>
      <c r="L659" t="s">
        <v>3256</v>
      </c>
      <c r="M659">
        <v>124.41</v>
      </c>
      <c r="N659">
        <v>69</v>
      </c>
      <c r="O659" t="s">
        <v>1193</v>
      </c>
      <c r="P659" t="s">
        <v>110</v>
      </c>
      <c r="Q659" t="s">
        <v>461</v>
      </c>
      <c r="R659" t="s">
        <v>153</v>
      </c>
      <c r="S659" t="s">
        <v>89</v>
      </c>
      <c r="T659" t="s">
        <v>422</v>
      </c>
      <c r="U659">
        <v>3496</v>
      </c>
      <c r="V659">
        <v>167</v>
      </c>
      <c r="W659">
        <v>11</v>
      </c>
      <c r="X659">
        <v>774.91</v>
      </c>
      <c r="Y659">
        <v>355.77</v>
      </c>
      <c r="Z659">
        <v>1130.68</v>
      </c>
      <c r="AA659" t="s">
        <v>47</v>
      </c>
      <c r="AB659">
        <v>9</v>
      </c>
      <c r="AC659">
        <v>91.18</v>
      </c>
      <c r="AD659">
        <v>136</v>
      </c>
      <c r="AE659">
        <v>114</v>
      </c>
    </row>
    <row r="660" spans="1:31" x14ac:dyDescent="0.25">
      <c r="A660" t="s">
        <v>3257</v>
      </c>
      <c r="B660" t="s">
        <v>3258</v>
      </c>
      <c r="C660" s="1">
        <v>44344</v>
      </c>
      <c r="D660" s="1">
        <v>45589</v>
      </c>
      <c r="E660" t="s">
        <v>50</v>
      </c>
      <c r="F660" t="s">
        <v>93</v>
      </c>
      <c r="G660" t="s">
        <v>94</v>
      </c>
      <c r="H660" t="s">
        <v>148</v>
      </c>
      <c r="I660" t="s">
        <v>3259</v>
      </c>
      <c r="J660" t="s">
        <v>107</v>
      </c>
      <c r="K660" t="s">
        <v>39</v>
      </c>
      <c r="L660" t="s">
        <v>3260</v>
      </c>
      <c r="M660">
        <v>155.05000000000001</v>
      </c>
      <c r="N660">
        <v>39</v>
      </c>
      <c r="O660" t="s">
        <v>1349</v>
      </c>
      <c r="P660" t="s">
        <v>110</v>
      </c>
      <c r="Q660" t="s">
        <v>168</v>
      </c>
      <c r="R660" t="s">
        <v>44</v>
      </c>
      <c r="S660" t="s">
        <v>74</v>
      </c>
      <c r="T660" t="s">
        <v>939</v>
      </c>
      <c r="U660">
        <v>3178</v>
      </c>
      <c r="V660">
        <v>116</v>
      </c>
      <c r="W660">
        <v>7</v>
      </c>
      <c r="X660">
        <v>504.2</v>
      </c>
      <c r="Y660">
        <v>54.12</v>
      </c>
      <c r="Z660">
        <v>558.31999999999994</v>
      </c>
      <c r="AA660" t="s">
        <v>63</v>
      </c>
      <c r="AB660">
        <v>0</v>
      </c>
      <c r="AC660">
        <v>91.08</v>
      </c>
      <c r="AD660">
        <v>54</v>
      </c>
      <c r="AE660">
        <v>71</v>
      </c>
    </row>
    <row r="661" spans="1:31" x14ac:dyDescent="0.25">
      <c r="A661" t="s">
        <v>3261</v>
      </c>
      <c r="B661" t="s">
        <v>3262</v>
      </c>
      <c r="C661" s="1">
        <v>45316</v>
      </c>
      <c r="D661" s="1">
        <v>44073</v>
      </c>
      <c r="E661" t="s">
        <v>50</v>
      </c>
      <c r="F661" t="s">
        <v>93</v>
      </c>
      <c r="G661" t="s">
        <v>94</v>
      </c>
      <c r="H661" t="s">
        <v>53</v>
      </c>
      <c r="I661" t="s">
        <v>581</v>
      </c>
      <c r="J661" t="s">
        <v>96</v>
      </c>
      <c r="K661" t="s">
        <v>70</v>
      </c>
      <c r="L661" t="s">
        <v>3263</v>
      </c>
      <c r="M661">
        <v>291.41000000000003</v>
      </c>
      <c r="N661">
        <v>76</v>
      </c>
      <c r="O661" t="s">
        <v>711</v>
      </c>
      <c r="P661" t="s">
        <v>42</v>
      </c>
      <c r="Q661" t="s">
        <v>706</v>
      </c>
      <c r="R661" t="s">
        <v>153</v>
      </c>
      <c r="S661" t="s">
        <v>74</v>
      </c>
      <c r="T661" t="s">
        <v>176</v>
      </c>
      <c r="U661">
        <v>1623</v>
      </c>
      <c r="V661">
        <v>71</v>
      </c>
      <c r="W661">
        <v>27</v>
      </c>
      <c r="X661">
        <v>870.17</v>
      </c>
      <c r="Y661">
        <v>274.69</v>
      </c>
      <c r="Z661">
        <v>1144.8599999999999</v>
      </c>
      <c r="AA661" t="s">
        <v>63</v>
      </c>
      <c r="AB661">
        <v>0</v>
      </c>
      <c r="AC661">
        <v>74.44</v>
      </c>
      <c r="AD661">
        <v>259</v>
      </c>
      <c r="AE661">
        <v>260</v>
      </c>
    </row>
    <row r="662" spans="1:31" x14ac:dyDescent="0.25">
      <c r="A662" t="s">
        <v>3264</v>
      </c>
      <c r="B662" t="s">
        <v>2451</v>
      </c>
      <c r="C662" s="1">
        <v>44622</v>
      </c>
      <c r="D662" s="1">
        <v>44899</v>
      </c>
      <c r="E662" t="s">
        <v>66</v>
      </c>
      <c r="F662" t="s">
        <v>147</v>
      </c>
      <c r="G662" t="s">
        <v>35</v>
      </c>
      <c r="H662" t="s">
        <v>218</v>
      </c>
      <c r="I662" t="s">
        <v>3265</v>
      </c>
      <c r="J662" t="s">
        <v>107</v>
      </c>
      <c r="K662" t="s">
        <v>97</v>
      </c>
      <c r="L662" t="s">
        <v>3266</v>
      </c>
      <c r="M662">
        <v>458.92</v>
      </c>
      <c r="N662">
        <v>76</v>
      </c>
      <c r="O662" t="s">
        <v>3267</v>
      </c>
      <c r="P662" t="s">
        <v>59</v>
      </c>
      <c r="Q662" t="s">
        <v>514</v>
      </c>
      <c r="R662" t="s">
        <v>61</v>
      </c>
      <c r="S662" t="s">
        <v>45</v>
      </c>
      <c r="T662" t="s">
        <v>478</v>
      </c>
      <c r="U662">
        <v>3816</v>
      </c>
      <c r="V662">
        <v>341</v>
      </c>
      <c r="W662">
        <v>27</v>
      </c>
      <c r="X662">
        <v>1651.32</v>
      </c>
      <c r="Y662">
        <v>251.56</v>
      </c>
      <c r="Z662">
        <v>1902.88</v>
      </c>
      <c r="AA662" t="s">
        <v>63</v>
      </c>
      <c r="AB662">
        <v>0</v>
      </c>
      <c r="AC662">
        <v>94.3</v>
      </c>
      <c r="AD662">
        <v>384</v>
      </c>
      <c r="AE662">
        <v>421</v>
      </c>
    </row>
    <row r="663" spans="1:31" x14ac:dyDescent="0.25">
      <c r="A663" t="s">
        <v>3268</v>
      </c>
      <c r="B663" t="s">
        <v>3269</v>
      </c>
      <c r="C663" s="1">
        <v>44813</v>
      </c>
      <c r="D663" s="1">
        <v>45305</v>
      </c>
      <c r="E663" t="s">
        <v>66</v>
      </c>
      <c r="F663" t="s">
        <v>147</v>
      </c>
      <c r="G663" t="s">
        <v>52</v>
      </c>
      <c r="H663" t="s">
        <v>36</v>
      </c>
      <c r="I663" t="s">
        <v>3270</v>
      </c>
      <c r="J663" t="s">
        <v>55</v>
      </c>
      <c r="K663" t="s">
        <v>39</v>
      </c>
      <c r="L663" t="s">
        <v>3271</v>
      </c>
      <c r="M663">
        <v>356.58</v>
      </c>
      <c r="N663">
        <v>7</v>
      </c>
      <c r="O663" t="s">
        <v>3272</v>
      </c>
      <c r="P663" t="s">
        <v>110</v>
      </c>
      <c r="Q663" t="s">
        <v>143</v>
      </c>
      <c r="R663" t="s">
        <v>61</v>
      </c>
      <c r="S663" t="s">
        <v>74</v>
      </c>
      <c r="T663" t="s">
        <v>129</v>
      </c>
      <c r="U663">
        <v>637</v>
      </c>
      <c r="V663">
        <v>244</v>
      </c>
      <c r="W663">
        <v>25</v>
      </c>
      <c r="X663">
        <v>581.17999999999995</v>
      </c>
      <c r="Y663">
        <v>452.91</v>
      </c>
      <c r="Z663">
        <v>1034.0899999999999</v>
      </c>
      <c r="AA663" t="s">
        <v>63</v>
      </c>
      <c r="AB663">
        <v>0</v>
      </c>
      <c r="AC663">
        <v>92.4</v>
      </c>
      <c r="AD663">
        <v>304</v>
      </c>
      <c r="AE663">
        <v>264</v>
      </c>
    </row>
    <row r="664" spans="1:31" x14ac:dyDescent="0.25">
      <c r="A664" t="s">
        <v>3273</v>
      </c>
      <c r="B664" t="s">
        <v>3274</v>
      </c>
      <c r="C664" s="1">
        <v>45131</v>
      </c>
      <c r="D664" s="1">
        <v>45130</v>
      </c>
      <c r="E664" t="s">
        <v>66</v>
      </c>
      <c r="F664" t="s">
        <v>147</v>
      </c>
      <c r="G664" t="s">
        <v>94</v>
      </c>
      <c r="H664" t="s">
        <v>148</v>
      </c>
      <c r="I664" t="s">
        <v>3275</v>
      </c>
      <c r="J664" t="s">
        <v>55</v>
      </c>
      <c r="K664" t="s">
        <v>56</v>
      </c>
      <c r="L664" t="s">
        <v>3276</v>
      </c>
      <c r="M664">
        <v>378.73</v>
      </c>
      <c r="N664">
        <v>94</v>
      </c>
      <c r="O664" t="s">
        <v>3277</v>
      </c>
      <c r="P664" t="s">
        <v>59</v>
      </c>
      <c r="Q664" t="s">
        <v>371</v>
      </c>
      <c r="R664" t="s">
        <v>61</v>
      </c>
      <c r="S664" t="s">
        <v>101</v>
      </c>
      <c r="T664" t="s">
        <v>279</v>
      </c>
      <c r="U664">
        <v>165</v>
      </c>
      <c r="V664">
        <v>479</v>
      </c>
      <c r="W664">
        <v>13</v>
      </c>
      <c r="X664">
        <v>596.32000000000005</v>
      </c>
      <c r="Y664">
        <v>203.61</v>
      </c>
      <c r="Z664">
        <v>799.93000000000006</v>
      </c>
      <c r="AA664" t="s">
        <v>63</v>
      </c>
      <c r="AB664">
        <v>0</v>
      </c>
      <c r="AC664">
        <v>78.69</v>
      </c>
      <c r="AD664">
        <v>440</v>
      </c>
      <c r="AE664">
        <v>435</v>
      </c>
    </row>
    <row r="665" spans="1:31" x14ac:dyDescent="0.25">
      <c r="A665" t="s">
        <v>3278</v>
      </c>
      <c r="B665" t="s">
        <v>3279</v>
      </c>
      <c r="C665" s="1">
        <v>44544</v>
      </c>
      <c r="D665" s="1">
        <v>44820</v>
      </c>
      <c r="E665" t="s">
        <v>66</v>
      </c>
      <c r="F665" t="s">
        <v>34</v>
      </c>
      <c r="G665" t="s">
        <v>52</v>
      </c>
      <c r="H665" t="s">
        <v>36</v>
      </c>
      <c r="I665" t="s">
        <v>3280</v>
      </c>
      <c r="J665" t="s">
        <v>82</v>
      </c>
      <c r="K665" t="s">
        <v>83</v>
      </c>
      <c r="L665" t="s">
        <v>3281</v>
      </c>
      <c r="M665">
        <v>209.16</v>
      </c>
      <c r="N665">
        <v>20</v>
      </c>
      <c r="O665" t="s">
        <v>2647</v>
      </c>
      <c r="P665" t="s">
        <v>110</v>
      </c>
      <c r="Q665" t="s">
        <v>404</v>
      </c>
      <c r="R665" t="s">
        <v>44</v>
      </c>
      <c r="S665" t="s">
        <v>45</v>
      </c>
      <c r="T665" t="s">
        <v>303</v>
      </c>
      <c r="U665">
        <v>2903</v>
      </c>
      <c r="V665">
        <v>120</v>
      </c>
      <c r="W665">
        <v>20</v>
      </c>
      <c r="X665">
        <v>466.95</v>
      </c>
      <c r="Y665">
        <v>418.85</v>
      </c>
      <c r="Z665">
        <v>885.8</v>
      </c>
      <c r="AA665" t="s">
        <v>63</v>
      </c>
      <c r="AB665">
        <v>0</v>
      </c>
      <c r="AC665">
        <v>77.930000000000007</v>
      </c>
      <c r="AD665">
        <v>424</v>
      </c>
      <c r="AE665">
        <v>403</v>
      </c>
    </row>
    <row r="666" spans="1:31" x14ac:dyDescent="0.25">
      <c r="A666" t="s">
        <v>3282</v>
      </c>
      <c r="B666" t="s">
        <v>3283</v>
      </c>
      <c r="C666" s="1">
        <v>43897</v>
      </c>
      <c r="D666" s="1">
        <v>44602</v>
      </c>
      <c r="E666" t="s">
        <v>66</v>
      </c>
      <c r="F666" t="s">
        <v>51</v>
      </c>
      <c r="G666" t="s">
        <v>337</v>
      </c>
      <c r="H666" t="s">
        <v>53</v>
      </c>
      <c r="I666" t="s">
        <v>3284</v>
      </c>
      <c r="J666" t="s">
        <v>55</v>
      </c>
      <c r="K666" t="s">
        <v>97</v>
      </c>
      <c r="L666" t="s">
        <v>3285</v>
      </c>
      <c r="M666">
        <v>187.63</v>
      </c>
      <c r="N666">
        <v>91</v>
      </c>
      <c r="O666" t="s">
        <v>3286</v>
      </c>
      <c r="P666" t="s">
        <v>42</v>
      </c>
      <c r="Q666" t="s">
        <v>1277</v>
      </c>
      <c r="R666" t="s">
        <v>88</v>
      </c>
      <c r="S666" t="s">
        <v>45</v>
      </c>
      <c r="T666" t="s">
        <v>309</v>
      </c>
      <c r="U666">
        <v>3549</v>
      </c>
      <c r="V666">
        <v>334</v>
      </c>
      <c r="W666">
        <v>3</v>
      </c>
      <c r="X666">
        <v>577.17999999999995</v>
      </c>
      <c r="Y666">
        <v>274.11</v>
      </c>
      <c r="Z666">
        <v>851.29</v>
      </c>
      <c r="AA666" t="s">
        <v>47</v>
      </c>
      <c r="AB666">
        <v>3</v>
      </c>
      <c r="AC666">
        <v>77.08</v>
      </c>
      <c r="AD666">
        <v>196</v>
      </c>
      <c r="AE666">
        <v>189</v>
      </c>
    </row>
    <row r="667" spans="1:31" x14ac:dyDescent="0.25">
      <c r="A667" t="s">
        <v>3287</v>
      </c>
      <c r="B667" t="s">
        <v>2096</v>
      </c>
      <c r="C667" s="1">
        <v>45248</v>
      </c>
      <c r="D667" s="1">
        <v>45242</v>
      </c>
      <c r="E667" t="s">
        <v>50</v>
      </c>
      <c r="F667" t="s">
        <v>34</v>
      </c>
      <c r="G667" t="s">
        <v>94</v>
      </c>
      <c r="H667" t="s">
        <v>148</v>
      </c>
      <c r="I667" t="s">
        <v>3288</v>
      </c>
      <c r="J667" t="s">
        <v>96</v>
      </c>
      <c r="K667" t="s">
        <v>70</v>
      </c>
      <c r="L667" t="s">
        <v>3289</v>
      </c>
      <c r="M667">
        <v>39.299999999999997</v>
      </c>
      <c r="N667">
        <v>43</v>
      </c>
      <c r="O667" t="s">
        <v>1800</v>
      </c>
      <c r="P667" t="s">
        <v>59</v>
      </c>
      <c r="Q667" t="s">
        <v>684</v>
      </c>
      <c r="R667" t="s">
        <v>88</v>
      </c>
      <c r="S667" t="s">
        <v>128</v>
      </c>
      <c r="T667" t="s">
        <v>1059</v>
      </c>
      <c r="U667">
        <v>636</v>
      </c>
      <c r="V667">
        <v>62</v>
      </c>
      <c r="W667">
        <v>1</v>
      </c>
      <c r="X667">
        <v>1087.5899999999999</v>
      </c>
      <c r="Y667">
        <v>208.36</v>
      </c>
      <c r="Z667">
        <v>1295.95</v>
      </c>
      <c r="AA667" t="s">
        <v>47</v>
      </c>
      <c r="AB667">
        <v>9</v>
      </c>
      <c r="AC667">
        <v>81.02</v>
      </c>
      <c r="AD667">
        <v>383</v>
      </c>
      <c r="AE667">
        <v>338</v>
      </c>
    </row>
    <row r="668" spans="1:31" x14ac:dyDescent="0.25">
      <c r="A668" t="s">
        <v>3290</v>
      </c>
      <c r="B668" t="s">
        <v>3291</v>
      </c>
      <c r="C668" s="1">
        <v>44480</v>
      </c>
      <c r="D668" s="1">
        <v>44563</v>
      </c>
      <c r="E668" t="s">
        <v>66</v>
      </c>
      <c r="F668" t="s">
        <v>78</v>
      </c>
      <c r="G668" t="s">
        <v>67</v>
      </c>
      <c r="H668" t="s">
        <v>116</v>
      </c>
      <c r="I668" t="s">
        <v>3292</v>
      </c>
      <c r="J668" t="s">
        <v>107</v>
      </c>
      <c r="K668" t="s">
        <v>56</v>
      </c>
      <c r="L668" t="s">
        <v>3293</v>
      </c>
      <c r="M668">
        <v>82.17</v>
      </c>
      <c r="N668">
        <v>22</v>
      </c>
      <c r="O668" t="s">
        <v>3294</v>
      </c>
      <c r="P668" t="s">
        <v>42</v>
      </c>
      <c r="Q668" t="s">
        <v>87</v>
      </c>
      <c r="R668" t="s">
        <v>153</v>
      </c>
      <c r="S668" t="s">
        <v>74</v>
      </c>
      <c r="T668" t="s">
        <v>365</v>
      </c>
      <c r="U668">
        <v>4309</v>
      </c>
      <c r="V668">
        <v>422</v>
      </c>
      <c r="W668">
        <v>2</v>
      </c>
      <c r="X668">
        <v>1642.18</v>
      </c>
      <c r="Y668">
        <v>163.80000000000001</v>
      </c>
      <c r="Z668">
        <v>1805.98</v>
      </c>
      <c r="AA668" t="s">
        <v>47</v>
      </c>
      <c r="AB668">
        <v>9</v>
      </c>
      <c r="AC668">
        <v>89.73</v>
      </c>
      <c r="AD668">
        <v>199</v>
      </c>
      <c r="AE668">
        <v>178</v>
      </c>
    </row>
    <row r="669" spans="1:31" x14ac:dyDescent="0.25">
      <c r="A669" t="s">
        <v>3295</v>
      </c>
      <c r="B669" t="s">
        <v>3296</v>
      </c>
      <c r="C669" s="1">
        <v>44809</v>
      </c>
      <c r="D669" s="1">
        <v>44453</v>
      </c>
      <c r="E669" t="s">
        <v>66</v>
      </c>
      <c r="F669" t="s">
        <v>78</v>
      </c>
      <c r="G669" t="s">
        <v>337</v>
      </c>
      <c r="H669" t="s">
        <v>164</v>
      </c>
      <c r="I669" t="s">
        <v>3297</v>
      </c>
      <c r="J669" t="s">
        <v>55</v>
      </c>
      <c r="K669" t="s">
        <v>83</v>
      </c>
      <c r="L669" t="s">
        <v>3298</v>
      </c>
      <c r="M669">
        <v>319.85000000000002</v>
      </c>
      <c r="N669">
        <v>48</v>
      </c>
      <c r="O669" t="s">
        <v>2499</v>
      </c>
      <c r="P669" t="s">
        <v>86</v>
      </c>
      <c r="Q669" t="s">
        <v>328</v>
      </c>
      <c r="R669" t="s">
        <v>153</v>
      </c>
      <c r="S669" t="s">
        <v>101</v>
      </c>
      <c r="T669" t="s">
        <v>933</v>
      </c>
      <c r="U669">
        <v>1301</v>
      </c>
      <c r="V669">
        <v>76</v>
      </c>
      <c r="W669">
        <v>18</v>
      </c>
      <c r="X669">
        <v>824.36</v>
      </c>
      <c r="Y669">
        <v>197.84</v>
      </c>
      <c r="Z669">
        <v>1022.2</v>
      </c>
      <c r="AA669" t="s">
        <v>63</v>
      </c>
      <c r="AB669">
        <v>0</v>
      </c>
      <c r="AC669">
        <v>73.709999999999994</v>
      </c>
      <c r="AD669">
        <v>180</v>
      </c>
      <c r="AE669">
        <v>202</v>
      </c>
    </row>
    <row r="670" spans="1:31" x14ac:dyDescent="0.25">
      <c r="A670" t="s">
        <v>3299</v>
      </c>
      <c r="B670" t="s">
        <v>3300</v>
      </c>
      <c r="C670" s="1">
        <v>45234</v>
      </c>
      <c r="D670" s="1">
        <v>45192</v>
      </c>
      <c r="E670" t="s">
        <v>66</v>
      </c>
      <c r="F670" t="s">
        <v>93</v>
      </c>
      <c r="G670" t="s">
        <v>79</v>
      </c>
      <c r="H670" t="s">
        <v>218</v>
      </c>
      <c r="I670" t="s">
        <v>3301</v>
      </c>
      <c r="J670" t="s">
        <v>107</v>
      </c>
      <c r="K670" t="s">
        <v>56</v>
      </c>
      <c r="L670" t="s">
        <v>3302</v>
      </c>
      <c r="M670">
        <v>133.22999999999999</v>
      </c>
      <c r="N670">
        <v>62</v>
      </c>
      <c r="O670" t="s">
        <v>3303</v>
      </c>
      <c r="P670" t="s">
        <v>86</v>
      </c>
      <c r="Q670" t="s">
        <v>322</v>
      </c>
      <c r="R670" t="s">
        <v>153</v>
      </c>
      <c r="S670" t="s">
        <v>45</v>
      </c>
      <c r="T670" t="s">
        <v>75</v>
      </c>
      <c r="U670">
        <v>4556</v>
      </c>
      <c r="V670">
        <v>339</v>
      </c>
      <c r="W670">
        <v>16</v>
      </c>
      <c r="X670">
        <v>1659.81</v>
      </c>
      <c r="Y670">
        <v>120.29</v>
      </c>
      <c r="Z670">
        <v>1780.1</v>
      </c>
      <c r="AA670" t="s">
        <v>63</v>
      </c>
      <c r="AB670">
        <v>0</v>
      </c>
      <c r="AC670">
        <v>98.76</v>
      </c>
      <c r="AD670">
        <v>444</v>
      </c>
      <c r="AE670">
        <v>395</v>
      </c>
    </row>
    <row r="671" spans="1:31" x14ac:dyDescent="0.25">
      <c r="A671" t="s">
        <v>3304</v>
      </c>
      <c r="B671" t="s">
        <v>3305</v>
      </c>
      <c r="C671" s="1">
        <v>45099</v>
      </c>
      <c r="D671" s="1">
        <v>44433</v>
      </c>
      <c r="E671" t="s">
        <v>66</v>
      </c>
      <c r="F671" t="s">
        <v>51</v>
      </c>
      <c r="G671" t="s">
        <v>35</v>
      </c>
      <c r="H671" t="s">
        <v>116</v>
      </c>
      <c r="I671" t="s">
        <v>3306</v>
      </c>
      <c r="J671" t="s">
        <v>107</v>
      </c>
      <c r="K671" t="s">
        <v>97</v>
      </c>
      <c r="L671" t="s">
        <v>3307</v>
      </c>
      <c r="M671">
        <v>394.41</v>
      </c>
      <c r="N671">
        <v>37</v>
      </c>
      <c r="O671" t="s">
        <v>497</v>
      </c>
      <c r="P671" t="s">
        <v>42</v>
      </c>
      <c r="Q671" t="s">
        <v>234</v>
      </c>
      <c r="R671" t="s">
        <v>61</v>
      </c>
      <c r="S671" t="s">
        <v>101</v>
      </c>
      <c r="T671" t="s">
        <v>279</v>
      </c>
      <c r="U671">
        <v>807</v>
      </c>
      <c r="V671">
        <v>192</v>
      </c>
      <c r="W671">
        <v>10</v>
      </c>
      <c r="X671">
        <v>1712.56</v>
      </c>
      <c r="Y671">
        <v>99.59</v>
      </c>
      <c r="Z671">
        <v>1812.15</v>
      </c>
      <c r="AA671" t="s">
        <v>63</v>
      </c>
      <c r="AB671">
        <v>0</v>
      </c>
      <c r="AC671">
        <v>88.49</v>
      </c>
      <c r="AD671">
        <v>267</v>
      </c>
      <c r="AE671">
        <v>236</v>
      </c>
    </row>
    <row r="672" spans="1:31" x14ac:dyDescent="0.25">
      <c r="A672" t="s">
        <v>3308</v>
      </c>
      <c r="B672" t="s">
        <v>3309</v>
      </c>
      <c r="C672" s="1">
        <v>45318</v>
      </c>
      <c r="D672" s="1">
        <v>44613</v>
      </c>
      <c r="E672" t="s">
        <v>33</v>
      </c>
      <c r="F672" t="s">
        <v>51</v>
      </c>
      <c r="G672" t="s">
        <v>94</v>
      </c>
      <c r="H672" t="s">
        <v>148</v>
      </c>
      <c r="I672" t="s">
        <v>3310</v>
      </c>
      <c r="J672" t="s">
        <v>38</v>
      </c>
      <c r="K672" t="s">
        <v>83</v>
      </c>
      <c r="L672" t="s">
        <v>3311</v>
      </c>
      <c r="M672">
        <v>303.42</v>
      </c>
      <c r="N672">
        <v>16</v>
      </c>
      <c r="O672" t="s">
        <v>1058</v>
      </c>
      <c r="P672" t="s">
        <v>59</v>
      </c>
      <c r="Q672" t="s">
        <v>189</v>
      </c>
      <c r="R672" t="s">
        <v>61</v>
      </c>
      <c r="S672" t="s">
        <v>74</v>
      </c>
      <c r="T672" t="s">
        <v>434</v>
      </c>
      <c r="U672">
        <v>814</v>
      </c>
      <c r="V672">
        <v>224</v>
      </c>
      <c r="W672">
        <v>27</v>
      </c>
      <c r="X672">
        <v>762.14</v>
      </c>
      <c r="Y672">
        <v>384.4</v>
      </c>
      <c r="Z672">
        <v>1146.54</v>
      </c>
      <c r="AA672" t="s">
        <v>63</v>
      </c>
      <c r="AB672">
        <v>0</v>
      </c>
      <c r="AC672">
        <v>93.93</v>
      </c>
      <c r="AD672">
        <v>336</v>
      </c>
      <c r="AE672">
        <v>377</v>
      </c>
    </row>
    <row r="673" spans="1:31" x14ac:dyDescent="0.25">
      <c r="A673" t="s">
        <v>3312</v>
      </c>
      <c r="B673" t="s">
        <v>3313</v>
      </c>
      <c r="C673" s="1">
        <v>45531</v>
      </c>
      <c r="D673" s="1">
        <v>45043</v>
      </c>
      <c r="E673" t="s">
        <v>66</v>
      </c>
      <c r="F673" t="s">
        <v>78</v>
      </c>
      <c r="G673" t="s">
        <v>79</v>
      </c>
      <c r="H673" t="s">
        <v>36</v>
      </c>
      <c r="I673" t="s">
        <v>3314</v>
      </c>
      <c r="J673" t="s">
        <v>82</v>
      </c>
      <c r="K673" t="s">
        <v>97</v>
      </c>
      <c r="L673" t="s">
        <v>3315</v>
      </c>
      <c r="M673">
        <v>134.91999999999999</v>
      </c>
      <c r="N673">
        <v>8</v>
      </c>
      <c r="O673" t="s">
        <v>3316</v>
      </c>
      <c r="P673" t="s">
        <v>110</v>
      </c>
      <c r="Q673" t="s">
        <v>202</v>
      </c>
      <c r="R673" t="s">
        <v>44</v>
      </c>
      <c r="S673" t="s">
        <v>45</v>
      </c>
      <c r="T673" t="s">
        <v>353</v>
      </c>
      <c r="U673">
        <v>3687</v>
      </c>
      <c r="V673">
        <v>459</v>
      </c>
      <c r="W673">
        <v>1</v>
      </c>
      <c r="X673">
        <v>551.12</v>
      </c>
      <c r="Y673">
        <v>209.74</v>
      </c>
      <c r="Z673">
        <v>760.86</v>
      </c>
      <c r="AA673" t="s">
        <v>63</v>
      </c>
      <c r="AB673">
        <v>0</v>
      </c>
      <c r="AC673">
        <v>94.24</v>
      </c>
      <c r="AD673">
        <v>352</v>
      </c>
      <c r="AE673">
        <v>388</v>
      </c>
    </row>
    <row r="674" spans="1:31" x14ac:dyDescent="0.25">
      <c r="A674" t="s">
        <v>3317</v>
      </c>
      <c r="B674" t="s">
        <v>3318</v>
      </c>
      <c r="C674" s="1">
        <v>45083</v>
      </c>
      <c r="D674" s="1">
        <v>44113</v>
      </c>
      <c r="E674" t="s">
        <v>66</v>
      </c>
      <c r="F674" t="s">
        <v>51</v>
      </c>
      <c r="G674" t="s">
        <v>52</v>
      </c>
      <c r="H674" t="s">
        <v>36</v>
      </c>
      <c r="I674" t="s">
        <v>3319</v>
      </c>
      <c r="J674" t="s">
        <v>55</v>
      </c>
      <c r="K674" t="s">
        <v>97</v>
      </c>
      <c r="L674" t="s">
        <v>3320</v>
      </c>
      <c r="M674">
        <v>237.43</v>
      </c>
      <c r="N674">
        <v>14</v>
      </c>
      <c r="O674" t="s">
        <v>3321</v>
      </c>
      <c r="P674" t="s">
        <v>59</v>
      </c>
      <c r="Q674" t="s">
        <v>290</v>
      </c>
      <c r="R674" t="s">
        <v>88</v>
      </c>
      <c r="S674" t="s">
        <v>101</v>
      </c>
      <c r="T674" t="s">
        <v>353</v>
      </c>
      <c r="U674">
        <v>1960</v>
      </c>
      <c r="V674">
        <v>181</v>
      </c>
      <c r="W674">
        <v>9</v>
      </c>
      <c r="X674">
        <v>1343.01</v>
      </c>
      <c r="Y674">
        <v>243.8</v>
      </c>
      <c r="Z674">
        <v>1586.81</v>
      </c>
      <c r="AA674" t="s">
        <v>63</v>
      </c>
      <c r="AB674">
        <v>0</v>
      </c>
      <c r="AC674">
        <v>72.150000000000006</v>
      </c>
      <c r="AD674">
        <v>222</v>
      </c>
      <c r="AE674">
        <v>212</v>
      </c>
    </row>
    <row r="675" spans="1:31" x14ac:dyDescent="0.25">
      <c r="A675" t="s">
        <v>3322</v>
      </c>
      <c r="B675" t="s">
        <v>3323</v>
      </c>
      <c r="C675" s="1">
        <v>45510</v>
      </c>
      <c r="D675" s="1">
        <v>45255</v>
      </c>
      <c r="E675" t="s">
        <v>33</v>
      </c>
      <c r="F675" t="s">
        <v>147</v>
      </c>
      <c r="G675" t="s">
        <v>337</v>
      </c>
      <c r="H675" t="s">
        <v>36</v>
      </c>
      <c r="I675" t="s">
        <v>3324</v>
      </c>
      <c r="J675" t="s">
        <v>96</v>
      </c>
      <c r="K675" t="s">
        <v>70</v>
      </c>
      <c r="L675" t="s">
        <v>746</v>
      </c>
      <c r="M675">
        <v>240.85</v>
      </c>
      <c r="N675">
        <v>91</v>
      </c>
      <c r="O675" t="s">
        <v>2232</v>
      </c>
      <c r="P675" t="s">
        <v>142</v>
      </c>
      <c r="Q675" t="s">
        <v>997</v>
      </c>
      <c r="R675" t="s">
        <v>44</v>
      </c>
      <c r="S675" t="s">
        <v>128</v>
      </c>
      <c r="T675" t="s">
        <v>297</v>
      </c>
      <c r="U675">
        <v>3454</v>
      </c>
      <c r="V675">
        <v>226</v>
      </c>
      <c r="W675">
        <v>25</v>
      </c>
      <c r="X675">
        <v>1826.94</v>
      </c>
      <c r="Y675">
        <v>357.49</v>
      </c>
      <c r="Z675">
        <v>2184.4299999999998</v>
      </c>
      <c r="AA675" t="s">
        <v>63</v>
      </c>
      <c r="AB675">
        <v>0</v>
      </c>
      <c r="AC675">
        <v>74.239999999999995</v>
      </c>
      <c r="AD675">
        <v>150</v>
      </c>
      <c r="AE675">
        <v>195</v>
      </c>
    </row>
    <row r="676" spans="1:31" x14ac:dyDescent="0.25">
      <c r="A676" t="s">
        <v>3325</v>
      </c>
      <c r="B676" t="s">
        <v>3326</v>
      </c>
      <c r="C676" s="1">
        <v>43986</v>
      </c>
      <c r="D676" s="1">
        <v>45499</v>
      </c>
      <c r="E676" t="s">
        <v>66</v>
      </c>
      <c r="F676" t="s">
        <v>34</v>
      </c>
      <c r="G676" t="s">
        <v>79</v>
      </c>
      <c r="H676" t="s">
        <v>164</v>
      </c>
      <c r="I676" t="s">
        <v>3327</v>
      </c>
      <c r="J676" t="s">
        <v>38</v>
      </c>
      <c r="K676" t="s">
        <v>39</v>
      </c>
      <c r="L676" t="s">
        <v>3328</v>
      </c>
      <c r="M676">
        <v>282.7</v>
      </c>
      <c r="N676">
        <v>41</v>
      </c>
      <c r="O676" t="s">
        <v>3329</v>
      </c>
      <c r="P676" t="s">
        <v>59</v>
      </c>
      <c r="Q676" t="s">
        <v>143</v>
      </c>
      <c r="R676" t="s">
        <v>61</v>
      </c>
      <c r="S676" t="s">
        <v>89</v>
      </c>
      <c r="T676" t="s">
        <v>927</v>
      </c>
      <c r="U676">
        <v>930</v>
      </c>
      <c r="V676">
        <v>76</v>
      </c>
      <c r="W676">
        <v>6</v>
      </c>
      <c r="X676">
        <v>1353.78</v>
      </c>
      <c r="Y676">
        <v>258.94</v>
      </c>
      <c r="Z676">
        <v>1612.72</v>
      </c>
      <c r="AA676" t="s">
        <v>63</v>
      </c>
      <c r="AB676">
        <v>0</v>
      </c>
      <c r="AC676">
        <v>79.28</v>
      </c>
      <c r="AD676">
        <v>235</v>
      </c>
      <c r="AE676">
        <v>219</v>
      </c>
    </row>
    <row r="677" spans="1:31" x14ac:dyDescent="0.25">
      <c r="A677" t="s">
        <v>3330</v>
      </c>
      <c r="B677" t="s">
        <v>3331</v>
      </c>
      <c r="C677" s="1">
        <v>45495</v>
      </c>
      <c r="D677" s="1">
        <v>44689</v>
      </c>
      <c r="E677" t="s">
        <v>50</v>
      </c>
      <c r="F677" t="s">
        <v>93</v>
      </c>
      <c r="G677" t="s">
        <v>337</v>
      </c>
      <c r="H677" t="s">
        <v>68</v>
      </c>
      <c r="I677" t="s">
        <v>3332</v>
      </c>
      <c r="J677" t="s">
        <v>82</v>
      </c>
      <c r="K677" t="s">
        <v>39</v>
      </c>
      <c r="L677" t="s">
        <v>3333</v>
      </c>
      <c r="M677">
        <v>40.340000000000003</v>
      </c>
      <c r="N677">
        <v>15</v>
      </c>
      <c r="O677" t="s">
        <v>3334</v>
      </c>
      <c r="P677" t="s">
        <v>110</v>
      </c>
      <c r="Q677" t="s">
        <v>202</v>
      </c>
      <c r="R677" t="s">
        <v>44</v>
      </c>
      <c r="S677" t="s">
        <v>128</v>
      </c>
      <c r="T677" t="s">
        <v>303</v>
      </c>
      <c r="U677">
        <v>1330</v>
      </c>
      <c r="V677">
        <v>198</v>
      </c>
      <c r="W677">
        <v>15</v>
      </c>
      <c r="X677">
        <v>1286.5899999999999</v>
      </c>
      <c r="Y677">
        <v>123.66</v>
      </c>
      <c r="Z677">
        <v>1410.25</v>
      </c>
      <c r="AA677" t="s">
        <v>63</v>
      </c>
      <c r="AB677">
        <v>0</v>
      </c>
      <c r="AC677">
        <v>77.61</v>
      </c>
      <c r="AD677">
        <v>195</v>
      </c>
      <c r="AE677">
        <v>159</v>
      </c>
    </row>
    <row r="678" spans="1:31" x14ac:dyDescent="0.25">
      <c r="A678" t="s">
        <v>3335</v>
      </c>
      <c r="B678" t="s">
        <v>3336</v>
      </c>
      <c r="C678" s="1">
        <v>44991</v>
      </c>
      <c r="D678" s="1">
        <v>45234</v>
      </c>
      <c r="E678" t="s">
        <v>33</v>
      </c>
      <c r="F678" t="s">
        <v>93</v>
      </c>
      <c r="G678" t="s">
        <v>52</v>
      </c>
      <c r="H678" t="s">
        <v>53</v>
      </c>
      <c r="I678" t="s">
        <v>3337</v>
      </c>
      <c r="J678" t="s">
        <v>82</v>
      </c>
      <c r="K678" t="s">
        <v>97</v>
      </c>
      <c r="L678" t="s">
        <v>3338</v>
      </c>
      <c r="M678">
        <v>10.039999999999999</v>
      </c>
      <c r="N678">
        <v>51</v>
      </c>
      <c r="O678" t="s">
        <v>1092</v>
      </c>
      <c r="P678" t="s">
        <v>59</v>
      </c>
      <c r="Q678" t="s">
        <v>514</v>
      </c>
      <c r="R678" t="s">
        <v>153</v>
      </c>
      <c r="S678" t="s">
        <v>89</v>
      </c>
      <c r="T678" t="s">
        <v>291</v>
      </c>
      <c r="U678">
        <v>1153</v>
      </c>
      <c r="V678">
        <v>348</v>
      </c>
      <c r="W678">
        <v>10</v>
      </c>
      <c r="X678">
        <v>1298.67</v>
      </c>
      <c r="Y678">
        <v>280.16000000000003</v>
      </c>
      <c r="Z678">
        <v>1578.83</v>
      </c>
      <c r="AA678" t="s">
        <v>63</v>
      </c>
      <c r="AB678">
        <v>0</v>
      </c>
      <c r="AC678">
        <v>85.9</v>
      </c>
      <c r="AD678">
        <v>282</v>
      </c>
      <c r="AE678">
        <v>280</v>
      </c>
    </row>
    <row r="679" spans="1:31" x14ac:dyDescent="0.25">
      <c r="A679" t="s">
        <v>3339</v>
      </c>
      <c r="B679" t="s">
        <v>3340</v>
      </c>
      <c r="C679" s="1">
        <v>44181</v>
      </c>
      <c r="D679" s="1">
        <v>45575</v>
      </c>
      <c r="E679" t="s">
        <v>66</v>
      </c>
      <c r="F679" t="s">
        <v>51</v>
      </c>
      <c r="G679" t="s">
        <v>337</v>
      </c>
      <c r="H679" t="s">
        <v>68</v>
      </c>
      <c r="I679" t="s">
        <v>3341</v>
      </c>
      <c r="J679" t="s">
        <v>55</v>
      </c>
      <c r="K679" t="s">
        <v>39</v>
      </c>
      <c r="L679" t="s">
        <v>3342</v>
      </c>
      <c r="M679">
        <v>241.72</v>
      </c>
      <c r="N679">
        <v>35</v>
      </c>
      <c r="O679" t="s">
        <v>2060</v>
      </c>
      <c r="P679" t="s">
        <v>142</v>
      </c>
      <c r="Q679" t="s">
        <v>541</v>
      </c>
      <c r="R679" t="s">
        <v>88</v>
      </c>
      <c r="S679" t="s">
        <v>74</v>
      </c>
      <c r="T679" t="s">
        <v>353</v>
      </c>
      <c r="U679">
        <v>149</v>
      </c>
      <c r="V679">
        <v>288</v>
      </c>
      <c r="W679">
        <v>4</v>
      </c>
      <c r="X679">
        <v>1241.0999999999999</v>
      </c>
      <c r="Y679">
        <v>147.41999999999999</v>
      </c>
      <c r="Z679">
        <v>1388.52</v>
      </c>
      <c r="AA679" t="s">
        <v>63</v>
      </c>
      <c r="AB679">
        <v>0</v>
      </c>
      <c r="AC679">
        <v>89.31</v>
      </c>
      <c r="AD679">
        <v>368</v>
      </c>
      <c r="AE679">
        <v>380</v>
      </c>
    </row>
    <row r="680" spans="1:31" x14ac:dyDescent="0.25">
      <c r="A680" t="s">
        <v>3343</v>
      </c>
      <c r="B680" t="s">
        <v>3344</v>
      </c>
      <c r="C680" s="1">
        <v>44660</v>
      </c>
      <c r="D680" s="1">
        <v>45342</v>
      </c>
      <c r="E680" t="s">
        <v>66</v>
      </c>
      <c r="F680" t="s">
        <v>51</v>
      </c>
      <c r="G680" t="s">
        <v>67</v>
      </c>
      <c r="H680" t="s">
        <v>218</v>
      </c>
      <c r="I680" t="s">
        <v>3345</v>
      </c>
      <c r="J680" t="s">
        <v>107</v>
      </c>
      <c r="K680" t="s">
        <v>70</v>
      </c>
      <c r="L680" t="s">
        <v>3346</v>
      </c>
      <c r="M680">
        <v>134.72</v>
      </c>
      <c r="N680">
        <v>66</v>
      </c>
      <c r="O680" t="s">
        <v>1266</v>
      </c>
      <c r="P680" t="s">
        <v>142</v>
      </c>
      <c r="Q680" t="s">
        <v>143</v>
      </c>
      <c r="R680" t="s">
        <v>153</v>
      </c>
      <c r="S680" t="s">
        <v>101</v>
      </c>
      <c r="T680" t="s">
        <v>939</v>
      </c>
      <c r="U680">
        <v>2111</v>
      </c>
      <c r="V680">
        <v>241</v>
      </c>
      <c r="W680">
        <v>17</v>
      </c>
      <c r="X680">
        <v>518.37</v>
      </c>
      <c r="Y680">
        <v>327.12</v>
      </c>
      <c r="Z680">
        <v>845.49</v>
      </c>
      <c r="AA680" t="s">
        <v>63</v>
      </c>
      <c r="AB680">
        <v>0</v>
      </c>
      <c r="AC680">
        <v>84.41</v>
      </c>
      <c r="AD680">
        <v>364</v>
      </c>
      <c r="AE680">
        <v>363</v>
      </c>
    </row>
    <row r="681" spans="1:31" x14ac:dyDescent="0.25">
      <c r="A681" t="s">
        <v>3347</v>
      </c>
      <c r="B681" t="s">
        <v>3348</v>
      </c>
      <c r="C681" s="1">
        <v>45258</v>
      </c>
      <c r="D681" s="1">
        <v>44097</v>
      </c>
      <c r="E681" t="s">
        <v>66</v>
      </c>
      <c r="F681" t="s">
        <v>93</v>
      </c>
      <c r="G681" t="s">
        <v>52</v>
      </c>
      <c r="H681" t="s">
        <v>53</v>
      </c>
      <c r="I681" t="s">
        <v>3349</v>
      </c>
      <c r="J681" t="s">
        <v>82</v>
      </c>
      <c r="K681" t="s">
        <v>39</v>
      </c>
      <c r="L681" t="s">
        <v>3350</v>
      </c>
      <c r="M681">
        <v>289.66000000000003</v>
      </c>
      <c r="N681">
        <v>85</v>
      </c>
      <c r="O681" t="s">
        <v>3351</v>
      </c>
      <c r="P681" t="s">
        <v>142</v>
      </c>
      <c r="Q681" t="s">
        <v>315</v>
      </c>
      <c r="R681" t="s">
        <v>61</v>
      </c>
      <c r="S681" t="s">
        <v>45</v>
      </c>
      <c r="T681" t="s">
        <v>129</v>
      </c>
      <c r="U681">
        <v>617</v>
      </c>
      <c r="V681">
        <v>96</v>
      </c>
      <c r="W681">
        <v>15</v>
      </c>
      <c r="X681">
        <v>340.7</v>
      </c>
      <c r="Y681">
        <v>68.41</v>
      </c>
      <c r="Z681">
        <v>409.11</v>
      </c>
      <c r="AA681" t="s">
        <v>63</v>
      </c>
      <c r="AB681">
        <v>0</v>
      </c>
      <c r="AC681">
        <v>92.98</v>
      </c>
      <c r="AD681">
        <v>412</v>
      </c>
      <c r="AE681">
        <v>386</v>
      </c>
    </row>
    <row r="682" spans="1:31" x14ac:dyDescent="0.25">
      <c r="A682" t="s">
        <v>3352</v>
      </c>
      <c r="B682" t="s">
        <v>3353</v>
      </c>
      <c r="C682" s="1">
        <v>44666</v>
      </c>
      <c r="D682" s="1">
        <v>44202</v>
      </c>
      <c r="E682" t="s">
        <v>66</v>
      </c>
      <c r="F682" t="s">
        <v>34</v>
      </c>
      <c r="G682" t="s">
        <v>67</v>
      </c>
      <c r="H682" t="s">
        <v>148</v>
      </c>
      <c r="I682" t="s">
        <v>3354</v>
      </c>
      <c r="J682" t="s">
        <v>82</v>
      </c>
      <c r="K682" t="s">
        <v>39</v>
      </c>
      <c r="L682" t="s">
        <v>3355</v>
      </c>
      <c r="M682">
        <v>458.84</v>
      </c>
      <c r="N682">
        <v>17</v>
      </c>
      <c r="O682" t="s">
        <v>3356</v>
      </c>
      <c r="P682" t="s">
        <v>42</v>
      </c>
      <c r="Q682" t="s">
        <v>143</v>
      </c>
      <c r="R682" t="s">
        <v>61</v>
      </c>
      <c r="S682" t="s">
        <v>74</v>
      </c>
      <c r="T682" t="s">
        <v>939</v>
      </c>
      <c r="U682">
        <v>1149</v>
      </c>
      <c r="V682">
        <v>161</v>
      </c>
      <c r="W682">
        <v>22</v>
      </c>
      <c r="X682">
        <v>824.68</v>
      </c>
      <c r="Y682">
        <v>475.25</v>
      </c>
      <c r="Z682">
        <v>1299.93</v>
      </c>
      <c r="AA682" t="s">
        <v>63</v>
      </c>
      <c r="AB682">
        <v>0</v>
      </c>
      <c r="AC682">
        <v>75</v>
      </c>
      <c r="AD682">
        <v>495</v>
      </c>
      <c r="AE682">
        <v>467</v>
      </c>
    </row>
    <row r="683" spans="1:31" x14ac:dyDescent="0.25">
      <c r="A683" t="s">
        <v>3357</v>
      </c>
      <c r="B683" t="s">
        <v>3358</v>
      </c>
      <c r="C683" s="1">
        <v>45569</v>
      </c>
      <c r="D683" s="1">
        <v>44172</v>
      </c>
      <c r="E683" t="s">
        <v>66</v>
      </c>
      <c r="F683" t="s">
        <v>93</v>
      </c>
      <c r="G683" t="s">
        <v>79</v>
      </c>
      <c r="H683" t="s">
        <v>164</v>
      </c>
      <c r="I683" t="s">
        <v>3359</v>
      </c>
      <c r="J683" t="s">
        <v>107</v>
      </c>
      <c r="K683" t="s">
        <v>70</v>
      </c>
      <c r="L683" t="s">
        <v>2799</v>
      </c>
      <c r="M683">
        <v>231.96</v>
      </c>
      <c r="N683">
        <v>90</v>
      </c>
      <c r="O683" t="s">
        <v>598</v>
      </c>
      <c r="P683" t="s">
        <v>59</v>
      </c>
      <c r="Q683" t="s">
        <v>455</v>
      </c>
      <c r="R683" t="s">
        <v>44</v>
      </c>
      <c r="S683" t="s">
        <v>89</v>
      </c>
      <c r="T683" t="s">
        <v>102</v>
      </c>
      <c r="U683">
        <v>2695</v>
      </c>
      <c r="V683">
        <v>240</v>
      </c>
      <c r="W683">
        <v>25</v>
      </c>
      <c r="X683">
        <v>1011.7</v>
      </c>
      <c r="Y683">
        <v>339.39</v>
      </c>
      <c r="Z683">
        <v>1351.09</v>
      </c>
      <c r="AA683" t="s">
        <v>63</v>
      </c>
      <c r="AB683">
        <v>0</v>
      </c>
      <c r="AC683">
        <v>83.94</v>
      </c>
      <c r="AD683">
        <v>243</v>
      </c>
      <c r="AE683">
        <v>222</v>
      </c>
    </row>
    <row r="684" spans="1:31" x14ac:dyDescent="0.25">
      <c r="A684" t="s">
        <v>3360</v>
      </c>
      <c r="B684" t="s">
        <v>945</v>
      </c>
      <c r="C684" s="1">
        <v>44678</v>
      </c>
      <c r="D684" s="1">
        <v>45301</v>
      </c>
      <c r="E684" t="s">
        <v>66</v>
      </c>
      <c r="F684" t="s">
        <v>147</v>
      </c>
      <c r="G684" t="s">
        <v>115</v>
      </c>
      <c r="H684" t="s">
        <v>218</v>
      </c>
      <c r="I684" t="s">
        <v>1709</v>
      </c>
      <c r="J684" t="s">
        <v>38</v>
      </c>
      <c r="K684" t="s">
        <v>97</v>
      </c>
      <c r="L684" t="s">
        <v>3361</v>
      </c>
      <c r="M684">
        <v>122.06</v>
      </c>
      <c r="N684">
        <v>45</v>
      </c>
      <c r="O684" t="s">
        <v>3362</v>
      </c>
      <c r="P684" t="s">
        <v>59</v>
      </c>
      <c r="Q684" t="s">
        <v>455</v>
      </c>
      <c r="R684" t="s">
        <v>88</v>
      </c>
      <c r="S684" t="s">
        <v>45</v>
      </c>
      <c r="T684" t="s">
        <v>121</v>
      </c>
      <c r="U684">
        <v>1933</v>
      </c>
      <c r="V684">
        <v>457</v>
      </c>
      <c r="W684">
        <v>18</v>
      </c>
      <c r="X684">
        <v>1001.18</v>
      </c>
      <c r="Y684">
        <v>75.69</v>
      </c>
      <c r="Z684">
        <v>1076.8699999999999</v>
      </c>
      <c r="AA684" t="s">
        <v>63</v>
      </c>
      <c r="AB684">
        <v>0</v>
      </c>
      <c r="AC684">
        <v>79.180000000000007</v>
      </c>
      <c r="AD684">
        <v>240</v>
      </c>
      <c r="AE684">
        <v>205</v>
      </c>
    </row>
    <row r="685" spans="1:31" x14ac:dyDescent="0.25">
      <c r="A685" t="s">
        <v>3363</v>
      </c>
      <c r="B685" t="s">
        <v>3364</v>
      </c>
      <c r="C685" s="1">
        <v>44763</v>
      </c>
      <c r="D685" s="1">
        <v>45523</v>
      </c>
      <c r="E685" t="s">
        <v>66</v>
      </c>
      <c r="F685" t="s">
        <v>78</v>
      </c>
      <c r="G685" t="s">
        <v>105</v>
      </c>
      <c r="H685" t="s">
        <v>218</v>
      </c>
      <c r="I685" t="s">
        <v>3365</v>
      </c>
      <c r="J685" t="s">
        <v>55</v>
      </c>
      <c r="K685" t="s">
        <v>56</v>
      </c>
      <c r="L685" t="s">
        <v>3366</v>
      </c>
      <c r="M685">
        <v>357.66</v>
      </c>
      <c r="N685">
        <v>88</v>
      </c>
      <c r="O685" t="s">
        <v>2085</v>
      </c>
      <c r="P685" t="s">
        <v>86</v>
      </c>
      <c r="Q685" t="s">
        <v>997</v>
      </c>
      <c r="R685" t="s">
        <v>61</v>
      </c>
      <c r="S685" t="s">
        <v>89</v>
      </c>
      <c r="T685" t="s">
        <v>405</v>
      </c>
      <c r="U685">
        <v>4334</v>
      </c>
      <c r="V685">
        <v>459</v>
      </c>
      <c r="W685">
        <v>8</v>
      </c>
      <c r="X685">
        <v>1230.2</v>
      </c>
      <c r="Y685">
        <v>145.69999999999999</v>
      </c>
      <c r="Z685">
        <v>1375.9</v>
      </c>
      <c r="AA685" t="s">
        <v>63</v>
      </c>
      <c r="AB685">
        <v>0</v>
      </c>
      <c r="AC685">
        <v>94.28</v>
      </c>
      <c r="AD685">
        <v>186</v>
      </c>
      <c r="AE685">
        <v>216</v>
      </c>
    </row>
    <row r="686" spans="1:31" x14ac:dyDescent="0.25">
      <c r="A686" t="s">
        <v>3367</v>
      </c>
      <c r="B686" t="s">
        <v>3368</v>
      </c>
      <c r="C686" s="1">
        <v>44310</v>
      </c>
      <c r="D686" s="1">
        <v>45150</v>
      </c>
      <c r="E686" t="s">
        <v>50</v>
      </c>
      <c r="F686" t="s">
        <v>51</v>
      </c>
      <c r="G686" t="s">
        <v>35</v>
      </c>
      <c r="H686" t="s">
        <v>164</v>
      </c>
      <c r="I686" t="s">
        <v>3369</v>
      </c>
      <c r="J686" t="s">
        <v>96</v>
      </c>
      <c r="K686" t="s">
        <v>56</v>
      </c>
      <c r="L686" t="s">
        <v>3370</v>
      </c>
      <c r="M686">
        <v>355.08</v>
      </c>
      <c r="N686">
        <v>6</v>
      </c>
      <c r="O686" t="s">
        <v>3371</v>
      </c>
      <c r="P686" t="s">
        <v>42</v>
      </c>
      <c r="Q686" t="s">
        <v>143</v>
      </c>
      <c r="R686" t="s">
        <v>88</v>
      </c>
      <c r="S686" t="s">
        <v>101</v>
      </c>
      <c r="T686" t="s">
        <v>1059</v>
      </c>
      <c r="U686">
        <v>4788</v>
      </c>
      <c r="V686">
        <v>167</v>
      </c>
      <c r="W686">
        <v>28</v>
      </c>
      <c r="X686">
        <v>97.83</v>
      </c>
      <c r="Y686">
        <v>95.62</v>
      </c>
      <c r="Z686">
        <v>193.45</v>
      </c>
      <c r="AA686" t="s">
        <v>63</v>
      </c>
      <c r="AB686">
        <v>0</v>
      </c>
      <c r="AC686">
        <v>93.93</v>
      </c>
      <c r="AD686">
        <v>293</v>
      </c>
      <c r="AE686">
        <v>276</v>
      </c>
    </row>
    <row r="687" spans="1:31" x14ac:dyDescent="0.25">
      <c r="A687" t="s">
        <v>3372</v>
      </c>
      <c r="B687" t="s">
        <v>3373</v>
      </c>
      <c r="C687" s="1">
        <v>45265</v>
      </c>
      <c r="D687" s="1">
        <v>44989</v>
      </c>
      <c r="E687" t="s">
        <v>33</v>
      </c>
      <c r="F687" t="s">
        <v>147</v>
      </c>
      <c r="G687" t="s">
        <v>35</v>
      </c>
      <c r="H687" t="s">
        <v>68</v>
      </c>
      <c r="I687" t="s">
        <v>3374</v>
      </c>
      <c r="J687" t="s">
        <v>82</v>
      </c>
      <c r="K687" t="s">
        <v>56</v>
      </c>
      <c r="L687" t="s">
        <v>3375</v>
      </c>
      <c r="M687">
        <v>412.51</v>
      </c>
      <c r="N687">
        <v>37</v>
      </c>
      <c r="O687" t="s">
        <v>809</v>
      </c>
      <c r="P687" t="s">
        <v>42</v>
      </c>
      <c r="Q687" t="s">
        <v>364</v>
      </c>
      <c r="R687" t="s">
        <v>61</v>
      </c>
      <c r="S687" t="s">
        <v>45</v>
      </c>
      <c r="T687" t="s">
        <v>255</v>
      </c>
      <c r="U687">
        <v>1360</v>
      </c>
      <c r="V687">
        <v>395</v>
      </c>
      <c r="W687">
        <v>20</v>
      </c>
      <c r="X687">
        <v>1179.82</v>
      </c>
      <c r="Y687">
        <v>122.48</v>
      </c>
      <c r="Z687">
        <v>1302.3</v>
      </c>
      <c r="AA687" t="s">
        <v>63</v>
      </c>
      <c r="AB687">
        <v>0</v>
      </c>
      <c r="AC687">
        <v>77.959999999999994</v>
      </c>
      <c r="AD687">
        <v>488</v>
      </c>
      <c r="AE687">
        <v>531</v>
      </c>
    </row>
    <row r="688" spans="1:31" x14ac:dyDescent="0.25">
      <c r="A688" t="s">
        <v>3376</v>
      </c>
      <c r="B688" t="s">
        <v>3377</v>
      </c>
      <c r="C688" s="1">
        <v>44088</v>
      </c>
      <c r="D688" s="1">
        <v>45343</v>
      </c>
      <c r="E688" t="s">
        <v>66</v>
      </c>
      <c r="F688" t="s">
        <v>34</v>
      </c>
      <c r="G688" t="s">
        <v>35</v>
      </c>
      <c r="H688" t="s">
        <v>116</v>
      </c>
      <c r="I688" t="s">
        <v>3378</v>
      </c>
      <c r="J688" t="s">
        <v>96</v>
      </c>
      <c r="K688" t="s">
        <v>39</v>
      </c>
      <c r="L688" t="s">
        <v>666</v>
      </c>
      <c r="M688">
        <v>319.37</v>
      </c>
      <c r="N688">
        <v>96</v>
      </c>
      <c r="O688" t="s">
        <v>982</v>
      </c>
      <c r="P688" t="s">
        <v>142</v>
      </c>
      <c r="Q688" t="s">
        <v>428</v>
      </c>
      <c r="R688" t="s">
        <v>153</v>
      </c>
      <c r="S688" t="s">
        <v>45</v>
      </c>
      <c r="T688" t="s">
        <v>297</v>
      </c>
      <c r="U688">
        <v>3102</v>
      </c>
      <c r="V688">
        <v>447</v>
      </c>
      <c r="W688">
        <v>11</v>
      </c>
      <c r="X688">
        <v>635.20000000000005</v>
      </c>
      <c r="Y688">
        <v>98.26</v>
      </c>
      <c r="Z688">
        <v>733.46</v>
      </c>
      <c r="AA688" t="s">
        <v>63</v>
      </c>
      <c r="AB688">
        <v>0</v>
      </c>
      <c r="AC688">
        <v>70.02</v>
      </c>
      <c r="AD688">
        <v>297</v>
      </c>
      <c r="AE688">
        <v>308</v>
      </c>
    </row>
    <row r="689" spans="1:31" x14ac:dyDescent="0.25">
      <c r="A689" t="s">
        <v>3379</v>
      </c>
      <c r="B689" t="s">
        <v>3380</v>
      </c>
      <c r="C689" s="1">
        <v>43847</v>
      </c>
      <c r="D689" s="1">
        <v>45146</v>
      </c>
      <c r="E689" t="s">
        <v>50</v>
      </c>
      <c r="F689" t="s">
        <v>147</v>
      </c>
      <c r="G689" t="s">
        <v>35</v>
      </c>
      <c r="H689" t="s">
        <v>218</v>
      </c>
      <c r="I689" t="s">
        <v>3381</v>
      </c>
      <c r="J689" t="s">
        <v>82</v>
      </c>
      <c r="K689" t="s">
        <v>39</v>
      </c>
      <c r="L689" t="s">
        <v>3382</v>
      </c>
      <c r="M689">
        <v>140.46</v>
      </c>
      <c r="N689">
        <v>59</v>
      </c>
      <c r="O689" t="s">
        <v>747</v>
      </c>
      <c r="P689" t="s">
        <v>42</v>
      </c>
      <c r="Q689" t="s">
        <v>168</v>
      </c>
      <c r="R689" t="s">
        <v>88</v>
      </c>
      <c r="S689" t="s">
        <v>45</v>
      </c>
      <c r="T689" t="s">
        <v>144</v>
      </c>
      <c r="U689">
        <v>2150</v>
      </c>
      <c r="V689">
        <v>351</v>
      </c>
      <c r="W689">
        <v>28</v>
      </c>
      <c r="X689">
        <v>56.14</v>
      </c>
      <c r="Y689">
        <v>237.94</v>
      </c>
      <c r="Z689">
        <v>294.08</v>
      </c>
      <c r="AA689" t="s">
        <v>63</v>
      </c>
      <c r="AB689">
        <v>0</v>
      </c>
      <c r="AC689">
        <v>87.74</v>
      </c>
      <c r="AD689">
        <v>322</v>
      </c>
      <c r="AE689">
        <v>353</v>
      </c>
    </row>
    <row r="690" spans="1:31" x14ac:dyDescent="0.25">
      <c r="A690" t="s">
        <v>3383</v>
      </c>
      <c r="B690" t="s">
        <v>3384</v>
      </c>
      <c r="C690" s="1">
        <v>45164</v>
      </c>
      <c r="D690" s="1">
        <v>45589</v>
      </c>
      <c r="E690" t="s">
        <v>66</v>
      </c>
      <c r="F690" t="s">
        <v>78</v>
      </c>
      <c r="G690" t="s">
        <v>35</v>
      </c>
      <c r="H690" t="s">
        <v>148</v>
      </c>
      <c r="I690" t="s">
        <v>3385</v>
      </c>
      <c r="J690" t="s">
        <v>96</v>
      </c>
      <c r="K690" t="s">
        <v>83</v>
      </c>
      <c r="L690" t="s">
        <v>3386</v>
      </c>
      <c r="M690">
        <v>93.55</v>
      </c>
      <c r="N690">
        <v>84</v>
      </c>
      <c r="O690" t="s">
        <v>487</v>
      </c>
      <c r="P690" t="s">
        <v>142</v>
      </c>
      <c r="Q690" t="s">
        <v>168</v>
      </c>
      <c r="R690" t="s">
        <v>61</v>
      </c>
      <c r="S690" t="s">
        <v>128</v>
      </c>
      <c r="T690" t="s">
        <v>559</v>
      </c>
      <c r="U690">
        <v>2138</v>
      </c>
      <c r="V690">
        <v>343</v>
      </c>
      <c r="W690">
        <v>12</v>
      </c>
      <c r="X690">
        <v>717.52</v>
      </c>
      <c r="Y690">
        <v>341.98</v>
      </c>
      <c r="Z690">
        <v>1059.5</v>
      </c>
      <c r="AA690" t="s">
        <v>47</v>
      </c>
      <c r="AB690">
        <v>5</v>
      </c>
      <c r="AC690">
        <v>98.1</v>
      </c>
      <c r="AD690">
        <v>379</v>
      </c>
      <c r="AE690">
        <v>397</v>
      </c>
    </row>
    <row r="691" spans="1:31" x14ac:dyDescent="0.25">
      <c r="A691" t="s">
        <v>3387</v>
      </c>
      <c r="B691" t="s">
        <v>3388</v>
      </c>
      <c r="C691" s="1">
        <v>44189</v>
      </c>
      <c r="D691" s="1">
        <v>44212</v>
      </c>
      <c r="E691" t="s">
        <v>50</v>
      </c>
      <c r="F691" t="s">
        <v>51</v>
      </c>
      <c r="G691" t="s">
        <v>115</v>
      </c>
      <c r="H691" t="s">
        <v>218</v>
      </c>
      <c r="I691" t="s">
        <v>3389</v>
      </c>
      <c r="J691" t="s">
        <v>96</v>
      </c>
      <c r="K691" t="s">
        <v>56</v>
      </c>
      <c r="L691" t="s">
        <v>3390</v>
      </c>
      <c r="M691">
        <v>285.3</v>
      </c>
      <c r="N691">
        <v>68</v>
      </c>
      <c r="O691" t="s">
        <v>1950</v>
      </c>
      <c r="P691" t="s">
        <v>59</v>
      </c>
      <c r="Q691" t="s">
        <v>73</v>
      </c>
      <c r="R691" t="s">
        <v>61</v>
      </c>
      <c r="S691" t="s">
        <v>101</v>
      </c>
      <c r="T691" t="s">
        <v>273</v>
      </c>
      <c r="U691">
        <v>1417</v>
      </c>
      <c r="V691">
        <v>181</v>
      </c>
      <c r="W691">
        <v>23</v>
      </c>
      <c r="X691">
        <v>541.85</v>
      </c>
      <c r="Y691">
        <v>62.25</v>
      </c>
      <c r="Z691">
        <v>604.1</v>
      </c>
      <c r="AA691" t="s">
        <v>63</v>
      </c>
      <c r="AB691">
        <v>0</v>
      </c>
      <c r="AC691">
        <v>88.8</v>
      </c>
      <c r="AD691">
        <v>324</v>
      </c>
      <c r="AE691">
        <v>350</v>
      </c>
    </row>
    <row r="692" spans="1:31" x14ac:dyDescent="0.25">
      <c r="A692" t="s">
        <v>3391</v>
      </c>
      <c r="B692" t="s">
        <v>3392</v>
      </c>
      <c r="C692" s="1">
        <v>44204</v>
      </c>
      <c r="D692" s="1">
        <v>44435</v>
      </c>
      <c r="E692" t="s">
        <v>66</v>
      </c>
      <c r="F692" t="s">
        <v>78</v>
      </c>
      <c r="G692" t="s">
        <v>94</v>
      </c>
      <c r="H692" t="s">
        <v>218</v>
      </c>
      <c r="I692" t="s">
        <v>3393</v>
      </c>
      <c r="J692" t="s">
        <v>96</v>
      </c>
      <c r="K692" t="s">
        <v>39</v>
      </c>
      <c r="L692" t="s">
        <v>3394</v>
      </c>
      <c r="M692">
        <v>343.43</v>
      </c>
      <c r="N692">
        <v>43</v>
      </c>
      <c r="O692" t="s">
        <v>1378</v>
      </c>
      <c r="P692" t="s">
        <v>59</v>
      </c>
      <c r="Q692" t="s">
        <v>111</v>
      </c>
      <c r="R692" t="s">
        <v>153</v>
      </c>
      <c r="S692" t="s">
        <v>101</v>
      </c>
      <c r="T692" t="s">
        <v>467</v>
      </c>
      <c r="U692">
        <v>2803</v>
      </c>
      <c r="V692">
        <v>89</v>
      </c>
      <c r="W692">
        <v>29</v>
      </c>
      <c r="X692">
        <v>785.64</v>
      </c>
      <c r="Y692">
        <v>332.78</v>
      </c>
      <c r="Z692">
        <v>1118.42</v>
      </c>
      <c r="AA692" t="s">
        <v>63</v>
      </c>
      <c r="AB692">
        <v>0</v>
      </c>
      <c r="AC692">
        <v>72.790000000000006</v>
      </c>
      <c r="AD692">
        <v>113</v>
      </c>
      <c r="AE692">
        <v>131</v>
      </c>
    </row>
    <row r="693" spans="1:31" x14ac:dyDescent="0.25">
      <c r="A693" t="s">
        <v>3395</v>
      </c>
      <c r="B693" t="s">
        <v>3396</v>
      </c>
      <c r="C693" s="1">
        <v>44430</v>
      </c>
      <c r="D693" s="1">
        <v>45653</v>
      </c>
      <c r="E693" t="s">
        <v>66</v>
      </c>
      <c r="F693" t="s">
        <v>34</v>
      </c>
      <c r="G693" t="s">
        <v>337</v>
      </c>
      <c r="H693" t="s">
        <v>148</v>
      </c>
      <c r="I693" t="s">
        <v>3397</v>
      </c>
      <c r="J693" t="s">
        <v>38</v>
      </c>
      <c r="K693" t="s">
        <v>56</v>
      </c>
      <c r="L693" t="s">
        <v>3398</v>
      </c>
      <c r="M693">
        <v>424.16</v>
      </c>
      <c r="N693">
        <v>17</v>
      </c>
      <c r="O693" t="s">
        <v>3399</v>
      </c>
      <c r="P693" t="s">
        <v>86</v>
      </c>
      <c r="Q693" t="s">
        <v>214</v>
      </c>
      <c r="R693" t="s">
        <v>61</v>
      </c>
      <c r="S693" t="s">
        <v>89</v>
      </c>
      <c r="T693" t="s">
        <v>203</v>
      </c>
      <c r="U693">
        <v>3035</v>
      </c>
      <c r="V693">
        <v>455</v>
      </c>
      <c r="W693">
        <v>27</v>
      </c>
      <c r="X693">
        <v>521.45000000000005</v>
      </c>
      <c r="Y693">
        <v>460.31</v>
      </c>
      <c r="Z693">
        <v>981.76</v>
      </c>
      <c r="AA693" t="s">
        <v>63</v>
      </c>
      <c r="AB693">
        <v>0</v>
      </c>
      <c r="AC693">
        <v>92.95</v>
      </c>
      <c r="AD693">
        <v>70</v>
      </c>
      <c r="AE693">
        <v>83</v>
      </c>
    </row>
    <row r="694" spans="1:31" x14ac:dyDescent="0.25">
      <c r="A694" t="s">
        <v>3400</v>
      </c>
      <c r="B694" t="s">
        <v>3401</v>
      </c>
      <c r="C694" s="1">
        <v>44855</v>
      </c>
      <c r="D694" s="1">
        <v>44835</v>
      </c>
      <c r="E694" t="s">
        <v>66</v>
      </c>
      <c r="F694" t="s">
        <v>34</v>
      </c>
      <c r="G694" t="s">
        <v>337</v>
      </c>
      <c r="H694" t="s">
        <v>53</v>
      </c>
      <c r="I694" t="s">
        <v>3402</v>
      </c>
      <c r="J694" t="s">
        <v>38</v>
      </c>
      <c r="K694" t="s">
        <v>97</v>
      </c>
      <c r="L694" t="s">
        <v>3403</v>
      </c>
      <c r="M694">
        <v>38.67</v>
      </c>
      <c r="N694">
        <v>54</v>
      </c>
      <c r="O694" t="s">
        <v>2777</v>
      </c>
      <c r="P694" t="s">
        <v>86</v>
      </c>
      <c r="Q694" t="s">
        <v>189</v>
      </c>
      <c r="R694" t="s">
        <v>44</v>
      </c>
      <c r="S694" t="s">
        <v>101</v>
      </c>
      <c r="T694" t="s">
        <v>353</v>
      </c>
      <c r="U694">
        <v>192</v>
      </c>
      <c r="V694">
        <v>188</v>
      </c>
      <c r="W694">
        <v>11</v>
      </c>
      <c r="X694">
        <v>614.74</v>
      </c>
      <c r="Y694">
        <v>460.63</v>
      </c>
      <c r="Z694">
        <v>1075.3699999999999</v>
      </c>
      <c r="AA694" t="s">
        <v>63</v>
      </c>
      <c r="AB694">
        <v>0</v>
      </c>
      <c r="AC694">
        <v>98.82</v>
      </c>
      <c r="AD694">
        <v>333</v>
      </c>
      <c r="AE694">
        <v>382</v>
      </c>
    </row>
    <row r="695" spans="1:31" x14ac:dyDescent="0.25">
      <c r="A695" t="s">
        <v>3404</v>
      </c>
      <c r="B695" t="s">
        <v>3405</v>
      </c>
      <c r="C695" s="1">
        <v>44485</v>
      </c>
      <c r="D695" s="1">
        <v>44296</v>
      </c>
      <c r="E695" t="s">
        <v>66</v>
      </c>
      <c r="F695" t="s">
        <v>78</v>
      </c>
      <c r="G695" t="s">
        <v>115</v>
      </c>
      <c r="H695" t="s">
        <v>148</v>
      </c>
      <c r="I695" t="s">
        <v>3406</v>
      </c>
      <c r="J695" t="s">
        <v>38</v>
      </c>
      <c r="K695" t="s">
        <v>56</v>
      </c>
      <c r="L695" t="s">
        <v>3407</v>
      </c>
      <c r="M695">
        <v>278.05</v>
      </c>
      <c r="N695">
        <v>29</v>
      </c>
      <c r="O695" t="s">
        <v>1500</v>
      </c>
      <c r="P695" t="s">
        <v>142</v>
      </c>
      <c r="Q695" t="s">
        <v>234</v>
      </c>
      <c r="R695" t="s">
        <v>153</v>
      </c>
      <c r="S695" t="s">
        <v>74</v>
      </c>
      <c r="T695" t="s">
        <v>642</v>
      </c>
      <c r="U695">
        <v>3021</v>
      </c>
      <c r="V695">
        <v>358</v>
      </c>
      <c r="W695">
        <v>17</v>
      </c>
      <c r="X695">
        <v>247.57</v>
      </c>
      <c r="Y695">
        <v>250.13</v>
      </c>
      <c r="Z695">
        <v>497.7</v>
      </c>
      <c r="AA695" t="s">
        <v>63</v>
      </c>
      <c r="AB695">
        <v>0</v>
      </c>
      <c r="AC695">
        <v>74.709999999999994</v>
      </c>
      <c r="AD695">
        <v>211</v>
      </c>
      <c r="AE695">
        <v>238</v>
      </c>
    </row>
    <row r="696" spans="1:31" x14ac:dyDescent="0.25">
      <c r="A696" t="s">
        <v>3408</v>
      </c>
      <c r="B696" t="s">
        <v>3409</v>
      </c>
      <c r="C696" s="1">
        <v>44338</v>
      </c>
      <c r="D696" s="1">
        <v>44838</v>
      </c>
      <c r="E696" t="s">
        <v>66</v>
      </c>
      <c r="F696" t="s">
        <v>93</v>
      </c>
      <c r="G696" t="s">
        <v>337</v>
      </c>
      <c r="H696" t="s">
        <v>68</v>
      </c>
      <c r="I696" t="s">
        <v>3410</v>
      </c>
      <c r="J696" t="s">
        <v>38</v>
      </c>
      <c r="K696" t="s">
        <v>97</v>
      </c>
      <c r="L696" t="s">
        <v>3411</v>
      </c>
      <c r="M696">
        <v>385.4</v>
      </c>
      <c r="N696">
        <v>57</v>
      </c>
      <c r="O696" t="s">
        <v>3412</v>
      </c>
      <c r="P696" t="s">
        <v>59</v>
      </c>
      <c r="Q696" t="s">
        <v>241</v>
      </c>
      <c r="R696" t="s">
        <v>153</v>
      </c>
      <c r="S696" t="s">
        <v>128</v>
      </c>
      <c r="T696" t="s">
        <v>642</v>
      </c>
      <c r="U696">
        <v>751</v>
      </c>
      <c r="V696">
        <v>102</v>
      </c>
      <c r="W696">
        <v>4</v>
      </c>
      <c r="X696">
        <v>1987.37</v>
      </c>
      <c r="Y696">
        <v>384.01</v>
      </c>
      <c r="Z696">
        <v>2371.38</v>
      </c>
      <c r="AA696" t="s">
        <v>63</v>
      </c>
      <c r="AB696">
        <v>0</v>
      </c>
      <c r="AC696">
        <v>78.540000000000006</v>
      </c>
      <c r="AD696">
        <v>295</v>
      </c>
      <c r="AE696">
        <v>327</v>
      </c>
    </row>
    <row r="697" spans="1:31" x14ac:dyDescent="0.25">
      <c r="A697" t="s">
        <v>3413</v>
      </c>
      <c r="B697" t="s">
        <v>3414</v>
      </c>
      <c r="C697" s="1">
        <v>45150</v>
      </c>
      <c r="D697" s="1">
        <v>45181</v>
      </c>
      <c r="E697" t="s">
        <v>66</v>
      </c>
      <c r="F697" t="s">
        <v>34</v>
      </c>
      <c r="G697" t="s">
        <v>337</v>
      </c>
      <c r="H697" t="s">
        <v>148</v>
      </c>
      <c r="I697" t="s">
        <v>3415</v>
      </c>
      <c r="J697" t="s">
        <v>107</v>
      </c>
      <c r="K697" t="s">
        <v>97</v>
      </c>
      <c r="L697" t="s">
        <v>3416</v>
      </c>
      <c r="M697">
        <v>223.43</v>
      </c>
      <c r="N697">
        <v>71</v>
      </c>
      <c r="O697" t="s">
        <v>3417</v>
      </c>
      <c r="P697" t="s">
        <v>42</v>
      </c>
      <c r="Q697" t="s">
        <v>202</v>
      </c>
      <c r="R697" t="s">
        <v>44</v>
      </c>
      <c r="S697" t="s">
        <v>89</v>
      </c>
      <c r="T697" t="s">
        <v>129</v>
      </c>
      <c r="U697">
        <v>1460</v>
      </c>
      <c r="V697">
        <v>486</v>
      </c>
      <c r="W697">
        <v>9</v>
      </c>
      <c r="X697">
        <v>1891.96</v>
      </c>
      <c r="Y697">
        <v>494.16</v>
      </c>
      <c r="Z697">
        <v>2386.12</v>
      </c>
      <c r="AA697" t="s">
        <v>63</v>
      </c>
      <c r="AB697">
        <v>0</v>
      </c>
      <c r="AC697">
        <v>70.52</v>
      </c>
      <c r="AD697">
        <v>303</v>
      </c>
      <c r="AE697">
        <v>262</v>
      </c>
    </row>
    <row r="698" spans="1:31" x14ac:dyDescent="0.25">
      <c r="A698" t="s">
        <v>3418</v>
      </c>
      <c r="B698" t="s">
        <v>3419</v>
      </c>
      <c r="C698" s="1">
        <v>43834</v>
      </c>
      <c r="D698" s="1">
        <v>44617</v>
      </c>
      <c r="E698" t="s">
        <v>66</v>
      </c>
      <c r="F698" t="s">
        <v>51</v>
      </c>
      <c r="G698" t="s">
        <v>35</v>
      </c>
      <c r="H698" t="s">
        <v>116</v>
      </c>
      <c r="I698" t="s">
        <v>3420</v>
      </c>
      <c r="J698" t="s">
        <v>96</v>
      </c>
      <c r="K698" t="s">
        <v>83</v>
      </c>
      <c r="L698" t="s">
        <v>3421</v>
      </c>
      <c r="M698">
        <v>392.82</v>
      </c>
      <c r="N698">
        <v>19</v>
      </c>
      <c r="O698" t="s">
        <v>3422</v>
      </c>
      <c r="P698" t="s">
        <v>142</v>
      </c>
      <c r="Q698" t="s">
        <v>340</v>
      </c>
      <c r="R698" t="s">
        <v>44</v>
      </c>
      <c r="S698" t="s">
        <v>89</v>
      </c>
      <c r="T698" t="s">
        <v>444</v>
      </c>
      <c r="U698">
        <v>1252</v>
      </c>
      <c r="V698">
        <v>184</v>
      </c>
      <c r="W698">
        <v>29</v>
      </c>
      <c r="X698">
        <v>1819.46</v>
      </c>
      <c r="Y698">
        <v>383.08</v>
      </c>
      <c r="Z698">
        <v>2202.54</v>
      </c>
      <c r="AA698" t="s">
        <v>63</v>
      </c>
      <c r="AB698">
        <v>0</v>
      </c>
      <c r="AC698">
        <v>99.35</v>
      </c>
      <c r="AD698">
        <v>455</v>
      </c>
      <c r="AE698">
        <v>498</v>
      </c>
    </row>
    <row r="699" spans="1:31" x14ac:dyDescent="0.25">
      <c r="A699" t="s">
        <v>3423</v>
      </c>
      <c r="B699" t="s">
        <v>3424</v>
      </c>
      <c r="C699" s="1">
        <v>44685</v>
      </c>
      <c r="D699" s="1">
        <v>44899</v>
      </c>
      <c r="E699" t="s">
        <v>33</v>
      </c>
      <c r="F699" t="s">
        <v>34</v>
      </c>
      <c r="G699" t="s">
        <v>52</v>
      </c>
      <c r="H699" t="s">
        <v>164</v>
      </c>
      <c r="I699" t="s">
        <v>3425</v>
      </c>
      <c r="J699" t="s">
        <v>55</v>
      </c>
      <c r="K699" t="s">
        <v>56</v>
      </c>
      <c r="L699" t="s">
        <v>3426</v>
      </c>
      <c r="M699">
        <v>347.54</v>
      </c>
      <c r="N699">
        <v>90</v>
      </c>
      <c r="O699" t="s">
        <v>3427</v>
      </c>
      <c r="P699" t="s">
        <v>59</v>
      </c>
      <c r="Q699" t="s">
        <v>706</v>
      </c>
      <c r="R699" t="s">
        <v>44</v>
      </c>
      <c r="S699" t="s">
        <v>45</v>
      </c>
      <c r="T699" t="s">
        <v>46</v>
      </c>
      <c r="U699">
        <v>745</v>
      </c>
      <c r="V699">
        <v>132</v>
      </c>
      <c r="W699">
        <v>25</v>
      </c>
      <c r="X699">
        <v>1759.93</v>
      </c>
      <c r="Y699">
        <v>412.56</v>
      </c>
      <c r="Z699">
        <v>2172.4899999999998</v>
      </c>
      <c r="AA699" t="s">
        <v>47</v>
      </c>
      <c r="AB699">
        <v>12</v>
      </c>
      <c r="AC699">
        <v>83.48</v>
      </c>
      <c r="AD699">
        <v>444</v>
      </c>
      <c r="AE699">
        <v>434</v>
      </c>
    </row>
    <row r="700" spans="1:31" x14ac:dyDescent="0.25">
      <c r="A700" t="s">
        <v>3428</v>
      </c>
      <c r="B700" t="s">
        <v>3429</v>
      </c>
      <c r="C700" s="1">
        <v>45271</v>
      </c>
      <c r="D700" s="1">
        <v>44876</v>
      </c>
      <c r="E700" t="s">
        <v>66</v>
      </c>
      <c r="F700" t="s">
        <v>93</v>
      </c>
      <c r="G700" t="s">
        <v>79</v>
      </c>
      <c r="H700" t="s">
        <v>164</v>
      </c>
      <c r="I700" t="s">
        <v>3430</v>
      </c>
      <c r="J700" t="s">
        <v>96</v>
      </c>
      <c r="K700" t="s">
        <v>39</v>
      </c>
      <c r="L700" t="s">
        <v>3431</v>
      </c>
      <c r="M700">
        <v>338.79</v>
      </c>
      <c r="N700">
        <v>12</v>
      </c>
      <c r="O700" t="s">
        <v>694</v>
      </c>
      <c r="P700" t="s">
        <v>42</v>
      </c>
      <c r="Q700" t="s">
        <v>111</v>
      </c>
      <c r="R700" t="s">
        <v>153</v>
      </c>
      <c r="S700" t="s">
        <v>45</v>
      </c>
      <c r="T700" t="s">
        <v>636</v>
      </c>
      <c r="U700">
        <v>230</v>
      </c>
      <c r="V700">
        <v>427</v>
      </c>
      <c r="W700">
        <v>26</v>
      </c>
      <c r="X700">
        <v>1020.87</v>
      </c>
      <c r="Y700">
        <v>49.4</v>
      </c>
      <c r="Z700">
        <v>1070.27</v>
      </c>
      <c r="AA700" t="s">
        <v>63</v>
      </c>
      <c r="AB700">
        <v>0</v>
      </c>
      <c r="AC700">
        <v>92.74</v>
      </c>
      <c r="AD700">
        <v>101</v>
      </c>
      <c r="AE700">
        <v>90</v>
      </c>
    </row>
    <row r="701" spans="1:31" x14ac:dyDescent="0.25">
      <c r="A701" t="s">
        <v>3432</v>
      </c>
      <c r="B701" t="s">
        <v>3433</v>
      </c>
      <c r="C701" s="1">
        <v>44976</v>
      </c>
      <c r="D701" s="1">
        <v>44312</v>
      </c>
      <c r="E701" t="s">
        <v>50</v>
      </c>
      <c r="F701" t="s">
        <v>34</v>
      </c>
      <c r="G701" t="s">
        <v>35</v>
      </c>
      <c r="H701" t="s">
        <v>68</v>
      </c>
      <c r="I701" t="s">
        <v>3434</v>
      </c>
      <c r="J701" t="s">
        <v>82</v>
      </c>
      <c r="K701" t="s">
        <v>70</v>
      </c>
      <c r="L701" t="s">
        <v>3435</v>
      </c>
      <c r="M701">
        <v>444.27</v>
      </c>
      <c r="N701">
        <v>53</v>
      </c>
      <c r="O701" t="s">
        <v>3436</v>
      </c>
      <c r="P701" t="s">
        <v>59</v>
      </c>
      <c r="Q701" t="s">
        <v>488</v>
      </c>
      <c r="R701" t="s">
        <v>61</v>
      </c>
      <c r="S701" t="s">
        <v>45</v>
      </c>
      <c r="T701" t="s">
        <v>291</v>
      </c>
      <c r="U701">
        <v>3111</v>
      </c>
      <c r="V701">
        <v>239</v>
      </c>
      <c r="W701">
        <v>20</v>
      </c>
      <c r="X701">
        <v>1509.59</v>
      </c>
      <c r="Y701">
        <v>385.18</v>
      </c>
      <c r="Z701">
        <v>1894.77</v>
      </c>
      <c r="AA701" t="s">
        <v>63</v>
      </c>
      <c r="AB701">
        <v>0</v>
      </c>
      <c r="AC701">
        <v>93.24</v>
      </c>
      <c r="AD701">
        <v>186</v>
      </c>
      <c r="AE701">
        <v>215</v>
      </c>
    </row>
    <row r="702" spans="1:31" x14ac:dyDescent="0.25">
      <c r="A702" t="s">
        <v>3437</v>
      </c>
      <c r="B702" t="s">
        <v>3438</v>
      </c>
      <c r="C702" s="1">
        <v>44043</v>
      </c>
      <c r="D702" s="1">
        <v>44508</v>
      </c>
      <c r="E702" t="s">
        <v>33</v>
      </c>
      <c r="F702" t="s">
        <v>34</v>
      </c>
      <c r="G702" t="s">
        <v>105</v>
      </c>
      <c r="H702" t="s">
        <v>164</v>
      </c>
      <c r="I702" t="s">
        <v>3439</v>
      </c>
      <c r="J702" t="s">
        <v>96</v>
      </c>
      <c r="K702" t="s">
        <v>56</v>
      </c>
      <c r="L702" t="s">
        <v>3440</v>
      </c>
      <c r="M702">
        <v>91.73</v>
      </c>
      <c r="N702">
        <v>12</v>
      </c>
      <c r="O702" t="s">
        <v>3441</v>
      </c>
      <c r="P702" t="s">
        <v>110</v>
      </c>
      <c r="Q702" t="s">
        <v>152</v>
      </c>
      <c r="R702" t="s">
        <v>61</v>
      </c>
      <c r="S702" t="s">
        <v>45</v>
      </c>
      <c r="T702" t="s">
        <v>183</v>
      </c>
      <c r="U702">
        <v>1434</v>
      </c>
      <c r="V702">
        <v>332</v>
      </c>
      <c r="W702">
        <v>17</v>
      </c>
      <c r="X702">
        <v>1157.67</v>
      </c>
      <c r="Y702">
        <v>469.65</v>
      </c>
      <c r="Z702">
        <v>1627.32</v>
      </c>
      <c r="AA702" t="s">
        <v>63</v>
      </c>
      <c r="AB702">
        <v>0</v>
      </c>
      <c r="AC702">
        <v>76.239999999999995</v>
      </c>
      <c r="AD702">
        <v>327</v>
      </c>
      <c r="AE702">
        <v>335</v>
      </c>
    </row>
    <row r="703" spans="1:31" x14ac:dyDescent="0.25">
      <c r="A703" t="s">
        <v>3442</v>
      </c>
      <c r="B703" t="s">
        <v>3443</v>
      </c>
      <c r="C703" s="1">
        <v>44173</v>
      </c>
      <c r="D703" s="1">
        <v>45204</v>
      </c>
      <c r="E703" t="s">
        <v>66</v>
      </c>
      <c r="F703" t="s">
        <v>34</v>
      </c>
      <c r="G703" t="s">
        <v>35</v>
      </c>
      <c r="H703" t="s">
        <v>80</v>
      </c>
      <c r="I703" t="s">
        <v>3444</v>
      </c>
      <c r="J703" t="s">
        <v>38</v>
      </c>
      <c r="K703" t="s">
        <v>70</v>
      </c>
      <c r="L703" t="s">
        <v>3445</v>
      </c>
      <c r="M703">
        <v>152.71</v>
      </c>
      <c r="N703">
        <v>93</v>
      </c>
      <c r="O703" t="s">
        <v>3446</v>
      </c>
      <c r="P703" t="s">
        <v>59</v>
      </c>
      <c r="Q703" t="s">
        <v>228</v>
      </c>
      <c r="R703" t="s">
        <v>61</v>
      </c>
      <c r="S703" t="s">
        <v>74</v>
      </c>
      <c r="T703" t="s">
        <v>273</v>
      </c>
      <c r="U703">
        <v>4501</v>
      </c>
      <c r="V703">
        <v>220</v>
      </c>
      <c r="W703">
        <v>3</v>
      </c>
      <c r="X703">
        <v>416.38</v>
      </c>
      <c r="Y703">
        <v>34.200000000000003</v>
      </c>
      <c r="Z703">
        <v>450.58</v>
      </c>
      <c r="AA703" t="s">
        <v>63</v>
      </c>
      <c r="AB703">
        <v>0</v>
      </c>
      <c r="AC703">
        <v>71.28</v>
      </c>
      <c r="AD703">
        <v>88</v>
      </c>
      <c r="AE703">
        <v>99</v>
      </c>
    </row>
    <row r="704" spans="1:31" x14ac:dyDescent="0.25">
      <c r="A704" t="s">
        <v>3447</v>
      </c>
      <c r="B704" t="s">
        <v>3392</v>
      </c>
      <c r="C704" s="1">
        <v>45657</v>
      </c>
      <c r="D704" s="1">
        <v>45431</v>
      </c>
      <c r="E704" t="s">
        <v>66</v>
      </c>
      <c r="F704" t="s">
        <v>34</v>
      </c>
      <c r="G704" t="s">
        <v>35</v>
      </c>
      <c r="H704" t="s">
        <v>164</v>
      </c>
      <c r="I704" t="s">
        <v>3448</v>
      </c>
      <c r="J704" t="s">
        <v>38</v>
      </c>
      <c r="K704" t="s">
        <v>70</v>
      </c>
      <c r="L704" t="s">
        <v>3449</v>
      </c>
      <c r="M704">
        <v>86.46</v>
      </c>
      <c r="N704">
        <v>4</v>
      </c>
      <c r="O704" t="s">
        <v>2960</v>
      </c>
      <c r="P704" t="s">
        <v>42</v>
      </c>
      <c r="Q704" t="s">
        <v>461</v>
      </c>
      <c r="R704" t="s">
        <v>153</v>
      </c>
      <c r="S704" t="s">
        <v>101</v>
      </c>
      <c r="T704" t="s">
        <v>273</v>
      </c>
      <c r="U704">
        <v>1684</v>
      </c>
      <c r="V704">
        <v>481</v>
      </c>
      <c r="W704">
        <v>4</v>
      </c>
      <c r="X704">
        <v>1512.51</v>
      </c>
      <c r="Y704">
        <v>200.92</v>
      </c>
      <c r="Z704">
        <v>1713.43</v>
      </c>
      <c r="AA704" t="s">
        <v>63</v>
      </c>
      <c r="AB704">
        <v>0</v>
      </c>
      <c r="AC704">
        <v>89.71</v>
      </c>
      <c r="AD704">
        <v>249</v>
      </c>
      <c r="AE704">
        <v>242</v>
      </c>
    </row>
    <row r="705" spans="1:31" x14ac:dyDescent="0.25">
      <c r="A705" t="s">
        <v>3450</v>
      </c>
      <c r="B705" t="s">
        <v>3451</v>
      </c>
      <c r="C705" s="1">
        <v>45035</v>
      </c>
      <c r="D705" s="1">
        <v>43965</v>
      </c>
      <c r="E705" t="s">
        <v>66</v>
      </c>
      <c r="F705" t="s">
        <v>93</v>
      </c>
      <c r="G705" t="s">
        <v>337</v>
      </c>
      <c r="H705" t="s">
        <v>148</v>
      </c>
      <c r="I705" t="s">
        <v>3452</v>
      </c>
      <c r="J705" t="s">
        <v>82</v>
      </c>
      <c r="K705" t="s">
        <v>83</v>
      </c>
      <c r="L705" t="s">
        <v>3453</v>
      </c>
      <c r="M705">
        <v>247.03</v>
      </c>
      <c r="N705">
        <v>81</v>
      </c>
      <c r="O705" t="s">
        <v>3454</v>
      </c>
      <c r="P705" t="s">
        <v>110</v>
      </c>
      <c r="Q705" t="s">
        <v>120</v>
      </c>
      <c r="R705" t="s">
        <v>44</v>
      </c>
      <c r="S705" t="s">
        <v>89</v>
      </c>
      <c r="T705" t="s">
        <v>255</v>
      </c>
      <c r="U705">
        <v>724</v>
      </c>
      <c r="V705">
        <v>475</v>
      </c>
      <c r="W705">
        <v>28</v>
      </c>
      <c r="X705">
        <v>796.86</v>
      </c>
      <c r="Y705">
        <v>19.55</v>
      </c>
      <c r="Z705">
        <v>816.41</v>
      </c>
      <c r="AA705" t="s">
        <v>63</v>
      </c>
      <c r="AB705">
        <v>0</v>
      </c>
      <c r="AC705">
        <v>95.94</v>
      </c>
      <c r="AD705">
        <v>245</v>
      </c>
      <c r="AE705">
        <v>251</v>
      </c>
    </row>
    <row r="706" spans="1:31" x14ac:dyDescent="0.25">
      <c r="A706" t="s">
        <v>3455</v>
      </c>
      <c r="B706" t="s">
        <v>3456</v>
      </c>
      <c r="C706" s="1">
        <v>45613</v>
      </c>
      <c r="D706" s="1">
        <v>45499</v>
      </c>
      <c r="E706" t="s">
        <v>66</v>
      </c>
      <c r="F706" t="s">
        <v>93</v>
      </c>
      <c r="G706" t="s">
        <v>115</v>
      </c>
      <c r="H706" t="s">
        <v>80</v>
      </c>
      <c r="I706" t="s">
        <v>3457</v>
      </c>
      <c r="J706" t="s">
        <v>82</v>
      </c>
      <c r="K706" t="s">
        <v>39</v>
      </c>
      <c r="L706" t="s">
        <v>3458</v>
      </c>
      <c r="M706">
        <v>33.39</v>
      </c>
      <c r="N706">
        <v>48</v>
      </c>
      <c r="O706" t="s">
        <v>3459</v>
      </c>
      <c r="P706" t="s">
        <v>59</v>
      </c>
      <c r="Q706" t="s">
        <v>340</v>
      </c>
      <c r="R706" t="s">
        <v>44</v>
      </c>
      <c r="S706" t="s">
        <v>45</v>
      </c>
      <c r="T706" t="s">
        <v>365</v>
      </c>
      <c r="U706">
        <v>1342</v>
      </c>
      <c r="V706">
        <v>491</v>
      </c>
      <c r="W706">
        <v>12</v>
      </c>
      <c r="X706">
        <v>762.39</v>
      </c>
      <c r="Y706">
        <v>236.05</v>
      </c>
      <c r="Z706">
        <v>998.44</v>
      </c>
      <c r="AA706" t="s">
        <v>63</v>
      </c>
      <c r="AB706">
        <v>0</v>
      </c>
      <c r="AC706">
        <v>71.260000000000005</v>
      </c>
      <c r="AD706">
        <v>267</v>
      </c>
      <c r="AE706">
        <v>222</v>
      </c>
    </row>
    <row r="707" spans="1:31" x14ac:dyDescent="0.25">
      <c r="A707" t="s">
        <v>3460</v>
      </c>
      <c r="B707" t="s">
        <v>3461</v>
      </c>
      <c r="C707" s="1">
        <v>45084</v>
      </c>
      <c r="D707" s="1">
        <v>44273</v>
      </c>
      <c r="E707" t="s">
        <v>50</v>
      </c>
      <c r="F707" t="s">
        <v>147</v>
      </c>
      <c r="G707" t="s">
        <v>94</v>
      </c>
      <c r="H707" t="s">
        <v>116</v>
      </c>
      <c r="I707" t="s">
        <v>3462</v>
      </c>
      <c r="J707" t="s">
        <v>107</v>
      </c>
      <c r="K707" t="s">
        <v>97</v>
      </c>
      <c r="L707" t="s">
        <v>3463</v>
      </c>
      <c r="M707">
        <v>449.63</v>
      </c>
      <c r="N707">
        <v>2</v>
      </c>
      <c r="O707" t="s">
        <v>1178</v>
      </c>
      <c r="P707" t="s">
        <v>59</v>
      </c>
      <c r="Q707" t="s">
        <v>428</v>
      </c>
      <c r="R707" t="s">
        <v>88</v>
      </c>
      <c r="S707" t="s">
        <v>45</v>
      </c>
      <c r="T707" t="s">
        <v>927</v>
      </c>
      <c r="U707">
        <v>2043</v>
      </c>
      <c r="V707">
        <v>281</v>
      </c>
      <c r="W707">
        <v>4</v>
      </c>
      <c r="X707">
        <v>610.55999999999995</v>
      </c>
      <c r="Y707">
        <v>269.86</v>
      </c>
      <c r="Z707">
        <v>880.42</v>
      </c>
      <c r="AA707" t="s">
        <v>63</v>
      </c>
      <c r="AB707">
        <v>0</v>
      </c>
      <c r="AC707">
        <v>75.39</v>
      </c>
      <c r="AD707">
        <v>204</v>
      </c>
      <c r="AE707">
        <v>163</v>
      </c>
    </row>
    <row r="708" spans="1:31" x14ac:dyDescent="0.25">
      <c r="A708" t="s">
        <v>3464</v>
      </c>
      <c r="B708" t="s">
        <v>3465</v>
      </c>
      <c r="C708" s="1">
        <v>44178</v>
      </c>
      <c r="D708" s="1">
        <v>44353</v>
      </c>
      <c r="E708" t="s">
        <v>50</v>
      </c>
      <c r="F708" t="s">
        <v>51</v>
      </c>
      <c r="G708" t="s">
        <v>52</v>
      </c>
      <c r="H708" t="s">
        <v>116</v>
      </c>
      <c r="I708" t="s">
        <v>3466</v>
      </c>
      <c r="J708" t="s">
        <v>55</v>
      </c>
      <c r="K708" t="s">
        <v>83</v>
      </c>
      <c r="L708" t="s">
        <v>3467</v>
      </c>
      <c r="M708">
        <v>39.17</v>
      </c>
      <c r="N708">
        <v>41</v>
      </c>
      <c r="O708" t="s">
        <v>3468</v>
      </c>
      <c r="P708" t="s">
        <v>59</v>
      </c>
      <c r="Q708" t="s">
        <v>152</v>
      </c>
      <c r="R708" t="s">
        <v>153</v>
      </c>
      <c r="S708" t="s">
        <v>89</v>
      </c>
      <c r="T708" t="s">
        <v>309</v>
      </c>
      <c r="U708">
        <v>1020</v>
      </c>
      <c r="V708">
        <v>171</v>
      </c>
      <c r="W708">
        <v>6</v>
      </c>
      <c r="X708">
        <v>1836.31</v>
      </c>
      <c r="Y708">
        <v>263.61</v>
      </c>
      <c r="Z708">
        <v>2099.92</v>
      </c>
      <c r="AA708" t="s">
        <v>47</v>
      </c>
      <c r="AB708">
        <v>9</v>
      </c>
      <c r="AC708">
        <v>76.56</v>
      </c>
      <c r="AD708">
        <v>203</v>
      </c>
      <c r="AE708">
        <v>221</v>
      </c>
    </row>
    <row r="709" spans="1:31" x14ac:dyDescent="0.25">
      <c r="A709" t="s">
        <v>3469</v>
      </c>
      <c r="B709" t="s">
        <v>3470</v>
      </c>
      <c r="C709" s="1">
        <v>44226</v>
      </c>
      <c r="D709" s="1">
        <v>43849</v>
      </c>
      <c r="E709" t="s">
        <v>66</v>
      </c>
      <c r="F709" t="s">
        <v>78</v>
      </c>
      <c r="G709" t="s">
        <v>52</v>
      </c>
      <c r="H709" t="s">
        <v>80</v>
      </c>
      <c r="I709" t="s">
        <v>3471</v>
      </c>
      <c r="J709" t="s">
        <v>55</v>
      </c>
      <c r="K709" t="s">
        <v>39</v>
      </c>
      <c r="L709" t="s">
        <v>3472</v>
      </c>
      <c r="M709">
        <v>51.25</v>
      </c>
      <c r="N709">
        <v>2</v>
      </c>
      <c r="O709" t="s">
        <v>2516</v>
      </c>
      <c r="P709" t="s">
        <v>110</v>
      </c>
      <c r="Q709" t="s">
        <v>73</v>
      </c>
      <c r="R709" t="s">
        <v>61</v>
      </c>
      <c r="S709" t="s">
        <v>128</v>
      </c>
      <c r="T709" t="s">
        <v>508</v>
      </c>
      <c r="U709">
        <v>3006</v>
      </c>
      <c r="V709">
        <v>163</v>
      </c>
      <c r="W709">
        <v>15</v>
      </c>
      <c r="X709">
        <v>1863.42</v>
      </c>
      <c r="Y709">
        <v>173.7</v>
      </c>
      <c r="Z709">
        <v>2037.12</v>
      </c>
      <c r="AA709" t="s">
        <v>63</v>
      </c>
      <c r="AB709">
        <v>0</v>
      </c>
      <c r="AC709">
        <v>78.650000000000006</v>
      </c>
      <c r="AD709">
        <v>376</v>
      </c>
      <c r="AE709">
        <v>365</v>
      </c>
    </row>
    <row r="710" spans="1:31" x14ac:dyDescent="0.25">
      <c r="A710" t="s">
        <v>3473</v>
      </c>
      <c r="B710" t="s">
        <v>3474</v>
      </c>
      <c r="C710" s="1">
        <v>45602</v>
      </c>
      <c r="D710" s="1">
        <v>45595</v>
      </c>
      <c r="E710" t="s">
        <v>66</v>
      </c>
      <c r="F710" t="s">
        <v>51</v>
      </c>
      <c r="G710" t="s">
        <v>105</v>
      </c>
      <c r="H710" t="s">
        <v>68</v>
      </c>
      <c r="I710" t="s">
        <v>3475</v>
      </c>
      <c r="J710" t="s">
        <v>82</v>
      </c>
      <c r="K710" t="s">
        <v>56</v>
      </c>
      <c r="L710" t="s">
        <v>3476</v>
      </c>
      <c r="M710">
        <v>123.98</v>
      </c>
      <c r="N710">
        <v>65</v>
      </c>
      <c r="O710" t="s">
        <v>614</v>
      </c>
      <c r="P710" t="s">
        <v>110</v>
      </c>
      <c r="Q710" t="s">
        <v>202</v>
      </c>
      <c r="R710" t="s">
        <v>61</v>
      </c>
      <c r="S710" t="s">
        <v>101</v>
      </c>
      <c r="T710" t="s">
        <v>467</v>
      </c>
      <c r="U710">
        <v>163</v>
      </c>
      <c r="V710">
        <v>105</v>
      </c>
      <c r="W710">
        <v>7</v>
      </c>
      <c r="X710">
        <v>970.37</v>
      </c>
      <c r="Y710">
        <v>190.58</v>
      </c>
      <c r="Z710">
        <v>1160.95</v>
      </c>
      <c r="AA710" t="s">
        <v>63</v>
      </c>
      <c r="AB710">
        <v>0</v>
      </c>
      <c r="AC710">
        <v>79.739999999999995</v>
      </c>
      <c r="AD710">
        <v>444</v>
      </c>
      <c r="AE710">
        <v>472</v>
      </c>
    </row>
    <row r="711" spans="1:31" x14ac:dyDescent="0.25">
      <c r="A711" t="s">
        <v>3477</v>
      </c>
      <c r="B711" t="s">
        <v>3478</v>
      </c>
      <c r="C711" s="1">
        <v>44428</v>
      </c>
      <c r="D711" s="1">
        <v>43931</v>
      </c>
      <c r="E711" t="s">
        <v>66</v>
      </c>
      <c r="F711" t="s">
        <v>93</v>
      </c>
      <c r="G711" t="s">
        <v>337</v>
      </c>
      <c r="H711" t="s">
        <v>148</v>
      </c>
      <c r="I711" t="s">
        <v>3479</v>
      </c>
      <c r="J711" t="s">
        <v>107</v>
      </c>
      <c r="K711" t="s">
        <v>39</v>
      </c>
      <c r="L711" t="s">
        <v>3480</v>
      </c>
      <c r="M711">
        <v>444.21</v>
      </c>
      <c r="N711">
        <v>3</v>
      </c>
      <c r="O711" t="s">
        <v>1153</v>
      </c>
      <c r="P711" t="s">
        <v>59</v>
      </c>
      <c r="Q711" t="s">
        <v>214</v>
      </c>
      <c r="R711" t="s">
        <v>88</v>
      </c>
      <c r="S711" t="s">
        <v>101</v>
      </c>
      <c r="T711" t="s">
        <v>508</v>
      </c>
      <c r="U711">
        <v>1903</v>
      </c>
      <c r="V711">
        <v>477</v>
      </c>
      <c r="W711">
        <v>19</v>
      </c>
      <c r="X711">
        <v>906.1</v>
      </c>
      <c r="Y711">
        <v>432</v>
      </c>
      <c r="Z711">
        <v>1338.1</v>
      </c>
      <c r="AA711" t="s">
        <v>63</v>
      </c>
      <c r="AB711">
        <v>0</v>
      </c>
      <c r="AC711">
        <v>70.27</v>
      </c>
      <c r="AD711">
        <v>360</v>
      </c>
      <c r="AE711">
        <v>340</v>
      </c>
    </row>
    <row r="712" spans="1:31" x14ac:dyDescent="0.25">
      <c r="A712" t="s">
        <v>3481</v>
      </c>
      <c r="B712" t="s">
        <v>3482</v>
      </c>
      <c r="C712" s="1">
        <v>44618</v>
      </c>
      <c r="D712" s="1">
        <v>44233</v>
      </c>
      <c r="E712" t="s">
        <v>66</v>
      </c>
      <c r="F712" t="s">
        <v>51</v>
      </c>
      <c r="G712" t="s">
        <v>35</v>
      </c>
      <c r="H712" t="s">
        <v>164</v>
      </c>
      <c r="I712" t="s">
        <v>3483</v>
      </c>
      <c r="J712" t="s">
        <v>107</v>
      </c>
      <c r="K712" t="s">
        <v>56</v>
      </c>
      <c r="L712" t="s">
        <v>3484</v>
      </c>
      <c r="M712">
        <v>407.33</v>
      </c>
      <c r="N712">
        <v>29</v>
      </c>
      <c r="O712" t="s">
        <v>3485</v>
      </c>
      <c r="P712" t="s">
        <v>42</v>
      </c>
      <c r="Q712" t="s">
        <v>926</v>
      </c>
      <c r="R712" t="s">
        <v>88</v>
      </c>
      <c r="S712" t="s">
        <v>45</v>
      </c>
      <c r="T712" t="s">
        <v>673</v>
      </c>
      <c r="U712">
        <v>119</v>
      </c>
      <c r="V712">
        <v>306</v>
      </c>
      <c r="W712">
        <v>3</v>
      </c>
      <c r="X712">
        <v>1365.35</v>
      </c>
      <c r="Y712">
        <v>298.22000000000003</v>
      </c>
      <c r="Z712">
        <v>1663.57</v>
      </c>
      <c r="AA712" t="s">
        <v>63</v>
      </c>
      <c r="AB712">
        <v>0</v>
      </c>
      <c r="AC712">
        <v>76.52</v>
      </c>
      <c r="AD712">
        <v>143</v>
      </c>
      <c r="AE712">
        <v>187</v>
      </c>
    </row>
    <row r="713" spans="1:31" x14ac:dyDescent="0.25">
      <c r="A713" t="s">
        <v>3486</v>
      </c>
      <c r="B713" t="s">
        <v>3487</v>
      </c>
      <c r="C713" s="1">
        <v>44219</v>
      </c>
      <c r="D713" s="1">
        <v>43890</v>
      </c>
      <c r="E713" t="s">
        <v>66</v>
      </c>
      <c r="F713" t="s">
        <v>93</v>
      </c>
      <c r="G713" t="s">
        <v>94</v>
      </c>
      <c r="H713" t="s">
        <v>116</v>
      </c>
      <c r="I713" t="s">
        <v>3488</v>
      </c>
      <c r="J713" t="s">
        <v>107</v>
      </c>
      <c r="K713" t="s">
        <v>56</v>
      </c>
      <c r="L713" t="s">
        <v>3489</v>
      </c>
      <c r="M713">
        <v>206.34</v>
      </c>
      <c r="N713">
        <v>40</v>
      </c>
      <c r="O713" t="s">
        <v>3490</v>
      </c>
      <c r="P713" t="s">
        <v>42</v>
      </c>
      <c r="Q713" t="s">
        <v>111</v>
      </c>
      <c r="R713" t="s">
        <v>61</v>
      </c>
      <c r="S713" t="s">
        <v>101</v>
      </c>
      <c r="T713" t="s">
        <v>444</v>
      </c>
      <c r="U713">
        <v>1990</v>
      </c>
      <c r="V713">
        <v>387</v>
      </c>
      <c r="W713">
        <v>25</v>
      </c>
      <c r="X713">
        <v>1423.77</v>
      </c>
      <c r="Y713">
        <v>310.62</v>
      </c>
      <c r="Z713">
        <v>1734.39</v>
      </c>
      <c r="AA713" t="s">
        <v>63</v>
      </c>
      <c r="AB713">
        <v>0</v>
      </c>
      <c r="AC713">
        <v>71.81</v>
      </c>
      <c r="AD713">
        <v>52</v>
      </c>
      <c r="AE713">
        <v>88</v>
      </c>
    </row>
    <row r="714" spans="1:31" x14ac:dyDescent="0.25">
      <c r="A714" t="s">
        <v>3491</v>
      </c>
      <c r="B714" t="s">
        <v>3492</v>
      </c>
      <c r="C714" s="1">
        <v>45006</v>
      </c>
      <c r="D714" s="1">
        <v>45467</v>
      </c>
      <c r="E714" t="s">
        <v>50</v>
      </c>
      <c r="F714" t="s">
        <v>78</v>
      </c>
      <c r="G714" t="s">
        <v>94</v>
      </c>
      <c r="H714" t="s">
        <v>36</v>
      </c>
      <c r="I714" t="s">
        <v>3493</v>
      </c>
      <c r="J714" t="s">
        <v>96</v>
      </c>
      <c r="K714" t="s">
        <v>39</v>
      </c>
      <c r="L714" t="s">
        <v>3494</v>
      </c>
      <c r="M714">
        <v>105.05</v>
      </c>
      <c r="N714">
        <v>44</v>
      </c>
      <c r="O714" t="s">
        <v>3495</v>
      </c>
      <c r="P714" t="s">
        <v>142</v>
      </c>
      <c r="Q714" t="s">
        <v>404</v>
      </c>
      <c r="R714" t="s">
        <v>153</v>
      </c>
      <c r="S714" t="s">
        <v>101</v>
      </c>
      <c r="T714" t="s">
        <v>625</v>
      </c>
      <c r="U714">
        <v>4117</v>
      </c>
      <c r="V714">
        <v>479</v>
      </c>
      <c r="W714">
        <v>8</v>
      </c>
      <c r="X714">
        <v>1201.5</v>
      </c>
      <c r="Y714">
        <v>243.26</v>
      </c>
      <c r="Z714">
        <v>1444.76</v>
      </c>
      <c r="AA714" t="s">
        <v>63</v>
      </c>
      <c r="AB714">
        <v>0</v>
      </c>
      <c r="AC714">
        <v>84.56</v>
      </c>
      <c r="AD714">
        <v>64</v>
      </c>
      <c r="AE714">
        <v>49</v>
      </c>
    </row>
    <row r="715" spans="1:31" x14ac:dyDescent="0.25">
      <c r="A715" t="s">
        <v>3496</v>
      </c>
      <c r="B715" t="s">
        <v>3497</v>
      </c>
      <c r="C715" s="1">
        <v>45107</v>
      </c>
      <c r="D715" s="1">
        <v>45074</v>
      </c>
      <c r="E715" t="s">
        <v>66</v>
      </c>
      <c r="F715" t="s">
        <v>93</v>
      </c>
      <c r="G715" t="s">
        <v>115</v>
      </c>
      <c r="H715" t="s">
        <v>53</v>
      </c>
      <c r="I715" t="s">
        <v>3498</v>
      </c>
      <c r="J715" t="s">
        <v>107</v>
      </c>
      <c r="K715" t="s">
        <v>39</v>
      </c>
      <c r="L715" t="s">
        <v>3499</v>
      </c>
      <c r="M715">
        <v>448.06</v>
      </c>
      <c r="N715">
        <v>63</v>
      </c>
      <c r="O715" t="s">
        <v>3286</v>
      </c>
      <c r="P715" t="s">
        <v>42</v>
      </c>
      <c r="Q715" t="s">
        <v>558</v>
      </c>
      <c r="R715" t="s">
        <v>61</v>
      </c>
      <c r="S715" t="s">
        <v>101</v>
      </c>
      <c r="T715" t="s">
        <v>215</v>
      </c>
      <c r="U715">
        <v>168</v>
      </c>
      <c r="V715">
        <v>417</v>
      </c>
      <c r="W715">
        <v>13</v>
      </c>
      <c r="X715">
        <v>149.76</v>
      </c>
      <c r="Y715">
        <v>356.28</v>
      </c>
      <c r="Z715">
        <v>506.04</v>
      </c>
      <c r="AA715" t="s">
        <v>63</v>
      </c>
      <c r="AB715">
        <v>0</v>
      </c>
      <c r="AC715">
        <v>79.7</v>
      </c>
      <c r="AD715">
        <v>195</v>
      </c>
      <c r="AE715">
        <v>194</v>
      </c>
    </row>
    <row r="716" spans="1:31" x14ac:dyDescent="0.25">
      <c r="A716" t="s">
        <v>3500</v>
      </c>
      <c r="B716" t="s">
        <v>3501</v>
      </c>
      <c r="C716" s="1">
        <v>45049</v>
      </c>
      <c r="D716" s="1">
        <v>45548</v>
      </c>
      <c r="E716" t="s">
        <v>66</v>
      </c>
      <c r="F716" t="s">
        <v>34</v>
      </c>
      <c r="G716" t="s">
        <v>337</v>
      </c>
      <c r="H716" t="s">
        <v>218</v>
      </c>
      <c r="I716" t="s">
        <v>3502</v>
      </c>
      <c r="J716" t="s">
        <v>107</v>
      </c>
      <c r="K716" t="s">
        <v>97</v>
      </c>
      <c r="L716" t="s">
        <v>3503</v>
      </c>
      <c r="M716">
        <v>282.31</v>
      </c>
      <c r="N716">
        <v>88</v>
      </c>
      <c r="O716" t="s">
        <v>3504</v>
      </c>
      <c r="P716" t="s">
        <v>42</v>
      </c>
      <c r="Q716" t="s">
        <v>558</v>
      </c>
      <c r="R716" t="s">
        <v>153</v>
      </c>
      <c r="S716" t="s">
        <v>89</v>
      </c>
      <c r="T716" t="s">
        <v>235</v>
      </c>
      <c r="U716">
        <v>1373</v>
      </c>
      <c r="V716">
        <v>483</v>
      </c>
      <c r="W716">
        <v>1</v>
      </c>
      <c r="X716">
        <v>687.32</v>
      </c>
      <c r="Y716">
        <v>176.73</v>
      </c>
      <c r="Z716">
        <v>864.05000000000007</v>
      </c>
      <c r="AA716" t="s">
        <v>63</v>
      </c>
      <c r="AB716">
        <v>0</v>
      </c>
      <c r="AC716">
        <v>77.849999999999994</v>
      </c>
      <c r="AD716">
        <v>336</v>
      </c>
      <c r="AE716">
        <v>338</v>
      </c>
    </row>
    <row r="717" spans="1:31" x14ac:dyDescent="0.25">
      <c r="A717" t="s">
        <v>3505</v>
      </c>
      <c r="B717" t="s">
        <v>3506</v>
      </c>
      <c r="C717" s="1">
        <v>44474</v>
      </c>
      <c r="D717" s="1">
        <v>44468</v>
      </c>
      <c r="E717" t="s">
        <v>33</v>
      </c>
      <c r="F717" t="s">
        <v>34</v>
      </c>
      <c r="G717" t="s">
        <v>52</v>
      </c>
      <c r="H717" t="s">
        <v>218</v>
      </c>
      <c r="I717" t="s">
        <v>3507</v>
      </c>
      <c r="J717" t="s">
        <v>82</v>
      </c>
      <c r="K717" t="s">
        <v>39</v>
      </c>
      <c r="L717" t="s">
        <v>3508</v>
      </c>
      <c r="M717">
        <v>17.37</v>
      </c>
      <c r="N717">
        <v>18</v>
      </c>
      <c r="O717" t="s">
        <v>3509</v>
      </c>
      <c r="P717" t="s">
        <v>110</v>
      </c>
      <c r="Q717" t="s">
        <v>684</v>
      </c>
      <c r="R717" t="s">
        <v>153</v>
      </c>
      <c r="S717" t="s">
        <v>74</v>
      </c>
      <c r="T717" t="s">
        <v>309</v>
      </c>
      <c r="U717">
        <v>3696</v>
      </c>
      <c r="V717">
        <v>221</v>
      </c>
      <c r="W717">
        <v>12</v>
      </c>
      <c r="X717">
        <v>769.9</v>
      </c>
      <c r="Y717">
        <v>391.29</v>
      </c>
      <c r="Z717">
        <v>1161.19</v>
      </c>
      <c r="AA717" t="s">
        <v>63</v>
      </c>
      <c r="AB717">
        <v>0</v>
      </c>
      <c r="AC717">
        <v>74.47</v>
      </c>
      <c r="AD717">
        <v>188</v>
      </c>
      <c r="AE717">
        <v>169</v>
      </c>
    </row>
    <row r="718" spans="1:31" x14ac:dyDescent="0.25">
      <c r="A718" t="s">
        <v>3510</v>
      </c>
      <c r="B718" t="s">
        <v>3511</v>
      </c>
      <c r="C718" s="1">
        <v>44252</v>
      </c>
      <c r="D718" s="1">
        <v>45567</v>
      </c>
      <c r="E718" t="s">
        <v>66</v>
      </c>
      <c r="F718" t="s">
        <v>51</v>
      </c>
      <c r="G718" t="s">
        <v>94</v>
      </c>
      <c r="H718" t="s">
        <v>53</v>
      </c>
      <c r="I718" t="s">
        <v>3512</v>
      </c>
      <c r="J718" t="s">
        <v>107</v>
      </c>
      <c r="K718" t="s">
        <v>39</v>
      </c>
      <c r="L718" t="s">
        <v>3513</v>
      </c>
      <c r="M718">
        <v>407.11</v>
      </c>
      <c r="N718">
        <v>75</v>
      </c>
      <c r="O718" t="s">
        <v>3002</v>
      </c>
      <c r="P718" t="s">
        <v>59</v>
      </c>
      <c r="Q718" t="s">
        <v>347</v>
      </c>
      <c r="R718" t="s">
        <v>44</v>
      </c>
      <c r="S718" t="s">
        <v>101</v>
      </c>
      <c r="T718" t="s">
        <v>434</v>
      </c>
      <c r="U718">
        <v>2120</v>
      </c>
      <c r="V718">
        <v>94</v>
      </c>
      <c r="W718">
        <v>2</v>
      </c>
      <c r="X718">
        <v>1410.11</v>
      </c>
      <c r="Y718">
        <v>373.17</v>
      </c>
      <c r="Z718">
        <v>1783.28</v>
      </c>
      <c r="AA718" t="s">
        <v>47</v>
      </c>
      <c r="AB718">
        <v>3</v>
      </c>
      <c r="AC718">
        <v>89.15</v>
      </c>
      <c r="AD718">
        <v>320</v>
      </c>
      <c r="AE718">
        <v>368</v>
      </c>
    </row>
    <row r="719" spans="1:31" x14ac:dyDescent="0.25">
      <c r="A719" t="s">
        <v>3514</v>
      </c>
      <c r="B719" t="s">
        <v>3515</v>
      </c>
      <c r="C719" s="1">
        <v>44404</v>
      </c>
      <c r="D719" s="1">
        <v>45033</v>
      </c>
      <c r="E719" t="s">
        <v>66</v>
      </c>
      <c r="F719" t="s">
        <v>147</v>
      </c>
      <c r="G719" t="s">
        <v>52</v>
      </c>
      <c r="H719" t="s">
        <v>148</v>
      </c>
      <c r="I719" t="s">
        <v>3516</v>
      </c>
      <c r="J719" t="s">
        <v>82</v>
      </c>
      <c r="K719" t="s">
        <v>39</v>
      </c>
      <c r="L719" t="s">
        <v>3517</v>
      </c>
      <c r="M719">
        <v>99.05</v>
      </c>
      <c r="N719">
        <v>11</v>
      </c>
      <c r="O719" t="s">
        <v>3518</v>
      </c>
      <c r="P719" t="s">
        <v>142</v>
      </c>
      <c r="Q719" t="s">
        <v>189</v>
      </c>
      <c r="R719" t="s">
        <v>61</v>
      </c>
      <c r="S719" t="s">
        <v>128</v>
      </c>
      <c r="T719" t="s">
        <v>815</v>
      </c>
      <c r="U719">
        <v>811</v>
      </c>
      <c r="V719">
        <v>226</v>
      </c>
      <c r="W719">
        <v>6</v>
      </c>
      <c r="X719">
        <v>183.85</v>
      </c>
      <c r="Y719">
        <v>44.22</v>
      </c>
      <c r="Z719">
        <v>228.07</v>
      </c>
      <c r="AA719" t="s">
        <v>63</v>
      </c>
      <c r="AB719">
        <v>0</v>
      </c>
      <c r="AC719">
        <v>70.31</v>
      </c>
      <c r="AD719">
        <v>434</v>
      </c>
      <c r="AE719">
        <v>406</v>
      </c>
    </row>
    <row r="720" spans="1:31" x14ac:dyDescent="0.25">
      <c r="A720" t="s">
        <v>3519</v>
      </c>
      <c r="B720" t="s">
        <v>3520</v>
      </c>
      <c r="C720" s="1">
        <v>45083</v>
      </c>
      <c r="D720" s="1">
        <v>45350</v>
      </c>
      <c r="E720" t="s">
        <v>66</v>
      </c>
      <c r="F720" t="s">
        <v>51</v>
      </c>
      <c r="G720" t="s">
        <v>79</v>
      </c>
      <c r="H720" t="s">
        <v>148</v>
      </c>
      <c r="I720" t="s">
        <v>3521</v>
      </c>
      <c r="J720" t="s">
        <v>96</v>
      </c>
      <c r="K720" t="s">
        <v>97</v>
      </c>
      <c r="L720" t="s">
        <v>3522</v>
      </c>
      <c r="M720">
        <v>259.32</v>
      </c>
      <c r="N720">
        <v>86</v>
      </c>
      <c r="O720" t="s">
        <v>2880</v>
      </c>
      <c r="P720" t="s">
        <v>42</v>
      </c>
      <c r="Q720" t="s">
        <v>168</v>
      </c>
      <c r="R720" t="s">
        <v>61</v>
      </c>
      <c r="S720" t="s">
        <v>101</v>
      </c>
      <c r="T720" t="s">
        <v>939</v>
      </c>
      <c r="U720">
        <v>3606</v>
      </c>
      <c r="V720">
        <v>482</v>
      </c>
      <c r="W720">
        <v>15</v>
      </c>
      <c r="X720">
        <v>1841.16</v>
      </c>
      <c r="Y720">
        <v>274.52</v>
      </c>
      <c r="Z720">
        <v>2115.6799999999998</v>
      </c>
      <c r="AA720" t="s">
        <v>63</v>
      </c>
      <c r="AB720">
        <v>0</v>
      </c>
      <c r="AC720">
        <v>84.97</v>
      </c>
      <c r="AD720">
        <v>484</v>
      </c>
      <c r="AE720">
        <v>502</v>
      </c>
    </row>
    <row r="721" spans="1:31" x14ac:dyDescent="0.25">
      <c r="A721" t="s">
        <v>3523</v>
      </c>
      <c r="B721" t="s">
        <v>3524</v>
      </c>
      <c r="C721" s="1">
        <v>44779</v>
      </c>
      <c r="D721" s="1">
        <v>44430</v>
      </c>
      <c r="E721" t="s">
        <v>66</v>
      </c>
      <c r="F721" t="s">
        <v>51</v>
      </c>
      <c r="G721" t="s">
        <v>115</v>
      </c>
      <c r="H721" t="s">
        <v>218</v>
      </c>
      <c r="I721" t="s">
        <v>3525</v>
      </c>
      <c r="J721" t="s">
        <v>96</v>
      </c>
      <c r="K721" t="s">
        <v>70</v>
      </c>
      <c r="L721" t="s">
        <v>3526</v>
      </c>
      <c r="M721">
        <v>93.29</v>
      </c>
      <c r="N721">
        <v>77</v>
      </c>
      <c r="O721" t="s">
        <v>535</v>
      </c>
      <c r="P721" t="s">
        <v>142</v>
      </c>
      <c r="Q721" t="s">
        <v>127</v>
      </c>
      <c r="R721" t="s">
        <v>44</v>
      </c>
      <c r="S721" t="s">
        <v>101</v>
      </c>
      <c r="T721" t="s">
        <v>642</v>
      </c>
      <c r="U721">
        <v>3231</v>
      </c>
      <c r="V721">
        <v>64</v>
      </c>
      <c r="W721">
        <v>26</v>
      </c>
      <c r="X721">
        <v>1161.1199999999999</v>
      </c>
      <c r="Y721">
        <v>361.54</v>
      </c>
      <c r="Z721">
        <v>1522.66</v>
      </c>
      <c r="AA721" t="s">
        <v>63</v>
      </c>
      <c r="AB721">
        <v>0</v>
      </c>
      <c r="AC721">
        <v>87.19</v>
      </c>
      <c r="AD721">
        <v>156</v>
      </c>
      <c r="AE721">
        <v>178</v>
      </c>
    </row>
    <row r="722" spans="1:31" x14ac:dyDescent="0.25">
      <c r="A722" t="s">
        <v>3527</v>
      </c>
      <c r="B722" t="s">
        <v>3528</v>
      </c>
      <c r="C722" s="1">
        <v>44014</v>
      </c>
      <c r="D722" s="1">
        <v>45575</v>
      </c>
      <c r="E722" t="s">
        <v>66</v>
      </c>
      <c r="F722" t="s">
        <v>34</v>
      </c>
      <c r="G722" t="s">
        <v>79</v>
      </c>
      <c r="H722" t="s">
        <v>164</v>
      </c>
      <c r="I722" t="s">
        <v>3529</v>
      </c>
      <c r="J722" t="s">
        <v>96</v>
      </c>
      <c r="K722" t="s">
        <v>56</v>
      </c>
      <c r="L722" t="s">
        <v>3530</v>
      </c>
      <c r="M722">
        <v>467.8</v>
      </c>
      <c r="N722">
        <v>15</v>
      </c>
      <c r="O722" t="s">
        <v>1422</v>
      </c>
      <c r="P722" t="s">
        <v>59</v>
      </c>
      <c r="Q722" t="s">
        <v>1277</v>
      </c>
      <c r="R722" t="s">
        <v>88</v>
      </c>
      <c r="S722" t="s">
        <v>128</v>
      </c>
      <c r="T722" t="s">
        <v>559</v>
      </c>
      <c r="U722">
        <v>3915</v>
      </c>
      <c r="V722">
        <v>440</v>
      </c>
      <c r="W722">
        <v>16</v>
      </c>
      <c r="X722">
        <v>1259.19</v>
      </c>
      <c r="Y722">
        <v>124.5</v>
      </c>
      <c r="Z722">
        <v>1383.69</v>
      </c>
      <c r="AA722" t="s">
        <v>47</v>
      </c>
      <c r="AB722">
        <v>13</v>
      </c>
      <c r="AC722">
        <v>71.36</v>
      </c>
      <c r="AD722">
        <v>461</v>
      </c>
      <c r="AE722">
        <v>489</v>
      </c>
    </row>
    <row r="723" spans="1:31" x14ac:dyDescent="0.25">
      <c r="A723" t="s">
        <v>3531</v>
      </c>
      <c r="B723" t="s">
        <v>3532</v>
      </c>
      <c r="C723" s="1">
        <v>44865</v>
      </c>
      <c r="D723" s="1">
        <v>44065</v>
      </c>
      <c r="E723" t="s">
        <v>50</v>
      </c>
      <c r="F723" t="s">
        <v>34</v>
      </c>
      <c r="G723" t="s">
        <v>337</v>
      </c>
      <c r="H723" t="s">
        <v>68</v>
      </c>
      <c r="I723" t="s">
        <v>3533</v>
      </c>
      <c r="J723" t="s">
        <v>82</v>
      </c>
      <c r="K723" t="s">
        <v>97</v>
      </c>
      <c r="L723" t="s">
        <v>3534</v>
      </c>
      <c r="M723">
        <v>393.51</v>
      </c>
      <c r="N723">
        <v>66</v>
      </c>
      <c r="O723" t="s">
        <v>1168</v>
      </c>
      <c r="P723" t="s">
        <v>86</v>
      </c>
      <c r="Q723" t="s">
        <v>182</v>
      </c>
      <c r="R723" t="s">
        <v>44</v>
      </c>
      <c r="S723" t="s">
        <v>101</v>
      </c>
      <c r="T723" t="s">
        <v>291</v>
      </c>
      <c r="U723">
        <v>1738</v>
      </c>
      <c r="V723">
        <v>247</v>
      </c>
      <c r="W723">
        <v>17</v>
      </c>
      <c r="X723">
        <v>1299.0999999999999</v>
      </c>
      <c r="Y723">
        <v>185.45</v>
      </c>
      <c r="Z723">
        <v>1484.55</v>
      </c>
      <c r="AA723" t="s">
        <v>63</v>
      </c>
      <c r="AB723">
        <v>0</v>
      </c>
      <c r="AC723">
        <v>77.650000000000006</v>
      </c>
      <c r="AD723">
        <v>379</v>
      </c>
      <c r="AE723">
        <v>386</v>
      </c>
    </row>
    <row r="724" spans="1:31" x14ac:dyDescent="0.25">
      <c r="A724" t="s">
        <v>3535</v>
      </c>
      <c r="B724" t="s">
        <v>3536</v>
      </c>
      <c r="C724" s="1">
        <v>43998</v>
      </c>
      <c r="D724" s="1">
        <v>44755</v>
      </c>
      <c r="E724" t="s">
        <v>33</v>
      </c>
      <c r="F724" t="s">
        <v>78</v>
      </c>
      <c r="G724" t="s">
        <v>52</v>
      </c>
      <c r="H724" t="s">
        <v>148</v>
      </c>
      <c r="I724" t="s">
        <v>3537</v>
      </c>
      <c r="J724" t="s">
        <v>82</v>
      </c>
      <c r="K724" t="s">
        <v>97</v>
      </c>
      <c r="L724" t="s">
        <v>3538</v>
      </c>
      <c r="M724">
        <v>377.76</v>
      </c>
      <c r="N724">
        <v>31</v>
      </c>
      <c r="O724" t="s">
        <v>3539</v>
      </c>
      <c r="P724" t="s">
        <v>42</v>
      </c>
      <c r="Q724" t="s">
        <v>926</v>
      </c>
      <c r="R724" t="s">
        <v>88</v>
      </c>
      <c r="S724" t="s">
        <v>74</v>
      </c>
      <c r="T724" t="s">
        <v>422</v>
      </c>
      <c r="U724">
        <v>4547</v>
      </c>
      <c r="V724">
        <v>292</v>
      </c>
      <c r="W724">
        <v>29</v>
      </c>
      <c r="X724">
        <v>1841.9</v>
      </c>
      <c r="Y724">
        <v>34.1</v>
      </c>
      <c r="Z724">
        <v>1876</v>
      </c>
      <c r="AA724" t="s">
        <v>63</v>
      </c>
      <c r="AB724">
        <v>0</v>
      </c>
      <c r="AC724">
        <v>71.03</v>
      </c>
      <c r="AD724">
        <v>251</v>
      </c>
      <c r="AE724">
        <v>278</v>
      </c>
    </row>
    <row r="725" spans="1:31" x14ac:dyDescent="0.25">
      <c r="A725" t="s">
        <v>3540</v>
      </c>
      <c r="B725" t="s">
        <v>3541</v>
      </c>
      <c r="C725" s="1">
        <v>44430</v>
      </c>
      <c r="D725" s="1">
        <v>44070</v>
      </c>
      <c r="E725" t="s">
        <v>66</v>
      </c>
      <c r="F725" t="s">
        <v>93</v>
      </c>
      <c r="G725" t="s">
        <v>105</v>
      </c>
      <c r="H725" t="s">
        <v>116</v>
      </c>
      <c r="I725" t="s">
        <v>3542</v>
      </c>
      <c r="J725" t="s">
        <v>96</v>
      </c>
      <c r="K725" t="s">
        <v>97</v>
      </c>
      <c r="L725" t="s">
        <v>3543</v>
      </c>
      <c r="M725">
        <v>340.31</v>
      </c>
      <c r="N725">
        <v>47</v>
      </c>
      <c r="O725" t="s">
        <v>3055</v>
      </c>
      <c r="P725" t="s">
        <v>59</v>
      </c>
      <c r="Q725" t="s">
        <v>461</v>
      </c>
      <c r="R725" t="s">
        <v>44</v>
      </c>
      <c r="S725" t="s">
        <v>89</v>
      </c>
      <c r="T725" t="s">
        <v>222</v>
      </c>
      <c r="U725">
        <v>225</v>
      </c>
      <c r="V725">
        <v>220</v>
      </c>
      <c r="W725">
        <v>6</v>
      </c>
      <c r="X725">
        <v>324.87</v>
      </c>
      <c r="Y725">
        <v>426.26</v>
      </c>
      <c r="Z725">
        <v>751.13</v>
      </c>
      <c r="AA725" t="s">
        <v>63</v>
      </c>
      <c r="AB725">
        <v>0</v>
      </c>
      <c r="AC725">
        <v>89.76</v>
      </c>
      <c r="AD725">
        <v>434</v>
      </c>
      <c r="AE725">
        <v>446</v>
      </c>
    </row>
    <row r="726" spans="1:31" x14ac:dyDescent="0.25">
      <c r="A726" t="s">
        <v>3544</v>
      </c>
      <c r="B726" t="s">
        <v>3545</v>
      </c>
      <c r="C726" s="1">
        <v>45547</v>
      </c>
      <c r="D726" s="1">
        <v>44055</v>
      </c>
      <c r="E726" t="s">
        <v>66</v>
      </c>
      <c r="F726" t="s">
        <v>51</v>
      </c>
      <c r="G726" t="s">
        <v>35</v>
      </c>
      <c r="H726" t="s">
        <v>68</v>
      </c>
      <c r="I726" t="s">
        <v>3546</v>
      </c>
      <c r="J726" t="s">
        <v>96</v>
      </c>
      <c r="K726" t="s">
        <v>97</v>
      </c>
      <c r="L726" t="s">
        <v>3547</v>
      </c>
      <c r="M726">
        <v>473.42</v>
      </c>
      <c r="N726">
        <v>9</v>
      </c>
      <c r="O726" t="s">
        <v>3548</v>
      </c>
      <c r="P726" t="s">
        <v>42</v>
      </c>
      <c r="Q726" t="s">
        <v>111</v>
      </c>
      <c r="R726" t="s">
        <v>61</v>
      </c>
      <c r="S726" t="s">
        <v>101</v>
      </c>
      <c r="T726" t="s">
        <v>309</v>
      </c>
      <c r="U726">
        <v>1052</v>
      </c>
      <c r="V726">
        <v>268</v>
      </c>
      <c r="W726">
        <v>24</v>
      </c>
      <c r="X726">
        <v>439.48</v>
      </c>
      <c r="Y726">
        <v>304.36</v>
      </c>
      <c r="Z726">
        <v>743.84</v>
      </c>
      <c r="AA726" t="s">
        <v>63</v>
      </c>
      <c r="AB726">
        <v>0</v>
      </c>
      <c r="AC726">
        <v>90.91</v>
      </c>
      <c r="AD726">
        <v>169</v>
      </c>
      <c r="AE726">
        <v>216</v>
      </c>
    </row>
    <row r="727" spans="1:31" x14ac:dyDescent="0.25">
      <c r="A727" t="s">
        <v>3549</v>
      </c>
      <c r="B727" t="s">
        <v>3550</v>
      </c>
      <c r="C727" s="1">
        <v>44862</v>
      </c>
      <c r="D727" s="1">
        <v>44567</v>
      </c>
      <c r="E727" t="s">
        <v>66</v>
      </c>
      <c r="F727" t="s">
        <v>34</v>
      </c>
      <c r="G727" t="s">
        <v>79</v>
      </c>
      <c r="H727" t="s">
        <v>164</v>
      </c>
      <c r="I727" t="s">
        <v>3551</v>
      </c>
      <c r="J727" t="s">
        <v>107</v>
      </c>
      <c r="K727" t="s">
        <v>70</v>
      </c>
      <c r="L727" t="s">
        <v>3552</v>
      </c>
      <c r="M727">
        <v>148.03</v>
      </c>
      <c r="N727">
        <v>45</v>
      </c>
      <c r="O727" t="s">
        <v>302</v>
      </c>
      <c r="P727" t="s">
        <v>142</v>
      </c>
      <c r="Q727" t="s">
        <v>234</v>
      </c>
      <c r="R727" t="s">
        <v>44</v>
      </c>
      <c r="S727" t="s">
        <v>45</v>
      </c>
      <c r="T727" t="s">
        <v>279</v>
      </c>
      <c r="U727">
        <v>1757</v>
      </c>
      <c r="V727">
        <v>111</v>
      </c>
      <c r="W727">
        <v>6</v>
      </c>
      <c r="X727">
        <v>490.04</v>
      </c>
      <c r="Y727">
        <v>89.22</v>
      </c>
      <c r="Z727">
        <v>579.26</v>
      </c>
      <c r="AA727" t="s">
        <v>63</v>
      </c>
      <c r="AB727">
        <v>0</v>
      </c>
      <c r="AC727">
        <v>72.12</v>
      </c>
      <c r="AD727">
        <v>80</v>
      </c>
      <c r="AE727">
        <v>68</v>
      </c>
    </row>
    <row r="728" spans="1:31" x14ac:dyDescent="0.25">
      <c r="A728" t="s">
        <v>3553</v>
      </c>
      <c r="B728" t="s">
        <v>3554</v>
      </c>
      <c r="C728" s="1">
        <v>45144</v>
      </c>
      <c r="D728" s="1">
        <v>44561</v>
      </c>
      <c r="E728" t="s">
        <v>50</v>
      </c>
      <c r="F728" t="s">
        <v>78</v>
      </c>
      <c r="G728" t="s">
        <v>67</v>
      </c>
      <c r="H728" t="s">
        <v>36</v>
      </c>
      <c r="I728" t="s">
        <v>3555</v>
      </c>
      <c r="J728" t="s">
        <v>55</v>
      </c>
      <c r="K728" t="s">
        <v>97</v>
      </c>
      <c r="L728" t="s">
        <v>3556</v>
      </c>
      <c r="M728">
        <v>145.82</v>
      </c>
      <c r="N728">
        <v>12</v>
      </c>
      <c r="O728" t="s">
        <v>3557</v>
      </c>
      <c r="P728" t="s">
        <v>42</v>
      </c>
      <c r="Q728" t="s">
        <v>340</v>
      </c>
      <c r="R728" t="s">
        <v>153</v>
      </c>
      <c r="S728" t="s">
        <v>45</v>
      </c>
      <c r="T728" t="s">
        <v>737</v>
      </c>
      <c r="U728">
        <v>2888</v>
      </c>
      <c r="V728">
        <v>424</v>
      </c>
      <c r="W728">
        <v>9</v>
      </c>
      <c r="X728">
        <v>1521.87</v>
      </c>
      <c r="Y728">
        <v>342.97</v>
      </c>
      <c r="Z728">
        <v>1864.84</v>
      </c>
      <c r="AA728" t="s">
        <v>63</v>
      </c>
      <c r="AB728">
        <v>0</v>
      </c>
      <c r="AC728">
        <v>89.52</v>
      </c>
      <c r="AD728">
        <v>493</v>
      </c>
      <c r="AE728">
        <v>502</v>
      </c>
    </row>
    <row r="729" spans="1:31" x14ac:dyDescent="0.25">
      <c r="A729" t="s">
        <v>3558</v>
      </c>
      <c r="B729" t="s">
        <v>3559</v>
      </c>
      <c r="C729" s="1">
        <v>45387</v>
      </c>
      <c r="D729" s="1">
        <v>44375</v>
      </c>
      <c r="E729" t="s">
        <v>66</v>
      </c>
      <c r="F729" t="s">
        <v>147</v>
      </c>
      <c r="G729" t="s">
        <v>94</v>
      </c>
      <c r="H729" t="s">
        <v>164</v>
      </c>
      <c r="I729" t="s">
        <v>3560</v>
      </c>
      <c r="J729" t="s">
        <v>82</v>
      </c>
      <c r="K729" t="s">
        <v>70</v>
      </c>
      <c r="L729" t="s">
        <v>3561</v>
      </c>
      <c r="M729">
        <v>258.77</v>
      </c>
      <c r="N729">
        <v>32</v>
      </c>
      <c r="O729" t="s">
        <v>2155</v>
      </c>
      <c r="P729" t="s">
        <v>86</v>
      </c>
      <c r="Q729" t="s">
        <v>189</v>
      </c>
      <c r="R729" t="s">
        <v>61</v>
      </c>
      <c r="S729" t="s">
        <v>89</v>
      </c>
      <c r="T729" t="s">
        <v>815</v>
      </c>
      <c r="U729">
        <v>4312</v>
      </c>
      <c r="V729">
        <v>232</v>
      </c>
      <c r="W729">
        <v>1</v>
      </c>
      <c r="X729">
        <v>948.87</v>
      </c>
      <c r="Y729">
        <v>159.35</v>
      </c>
      <c r="Z729">
        <v>1108.22</v>
      </c>
      <c r="AA729" t="s">
        <v>63</v>
      </c>
      <c r="AB729">
        <v>0</v>
      </c>
      <c r="AC729">
        <v>92.41</v>
      </c>
      <c r="AD729">
        <v>416</v>
      </c>
      <c r="AE729">
        <v>431</v>
      </c>
    </row>
    <row r="730" spans="1:31" x14ac:dyDescent="0.25">
      <c r="A730" t="s">
        <v>3562</v>
      </c>
      <c r="B730" t="s">
        <v>3563</v>
      </c>
      <c r="C730" s="1">
        <v>44779</v>
      </c>
      <c r="D730" s="1">
        <v>44442</v>
      </c>
      <c r="E730" t="s">
        <v>66</v>
      </c>
      <c r="F730" t="s">
        <v>51</v>
      </c>
      <c r="G730" t="s">
        <v>79</v>
      </c>
      <c r="H730" t="s">
        <v>53</v>
      </c>
      <c r="I730" t="s">
        <v>3564</v>
      </c>
      <c r="J730" t="s">
        <v>96</v>
      </c>
      <c r="K730" t="s">
        <v>83</v>
      </c>
      <c r="L730" t="s">
        <v>3565</v>
      </c>
      <c r="M730">
        <v>189.54</v>
      </c>
      <c r="N730">
        <v>12</v>
      </c>
      <c r="O730" t="s">
        <v>3566</v>
      </c>
      <c r="P730" t="s">
        <v>86</v>
      </c>
      <c r="Q730" t="s">
        <v>1277</v>
      </c>
      <c r="R730" t="s">
        <v>44</v>
      </c>
      <c r="S730" t="s">
        <v>45</v>
      </c>
      <c r="T730" t="s">
        <v>1261</v>
      </c>
      <c r="U730">
        <v>32</v>
      </c>
      <c r="V730">
        <v>427</v>
      </c>
      <c r="W730">
        <v>7</v>
      </c>
      <c r="X730">
        <v>309.01</v>
      </c>
      <c r="Y730">
        <v>171.3</v>
      </c>
      <c r="Z730">
        <v>480.31</v>
      </c>
      <c r="AA730" t="s">
        <v>63</v>
      </c>
      <c r="AB730">
        <v>0</v>
      </c>
      <c r="AC730">
        <v>76.88</v>
      </c>
      <c r="AD730">
        <v>437</v>
      </c>
      <c r="AE730">
        <v>412</v>
      </c>
    </row>
    <row r="731" spans="1:31" x14ac:dyDescent="0.25">
      <c r="A731" t="s">
        <v>3567</v>
      </c>
      <c r="B731" t="s">
        <v>3568</v>
      </c>
      <c r="C731" s="1">
        <v>44149</v>
      </c>
      <c r="D731" s="1">
        <v>44486</v>
      </c>
      <c r="E731" t="s">
        <v>66</v>
      </c>
      <c r="F731" t="s">
        <v>34</v>
      </c>
      <c r="G731" t="s">
        <v>105</v>
      </c>
      <c r="H731" t="s">
        <v>218</v>
      </c>
      <c r="I731" t="s">
        <v>3569</v>
      </c>
      <c r="J731" t="s">
        <v>96</v>
      </c>
      <c r="K731" t="s">
        <v>83</v>
      </c>
      <c r="L731" t="s">
        <v>3570</v>
      </c>
      <c r="M731">
        <v>295.95</v>
      </c>
      <c r="N731">
        <v>43</v>
      </c>
      <c r="O731" t="s">
        <v>1886</v>
      </c>
      <c r="P731" t="s">
        <v>86</v>
      </c>
      <c r="Q731" t="s">
        <v>684</v>
      </c>
      <c r="R731" t="s">
        <v>61</v>
      </c>
      <c r="S731" t="s">
        <v>89</v>
      </c>
      <c r="T731" t="s">
        <v>530</v>
      </c>
      <c r="U731">
        <v>1154</v>
      </c>
      <c r="V731">
        <v>194</v>
      </c>
      <c r="W731">
        <v>9</v>
      </c>
      <c r="X731">
        <v>106.49</v>
      </c>
      <c r="Y731">
        <v>123.51</v>
      </c>
      <c r="Z731">
        <v>230</v>
      </c>
      <c r="AA731" t="s">
        <v>63</v>
      </c>
      <c r="AB731">
        <v>0</v>
      </c>
      <c r="AC731">
        <v>78.930000000000007</v>
      </c>
      <c r="AD731">
        <v>469</v>
      </c>
      <c r="AE731">
        <v>423</v>
      </c>
    </row>
    <row r="732" spans="1:31" x14ac:dyDescent="0.25">
      <c r="A732" t="s">
        <v>3571</v>
      </c>
      <c r="B732" t="s">
        <v>3572</v>
      </c>
      <c r="C732" s="1">
        <v>45615</v>
      </c>
      <c r="D732" s="1">
        <v>44425</v>
      </c>
      <c r="E732" t="s">
        <v>66</v>
      </c>
      <c r="F732" t="s">
        <v>51</v>
      </c>
      <c r="G732" t="s">
        <v>35</v>
      </c>
      <c r="H732" t="s">
        <v>218</v>
      </c>
      <c r="I732" t="s">
        <v>3573</v>
      </c>
      <c r="J732" t="s">
        <v>38</v>
      </c>
      <c r="K732" t="s">
        <v>56</v>
      </c>
      <c r="L732" t="s">
        <v>3574</v>
      </c>
      <c r="M732">
        <v>114.26</v>
      </c>
      <c r="N732">
        <v>4</v>
      </c>
      <c r="O732" t="s">
        <v>2601</v>
      </c>
      <c r="P732" t="s">
        <v>110</v>
      </c>
      <c r="Q732" t="s">
        <v>175</v>
      </c>
      <c r="R732" t="s">
        <v>88</v>
      </c>
      <c r="S732" t="s">
        <v>128</v>
      </c>
      <c r="T732" t="s">
        <v>405</v>
      </c>
      <c r="U732">
        <v>4767</v>
      </c>
      <c r="V732">
        <v>297</v>
      </c>
      <c r="W732">
        <v>27</v>
      </c>
      <c r="X732">
        <v>1095.25</v>
      </c>
      <c r="Y732">
        <v>120.39</v>
      </c>
      <c r="Z732">
        <v>1215.6400000000001</v>
      </c>
      <c r="AA732" t="s">
        <v>47</v>
      </c>
      <c r="AB732">
        <v>11</v>
      </c>
      <c r="AC732">
        <v>83.49</v>
      </c>
      <c r="AD732">
        <v>101</v>
      </c>
      <c r="AE732">
        <v>59</v>
      </c>
    </row>
    <row r="733" spans="1:31" x14ac:dyDescent="0.25">
      <c r="A733" t="s">
        <v>3575</v>
      </c>
      <c r="B733" t="s">
        <v>3576</v>
      </c>
      <c r="C733" s="1">
        <v>45066</v>
      </c>
      <c r="D733" s="1">
        <v>44551</v>
      </c>
      <c r="E733" t="s">
        <v>50</v>
      </c>
      <c r="F733" t="s">
        <v>78</v>
      </c>
      <c r="G733" t="s">
        <v>35</v>
      </c>
      <c r="H733" t="s">
        <v>80</v>
      </c>
      <c r="I733" t="s">
        <v>3577</v>
      </c>
      <c r="J733" t="s">
        <v>55</v>
      </c>
      <c r="K733" t="s">
        <v>97</v>
      </c>
      <c r="L733" t="s">
        <v>3578</v>
      </c>
      <c r="M733">
        <v>276.55</v>
      </c>
      <c r="N733">
        <v>92</v>
      </c>
      <c r="O733" t="s">
        <v>3579</v>
      </c>
      <c r="P733" t="s">
        <v>142</v>
      </c>
      <c r="Q733" t="s">
        <v>234</v>
      </c>
      <c r="R733" t="s">
        <v>44</v>
      </c>
      <c r="S733" t="s">
        <v>101</v>
      </c>
      <c r="T733" t="s">
        <v>365</v>
      </c>
      <c r="U733">
        <v>676</v>
      </c>
      <c r="V733">
        <v>473</v>
      </c>
      <c r="W733">
        <v>26</v>
      </c>
      <c r="X733">
        <v>622.55999999999995</v>
      </c>
      <c r="Y733">
        <v>22.22</v>
      </c>
      <c r="Z733">
        <v>644.78</v>
      </c>
      <c r="AA733" t="s">
        <v>63</v>
      </c>
      <c r="AB733">
        <v>0</v>
      </c>
      <c r="AC733">
        <v>96.24</v>
      </c>
      <c r="AD733">
        <v>58</v>
      </c>
      <c r="AE733">
        <v>101</v>
      </c>
    </row>
    <row r="734" spans="1:31" x14ac:dyDescent="0.25">
      <c r="A734" t="s">
        <v>3580</v>
      </c>
      <c r="B734" t="s">
        <v>3581</v>
      </c>
      <c r="C734" s="1">
        <v>44270</v>
      </c>
      <c r="D734" s="1">
        <v>45003</v>
      </c>
      <c r="E734" t="s">
        <v>50</v>
      </c>
      <c r="F734" t="s">
        <v>34</v>
      </c>
      <c r="G734" t="s">
        <v>115</v>
      </c>
      <c r="H734" t="s">
        <v>68</v>
      </c>
      <c r="I734" t="s">
        <v>3582</v>
      </c>
      <c r="J734" t="s">
        <v>96</v>
      </c>
      <c r="K734" t="s">
        <v>39</v>
      </c>
      <c r="L734" t="s">
        <v>3583</v>
      </c>
      <c r="M734">
        <v>128.09</v>
      </c>
      <c r="N734">
        <v>39</v>
      </c>
      <c r="O734" t="s">
        <v>3584</v>
      </c>
      <c r="P734" t="s">
        <v>110</v>
      </c>
      <c r="Q734" t="s">
        <v>127</v>
      </c>
      <c r="R734" t="s">
        <v>153</v>
      </c>
      <c r="S734" t="s">
        <v>128</v>
      </c>
      <c r="T734" t="s">
        <v>542</v>
      </c>
      <c r="U734">
        <v>2572</v>
      </c>
      <c r="V734">
        <v>463</v>
      </c>
      <c r="W734">
        <v>28</v>
      </c>
      <c r="X734">
        <v>305.69</v>
      </c>
      <c r="Y734">
        <v>476.01</v>
      </c>
      <c r="Z734">
        <v>781.7</v>
      </c>
      <c r="AA734" t="s">
        <v>47</v>
      </c>
      <c r="AB734">
        <v>5</v>
      </c>
      <c r="AC734">
        <v>85.57</v>
      </c>
      <c r="AD734">
        <v>371</v>
      </c>
      <c r="AE734">
        <v>387</v>
      </c>
    </row>
    <row r="735" spans="1:31" x14ac:dyDescent="0.25">
      <c r="A735" t="s">
        <v>3585</v>
      </c>
      <c r="B735" t="s">
        <v>3586</v>
      </c>
      <c r="C735" s="1">
        <v>44538</v>
      </c>
      <c r="D735" s="1">
        <v>44330</v>
      </c>
      <c r="E735" t="s">
        <v>66</v>
      </c>
      <c r="F735" t="s">
        <v>78</v>
      </c>
      <c r="G735" t="s">
        <v>105</v>
      </c>
      <c r="H735" t="s">
        <v>164</v>
      </c>
      <c r="I735" t="s">
        <v>3587</v>
      </c>
      <c r="J735" t="s">
        <v>38</v>
      </c>
      <c r="K735" t="s">
        <v>39</v>
      </c>
      <c r="L735" t="s">
        <v>3588</v>
      </c>
      <c r="M735">
        <v>264.52999999999997</v>
      </c>
      <c r="N735">
        <v>19</v>
      </c>
      <c r="O735" t="s">
        <v>2939</v>
      </c>
      <c r="P735" t="s">
        <v>86</v>
      </c>
      <c r="Q735" t="s">
        <v>160</v>
      </c>
      <c r="R735" t="s">
        <v>153</v>
      </c>
      <c r="S735" t="s">
        <v>128</v>
      </c>
      <c r="T735" t="s">
        <v>737</v>
      </c>
      <c r="U735">
        <v>1522</v>
      </c>
      <c r="V735">
        <v>299</v>
      </c>
      <c r="W735">
        <v>6</v>
      </c>
      <c r="X735">
        <v>88.1</v>
      </c>
      <c r="Y735">
        <v>288.42</v>
      </c>
      <c r="Z735">
        <v>376.52</v>
      </c>
      <c r="AA735" t="s">
        <v>63</v>
      </c>
      <c r="AB735">
        <v>0</v>
      </c>
      <c r="AC735">
        <v>82.37</v>
      </c>
      <c r="AD735">
        <v>81</v>
      </c>
      <c r="AE735">
        <v>52</v>
      </c>
    </row>
    <row r="736" spans="1:31" x14ac:dyDescent="0.25">
      <c r="A736" t="s">
        <v>3589</v>
      </c>
      <c r="B736" t="s">
        <v>3590</v>
      </c>
      <c r="C736" s="1">
        <v>43968</v>
      </c>
      <c r="D736" s="1">
        <v>45091</v>
      </c>
      <c r="E736" t="s">
        <v>66</v>
      </c>
      <c r="F736" t="s">
        <v>78</v>
      </c>
      <c r="G736" t="s">
        <v>337</v>
      </c>
      <c r="H736" t="s">
        <v>36</v>
      </c>
      <c r="I736" t="s">
        <v>3591</v>
      </c>
      <c r="J736" t="s">
        <v>82</v>
      </c>
      <c r="K736" t="s">
        <v>70</v>
      </c>
      <c r="L736" t="s">
        <v>3592</v>
      </c>
      <c r="M736">
        <v>251.22</v>
      </c>
      <c r="N736">
        <v>23</v>
      </c>
      <c r="O736" t="s">
        <v>619</v>
      </c>
      <c r="P736" t="s">
        <v>110</v>
      </c>
      <c r="Q736" t="s">
        <v>111</v>
      </c>
      <c r="R736" t="s">
        <v>44</v>
      </c>
      <c r="S736" t="s">
        <v>45</v>
      </c>
      <c r="T736" t="s">
        <v>222</v>
      </c>
      <c r="U736">
        <v>548</v>
      </c>
      <c r="V736">
        <v>98</v>
      </c>
      <c r="W736">
        <v>29</v>
      </c>
      <c r="X736">
        <v>1407.31</v>
      </c>
      <c r="Y736">
        <v>181.74</v>
      </c>
      <c r="Z736">
        <v>1589.05</v>
      </c>
      <c r="AA736" t="s">
        <v>63</v>
      </c>
      <c r="AB736">
        <v>0</v>
      </c>
      <c r="AC736">
        <v>95.94</v>
      </c>
      <c r="AD736">
        <v>218</v>
      </c>
      <c r="AE736">
        <v>245</v>
      </c>
    </row>
    <row r="737" spans="1:31" x14ac:dyDescent="0.25">
      <c r="A737" t="s">
        <v>3593</v>
      </c>
      <c r="B737" t="s">
        <v>3594</v>
      </c>
      <c r="C737" s="1">
        <v>44506</v>
      </c>
      <c r="D737" s="1">
        <v>45455</v>
      </c>
      <c r="E737" t="s">
        <v>66</v>
      </c>
      <c r="F737" t="s">
        <v>78</v>
      </c>
      <c r="G737" t="s">
        <v>105</v>
      </c>
      <c r="H737" t="s">
        <v>164</v>
      </c>
      <c r="I737" t="s">
        <v>3595</v>
      </c>
      <c r="J737" t="s">
        <v>82</v>
      </c>
      <c r="K737" t="s">
        <v>56</v>
      </c>
      <c r="L737" t="s">
        <v>3596</v>
      </c>
      <c r="M737">
        <v>109.84</v>
      </c>
      <c r="N737">
        <v>58</v>
      </c>
      <c r="O737" t="s">
        <v>3597</v>
      </c>
      <c r="P737" t="s">
        <v>142</v>
      </c>
      <c r="Q737" t="s">
        <v>529</v>
      </c>
      <c r="R737" t="s">
        <v>44</v>
      </c>
      <c r="S737" t="s">
        <v>89</v>
      </c>
      <c r="T737" t="s">
        <v>161</v>
      </c>
      <c r="U737">
        <v>3221</v>
      </c>
      <c r="V737">
        <v>351</v>
      </c>
      <c r="W737">
        <v>9</v>
      </c>
      <c r="X737">
        <v>138.69999999999999</v>
      </c>
      <c r="Y737">
        <v>153.74</v>
      </c>
      <c r="Z737">
        <v>292.44</v>
      </c>
      <c r="AA737" t="s">
        <v>63</v>
      </c>
      <c r="AB737">
        <v>0</v>
      </c>
      <c r="AC737">
        <v>82.81</v>
      </c>
      <c r="AD737">
        <v>422</v>
      </c>
      <c r="AE737">
        <v>378</v>
      </c>
    </row>
    <row r="738" spans="1:31" x14ac:dyDescent="0.25">
      <c r="A738" t="s">
        <v>3598</v>
      </c>
      <c r="B738" t="s">
        <v>3599</v>
      </c>
      <c r="C738" s="1">
        <v>44595</v>
      </c>
      <c r="D738" s="1">
        <v>45641</v>
      </c>
      <c r="E738" t="s">
        <v>66</v>
      </c>
      <c r="F738" t="s">
        <v>34</v>
      </c>
      <c r="G738" t="s">
        <v>67</v>
      </c>
      <c r="H738" t="s">
        <v>53</v>
      </c>
      <c r="I738" t="s">
        <v>3600</v>
      </c>
      <c r="J738" t="s">
        <v>38</v>
      </c>
      <c r="K738" t="s">
        <v>83</v>
      </c>
      <c r="L738" t="s">
        <v>3601</v>
      </c>
      <c r="M738">
        <v>322.3</v>
      </c>
      <c r="N738">
        <v>12</v>
      </c>
      <c r="O738" t="s">
        <v>213</v>
      </c>
      <c r="P738" t="s">
        <v>59</v>
      </c>
      <c r="Q738" t="s">
        <v>371</v>
      </c>
      <c r="R738" t="s">
        <v>153</v>
      </c>
      <c r="S738" t="s">
        <v>45</v>
      </c>
      <c r="T738" t="s">
        <v>316</v>
      </c>
      <c r="U738">
        <v>426</v>
      </c>
      <c r="V738">
        <v>153</v>
      </c>
      <c r="W738">
        <v>5</v>
      </c>
      <c r="X738">
        <v>671.13</v>
      </c>
      <c r="Y738">
        <v>219.86</v>
      </c>
      <c r="Z738">
        <v>890.99</v>
      </c>
      <c r="AA738" t="s">
        <v>63</v>
      </c>
      <c r="AB738">
        <v>0</v>
      </c>
      <c r="AC738">
        <v>75.790000000000006</v>
      </c>
      <c r="AD738">
        <v>497</v>
      </c>
      <c r="AE738">
        <v>492</v>
      </c>
    </row>
    <row r="739" spans="1:31" x14ac:dyDescent="0.25">
      <c r="A739" t="s">
        <v>3602</v>
      </c>
      <c r="B739" t="s">
        <v>3603</v>
      </c>
      <c r="C739" s="1">
        <v>43916</v>
      </c>
      <c r="D739" s="1">
        <v>44363</v>
      </c>
      <c r="E739" t="s">
        <v>66</v>
      </c>
      <c r="F739" t="s">
        <v>51</v>
      </c>
      <c r="G739" t="s">
        <v>79</v>
      </c>
      <c r="H739" t="s">
        <v>53</v>
      </c>
      <c r="I739" t="s">
        <v>3604</v>
      </c>
      <c r="J739" t="s">
        <v>107</v>
      </c>
      <c r="K739" t="s">
        <v>97</v>
      </c>
      <c r="L739" t="s">
        <v>3605</v>
      </c>
      <c r="M739">
        <v>33.6</v>
      </c>
      <c r="N739">
        <v>6</v>
      </c>
      <c r="O739" t="s">
        <v>3606</v>
      </c>
      <c r="P739" t="s">
        <v>42</v>
      </c>
      <c r="Q739" t="s">
        <v>529</v>
      </c>
      <c r="R739" t="s">
        <v>61</v>
      </c>
      <c r="S739" t="s">
        <v>45</v>
      </c>
      <c r="T739" t="s">
        <v>121</v>
      </c>
      <c r="U739">
        <v>3815</v>
      </c>
      <c r="V739">
        <v>195</v>
      </c>
      <c r="W739">
        <v>18</v>
      </c>
      <c r="X739">
        <v>114.27</v>
      </c>
      <c r="Y739">
        <v>419.71</v>
      </c>
      <c r="Z739">
        <v>533.98</v>
      </c>
      <c r="AA739" t="s">
        <v>63</v>
      </c>
      <c r="AB739">
        <v>0</v>
      </c>
      <c r="AC739">
        <v>90.65</v>
      </c>
      <c r="AD739">
        <v>357</v>
      </c>
      <c r="AE739">
        <v>371</v>
      </c>
    </row>
    <row r="740" spans="1:31" x14ac:dyDescent="0.25">
      <c r="A740" t="s">
        <v>3607</v>
      </c>
      <c r="B740" t="s">
        <v>3608</v>
      </c>
      <c r="C740" s="1">
        <v>44928</v>
      </c>
      <c r="D740" s="1">
        <v>44146</v>
      </c>
      <c r="E740" t="s">
        <v>66</v>
      </c>
      <c r="F740" t="s">
        <v>78</v>
      </c>
      <c r="G740" t="s">
        <v>115</v>
      </c>
      <c r="H740" t="s">
        <v>164</v>
      </c>
      <c r="I740" t="s">
        <v>3609</v>
      </c>
      <c r="J740" t="s">
        <v>55</v>
      </c>
      <c r="K740" t="s">
        <v>97</v>
      </c>
      <c r="L740" t="s">
        <v>3610</v>
      </c>
      <c r="M740">
        <v>361.76</v>
      </c>
      <c r="N740">
        <v>1</v>
      </c>
      <c r="O740" t="s">
        <v>2191</v>
      </c>
      <c r="P740" t="s">
        <v>42</v>
      </c>
      <c r="Q740" t="s">
        <v>234</v>
      </c>
      <c r="R740" t="s">
        <v>44</v>
      </c>
      <c r="S740" t="s">
        <v>101</v>
      </c>
      <c r="T740" t="s">
        <v>161</v>
      </c>
      <c r="U740">
        <v>1440</v>
      </c>
      <c r="V740">
        <v>384</v>
      </c>
      <c r="W740">
        <v>4</v>
      </c>
      <c r="X740">
        <v>781.84</v>
      </c>
      <c r="Y740">
        <v>454.11</v>
      </c>
      <c r="Z740">
        <v>1235.95</v>
      </c>
      <c r="AA740" t="s">
        <v>63</v>
      </c>
      <c r="AB740">
        <v>0</v>
      </c>
      <c r="AC740">
        <v>82.89</v>
      </c>
      <c r="AD740">
        <v>428</v>
      </c>
      <c r="AE740">
        <v>477</v>
      </c>
    </row>
    <row r="741" spans="1:31" x14ac:dyDescent="0.25">
      <c r="A741" t="s">
        <v>3611</v>
      </c>
      <c r="B741" t="s">
        <v>3612</v>
      </c>
      <c r="C741" s="1">
        <v>45568</v>
      </c>
      <c r="D741" s="1">
        <v>44860</v>
      </c>
      <c r="E741" t="s">
        <v>50</v>
      </c>
      <c r="F741" t="s">
        <v>34</v>
      </c>
      <c r="G741" t="s">
        <v>35</v>
      </c>
      <c r="H741" t="s">
        <v>68</v>
      </c>
      <c r="I741" t="s">
        <v>3613</v>
      </c>
      <c r="J741" t="s">
        <v>107</v>
      </c>
      <c r="K741" t="s">
        <v>83</v>
      </c>
      <c r="L741" t="s">
        <v>1231</v>
      </c>
      <c r="M741">
        <v>424.26</v>
      </c>
      <c r="N741">
        <v>27</v>
      </c>
      <c r="O741" t="s">
        <v>260</v>
      </c>
      <c r="P741" t="s">
        <v>110</v>
      </c>
      <c r="Q741" t="s">
        <v>421</v>
      </c>
      <c r="R741" t="s">
        <v>88</v>
      </c>
      <c r="S741" t="s">
        <v>89</v>
      </c>
      <c r="T741" t="s">
        <v>1059</v>
      </c>
      <c r="U741">
        <v>1293</v>
      </c>
      <c r="V741">
        <v>456</v>
      </c>
      <c r="W741">
        <v>16</v>
      </c>
      <c r="X741">
        <v>1830.9</v>
      </c>
      <c r="Y741">
        <v>282.63</v>
      </c>
      <c r="Z741">
        <v>2113.5300000000002</v>
      </c>
      <c r="AA741" t="s">
        <v>63</v>
      </c>
      <c r="AB741">
        <v>0</v>
      </c>
      <c r="AC741">
        <v>83.49</v>
      </c>
      <c r="AD741">
        <v>206</v>
      </c>
      <c r="AE741">
        <v>159</v>
      </c>
    </row>
    <row r="742" spans="1:31" x14ac:dyDescent="0.25">
      <c r="A742" t="s">
        <v>3614</v>
      </c>
      <c r="B742" t="s">
        <v>3615</v>
      </c>
      <c r="C742" s="1">
        <v>45572</v>
      </c>
      <c r="D742" s="1">
        <v>45398</v>
      </c>
      <c r="E742" t="s">
        <v>50</v>
      </c>
      <c r="F742" t="s">
        <v>34</v>
      </c>
      <c r="G742" t="s">
        <v>337</v>
      </c>
      <c r="H742" t="s">
        <v>148</v>
      </c>
      <c r="I742" t="s">
        <v>3616</v>
      </c>
      <c r="J742" t="s">
        <v>107</v>
      </c>
      <c r="K742" t="s">
        <v>56</v>
      </c>
      <c r="L742" t="s">
        <v>3617</v>
      </c>
      <c r="M742">
        <v>358.62</v>
      </c>
      <c r="N742">
        <v>63</v>
      </c>
      <c r="O742" t="s">
        <v>557</v>
      </c>
      <c r="P742" t="s">
        <v>110</v>
      </c>
      <c r="Q742" t="s">
        <v>529</v>
      </c>
      <c r="R742" t="s">
        <v>61</v>
      </c>
      <c r="S742" t="s">
        <v>101</v>
      </c>
      <c r="T742" t="s">
        <v>90</v>
      </c>
      <c r="U742">
        <v>153</v>
      </c>
      <c r="V742">
        <v>317</v>
      </c>
      <c r="W742">
        <v>17</v>
      </c>
      <c r="X742">
        <v>1258.8499999999999</v>
      </c>
      <c r="Y742">
        <v>490.03</v>
      </c>
      <c r="Z742">
        <v>1748.88</v>
      </c>
      <c r="AA742" t="s">
        <v>63</v>
      </c>
      <c r="AB742">
        <v>0</v>
      </c>
      <c r="AC742">
        <v>73.05</v>
      </c>
      <c r="AD742">
        <v>170</v>
      </c>
      <c r="AE742">
        <v>153</v>
      </c>
    </row>
    <row r="743" spans="1:31" x14ac:dyDescent="0.25">
      <c r="A743" t="s">
        <v>3618</v>
      </c>
      <c r="B743" t="s">
        <v>3619</v>
      </c>
      <c r="C743" s="1">
        <v>45151</v>
      </c>
      <c r="D743" s="1">
        <v>44964</v>
      </c>
      <c r="E743" t="s">
        <v>50</v>
      </c>
      <c r="F743" t="s">
        <v>147</v>
      </c>
      <c r="G743" t="s">
        <v>337</v>
      </c>
      <c r="H743" t="s">
        <v>53</v>
      </c>
      <c r="I743" t="s">
        <v>3620</v>
      </c>
      <c r="J743" t="s">
        <v>38</v>
      </c>
      <c r="K743" t="s">
        <v>83</v>
      </c>
      <c r="L743" t="s">
        <v>3621</v>
      </c>
      <c r="M743">
        <v>458.08</v>
      </c>
      <c r="N743">
        <v>55</v>
      </c>
      <c r="O743" t="s">
        <v>3622</v>
      </c>
      <c r="P743" t="s">
        <v>142</v>
      </c>
      <c r="Q743" t="s">
        <v>43</v>
      </c>
      <c r="R743" t="s">
        <v>153</v>
      </c>
      <c r="S743" t="s">
        <v>74</v>
      </c>
      <c r="T743" t="s">
        <v>242</v>
      </c>
      <c r="U743">
        <v>4437</v>
      </c>
      <c r="V743">
        <v>438</v>
      </c>
      <c r="W743">
        <v>2</v>
      </c>
      <c r="X743">
        <v>836.57</v>
      </c>
      <c r="Y743">
        <v>341.12</v>
      </c>
      <c r="Z743">
        <v>1177.69</v>
      </c>
      <c r="AA743" t="s">
        <v>63</v>
      </c>
      <c r="AB743">
        <v>0</v>
      </c>
      <c r="AC743">
        <v>72.27</v>
      </c>
      <c r="AD743">
        <v>116</v>
      </c>
      <c r="AE743">
        <v>133</v>
      </c>
    </row>
    <row r="744" spans="1:31" x14ac:dyDescent="0.25">
      <c r="A744" t="s">
        <v>3623</v>
      </c>
      <c r="B744" t="s">
        <v>3624</v>
      </c>
      <c r="C744" s="1">
        <v>44803</v>
      </c>
      <c r="D744" s="1">
        <v>44519</v>
      </c>
      <c r="E744" t="s">
        <v>66</v>
      </c>
      <c r="F744" t="s">
        <v>147</v>
      </c>
      <c r="G744" t="s">
        <v>105</v>
      </c>
      <c r="H744" t="s">
        <v>218</v>
      </c>
      <c r="I744" t="s">
        <v>3625</v>
      </c>
      <c r="J744" t="s">
        <v>107</v>
      </c>
      <c r="K744" t="s">
        <v>39</v>
      </c>
      <c r="L744" t="s">
        <v>3626</v>
      </c>
      <c r="M744">
        <v>53.36</v>
      </c>
      <c r="N744">
        <v>84</v>
      </c>
      <c r="O744" t="s">
        <v>1537</v>
      </c>
      <c r="P744" t="s">
        <v>86</v>
      </c>
      <c r="Q744" t="s">
        <v>73</v>
      </c>
      <c r="R744" t="s">
        <v>44</v>
      </c>
      <c r="S744" t="s">
        <v>45</v>
      </c>
      <c r="T744" t="s">
        <v>927</v>
      </c>
      <c r="U744">
        <v>4959</v>
      </c>
      <c r="V744">
        <v>63</v>
      </c>
      <c r="W744">
        <v>7</v>
      </c>
      <c r="X744">
        <v>1828.81</v>
      </c>
      <c r="Y744">
        <v>127.38</v>
      </c>
      <c r="Z744">
        <v>1956.19</v>
      </c>
      <c r="AA744" t="s">
        <v>63</v>
      </c>
      <c r="AB744">
        <v>0</v>
      </c>
      <c r="AC744">
        <v>86.36</v>
      </c>
      <c r="AD744">
        <v>425</v>
      </c>
      <c r="AE744">
        <v>443</v>
      </c>
    </row>
    <row r="745" spans="1:31" x14ac:dyDescent="0.25">
      <c r="A745" t="s">
        <v>3627</v>
      </c>
      <c r="B745" t="s">
        <v>3628</v>
      </c>
      <c r="C745" s="1">
        <v>44124</v>
      </c>
      <c r="D745" s="1">
        <v>45219</v>
      </c>
      <c r="E745" t="s">
        <v>66</v>
      </c>
      <c r="F745" t="s">
        <v>34</v>
      </c>
      <c r="G745" t="s">
        <v>79</v>
      </c>
      <c r="H745" t="s">
        <v>36</v>
      </c>
      <c r="I745" t="s">
        <v>3629</v>
      </c>
      <c r="J745" t="s">
        <v>107</v>
      </c>
      <c r="K745" t="s">
        <v>70</v>
      </c>
      <c r="L745" t="s">
        <v>3630</v>
      </c>
      <c r="M745">
        <v>487.95</v>
      </c>
      <c r="N745">
        <v>93</v>
      </c>
      <c r="O745" t="s">
        <v>2730</v>
      </c>
      <c r="P745" t="s">
        <v>59</v>
      </c>
      <c r="Q745" t="s">
        <v>168</v>
      </c>
      <c r="R745" t="s">
        <v>44</v>
      </c>
      <c r="S745" t="s">
        <v>128</v>
      </c>
      <c r="T745" t="s">
        <v>176</v>
      </c>
      <c r="U745">
        <v>398</v>
      </c>
      <c r="V745">
        <v>374</v>
      </c>
      <c r="W745">
        <v>3</v>
      </c>
      <c r="X745">
        <v>1447.69</v>
      </c>
      <c r="Y745">
        <v>468.76</v>
      </c>
      <c r="Z745">
        <v>1916.45</v>
      </c>
      <c r="AA745" t="s">
        <v>63</v>
      </c>
      <c r="AB745">
        <v>0</v>
      </c>
      <c r="AC745">
        <v>74.150000000000006</v>
      </c>
      <c r="AD745">
        <v>460</v>
      </c>
      <c r="AE745">
        <v>501</v>
      </c>
    </row>
    <row r="746" spans="1:31" x14ac:dyDescent="0.25">
      <c r="A746" t="s">
        <v>3631</v>
      </c>
      <c r="B746" t="s">
        <v>3632</v>
      </c>
      <c r="C746" s="1">
        <v>44936</v>
      </c>
      <c r="D746" s="1">
        <v>44489</v>
      </c>
      <c r="E746" t="s">
        <v>50</v>
      </c>
      <c r="F746" t="s">
        <v>34</v>
      </c>
      <c r="G746" t="s">
        <v>35</v>
      </c>
      <c r="H746" t="s">
        <v>80</v>
      </c>
      <c r="I746" t="s">
        <v>3633</v>
      </c>
      <c r="J746" t="s">
        <v>82</v>
      </c>
      <c r="K746" t="s">
        <v>83</v>
      </c>
      <c r="L746" t="s">
        <v>3634</v>
      </c>
      <c r="M746">
        <v>461.8</v>
      </c>
      <c r="N746">
        <v>79</v>
      </c>
      <c r="O746" t="s">
        <v>3635</v>
      </c>
      <c r="P746" t="s">
        <v>59</v>
      </c>
      <c r="Q746" t="s">
        <v>371</v>
      </c>
      <c r="R746" t="s">
        <v>88</v>
      </c>
      <c r="S746" t="s">
        <v>101</v>
      </c>
      <c r="T746" t="s">
        <v>415</v>
      </c>
      <c r="U746">
        <v>3308</v>
      </c>
      <c r="V746">
        <v>376</v>
      </c>
      <c r="W746">
        <v>21</v>
      </c>
      <c r="X746">
        <v>92.08</v>
      </c>
      <c r="Y746">
        <v>262.56</v>
      </c>
      <c r="Z746">
        <v>354.64</v>
      </c>
      <c r="AA746" t="s">
        <v>63</v>
      </c>
      <c r="AB746">
        <v>0</v>
      </c>
      <c r="AC746">
        <v>73.86</v>
      </c>
      <c r="AD746">
        <v>85</v>
      </c>
      <c r="AE746">
        <v>122</v>
      </c>
    </row>
    <row r="747" spans="1:31" x14ac:dyDescent="0.25">
      <c r="A747" t="s">
        <v>3636</v>
      </c>
      <c r="B747" t="s">
        <v>3637</v>
      </c>
      <c r="C747" s="1">
        <v>44060</v>
      </c>
      <c r="D747" s="1">
        <v>45117</v>
      </c>
      <c r="E747" t="s">
        <v>66</v>
      </c>
      <c r="F747" t="s">
        <v>34</v>
      </c>
      <c r="G747" t="s">
        <v>67</v>
      </c>
      <c r="H747" t="s">
        <v>164</v>
      </c>
      <c r="I747" t="s">
        <v>3638</v>
      </c>
      <c r="J747" t="s">
        <v>107</v>
      </c>
      <c r="K747" t="s">
        <v>56</v>
      </c>
      <c r="L747" t="s">
        <v>3639</v>
      </c>
      <c r="M747">
        <v>335.21</v>
      </c>
      <c r="N747">
        <v>32</v>
      </c>
      <c r="O747" t="s">
        <v>254</v>
      </c>
      <c r="P747" t="s">
        <v>42</v>
      </c>
      <c r="Q747" t="s">
        <v>529</v>
      </c>
      <c r="R747" t="s">
        <v>88</v>
      </c>
      <c r="S747" t="s">
        <v>101</v>
      </c>
      <c r="T747" t="s">
        <v>161</v>
      </c>
      <c r="U747">
        <v>2668</v>
      </c>
      <c r="V747">
        <v>142</v>
      </c>
      <c r="W747">
        <v>13</v>
      </c>
      <c r="X747">
        <v>910.99</v>
      </c>
      <c r="Y747">
        <v>137.4</v>
      </c>
      <c r="Z747">
        <v>1048.3900000000001</v>
      </c>
      <c r="AA747" t="s">
        <v>63</v>
      </c>
      <c r="AB747">
        <v>0</v>
      </c>
      <c r="AC747">
        <v>75.069999999999993</v>
      </c>
      <c r="AD747">
        <v>407</v>
      </c>
      <c r="AE747">
        <v>378</v>
      </c>
    </row>
    <row r="748" spans="1:31" x14ac:dyDescent="0.25">
      <c r="A748" t="s">
        <v>3640</v>
      </c>
      <c r="B748" t="s">
        <v>3641</v>
      </c>
      <c r="C748" s="1">
        <v>44669</v>
      </c>
      <c r="D748" s="1">
        <v>44439</v>
      </c>
      <c r="E748" t="s">
        <v>50</v>
      </c>
      <c r="F748" t="s">
        <v>78</v>
      </c>
      <c r="G748" t="s">
        <v>337</v>
      </c>
      <c r="H748" t="s">
        <v>68</v>
      </c>
      <c r="I748" t="s">
        <v>3642</v>
      </c>
      <c r="J748" t="s">
        <v>82</v>
      </c>
      <c r="K748" t="s">
        <v>83</v>
      </c>
      <c r="L748" t="s">
        <v>3643</v>
      </c>
      <c r="M748">
        <v>431.66</v>
      </c>
      <c r="N748">
        <v>91</v>
      </c>
      <c r="O748" t="s">
        <v>1742</v>
      </c>
      <c r="P748" t="s">
        <v>142</v>
      </c>
      <c r="Q748" t="s">
        <v>100</v>
      </c>
      <c r="R748" t="s">
        <v>88</v>
      </c>
      <c r="S748" t="s">
        <v>89</v>
      </c>
      <c r="T748" t="s">
        <v>235</v>
      </c>
      <c r="U748">
        <v>4277</v>
      </c>
      <c r="V748">
        <v>461</v>
      </c>
      <c r="W748">
        <v>15</v>
      </c>
      <c r="X748">
        <v>1548.87</v>
      </c>
      <c r="Y748">
        <v>363.11</v>
      </c>
      <c r="Z748">
        <v>1911.98</v>
      </c>
      <c r="AA748" t="s">
        <v>63</v>
      </c>
      <c r="AB748">
        <v>0</v>
      </c>
      <c r="AC748">
        <v>84.44</v>
      </c>
      <c r="AD748">
        <v>442</v>
      </c>
      <c r="AE748">
        <v>426</v>
      </c>
    </row>
    <row r="749" spans="1:31" x14ac:dyDescent="0.25">
      <c r="A749" t="s">
        <v>3644</v>
      </c>
      <c r="B749" t="s">
        <v>831</v>
      </c>
      <c r="C749" s="1">
        <v>44529</v>
      </c>
      <c r="D749" s="1">
        <v>44454</v>
      </c>
      <c r="E749" t="s">
        <v>66</v>
      </c>
      <c r="F749" t="s">
        <v>51</v>
      </c>
      <c r="G749" t="s">
        <v>337</v>
      </c>
      <c r="H749" t="s">
        <v>218</v>
      </c>
      <c r="I749" t="s">
        <v>3645</v>
      </c>
      <c r="J749" t="s">
        <v>107</v>
      </c>
      <c r="K749" t="s">
        <v>83</v>
      </c>
      <c r="L749" t="s">
        <v>3646</v>
      </c>
      <c r="M749">
        <v>368.67</v>
      </c>
      <c r="N749">
        <v>49</v>
      </c>
      <c r="O749" t="s">
        <v>3040</v>
      </c>
      <c r="P749" t="s">
        <v>110</v>
      </c>
      <c r="Q749" t="s">
        <v>488</v>
      </c>
      <c r="R749" t="s">
        <v>44</v>
      </c>
      <c r="S749" t="s">
        <v>101</v>
      </c>
      <c r="T749" t="s">
        <v>405</v>
      </c>
      <c r="U749">
        <v>2691</v>
      </c>
      <c r="V749">
        <v>74</v>
      </c>
      <c r="W749">
        <v>4</v>
      </c>
      <c r="X749">
        <v>566.82000000000005</v>
      </c>
      <c r="Y749">
        <v>369.7</v>
      </c>
      <c r="Z749">
        <v>936.52</v>
      </c>
      <c r="AA749" t="s">
        <v>63</v>
      </c>
      <c r="AB749">
        <v>0</v>
      </c>
      <c r="AC749">
        <v>97.16</v>
      </c>
      <c r="AD749">
        <v>459</v>
      </c>
      <c r="AE749">
        <v>489</v>
      </c>
    </row>
    <row r="750" spans="1:31" x14ac:dyDescent="0.25">
      <c r="A750" t="s">
        <v>3647</v>
      </c>
      <c r="B750" t="s">
        <v>3648</v>
      </c>
      <c r="C750" s="1">
        <v>44646</v>
      </c>
      <c r="D750" s="1">
        <v>44789</v>
      </c>
      <c r="E750" t="s">
        <v>66</v>
      </c>
      <c r="F750" t="s">
        <v>93</v>
      </c>
      <c r="G750" t="s">
        <v>94</v>
      </c>
      <c r="H750" t="s">
        <v>116</v>
      </c>
      <c r="I750" t="s">
        <v>3649</v>
      </c>
      <c r="J750" t="s">
        <v>55</v>
      </c>
      <c r="K750" t="s">
        <v>83</v>
      </c>
      <c r="L750" t="s">
        <v>3650</v>
      </c>
      <c r="M750">
        <v>412.17</v>
      </c>
      <c r="N750">
        <v>81</v>
      </c>
      <c r="O750" t="s">
        <v>3651</v>
      </c>
      <c r="P750" t="s">
        <v>142</v>
      </c>
      <c r="Q750" t="s">
        <v>541</v>
      </c>
      <c r="R750" t="s">
        <v>88</v>
      </c>
      <c r="S750" t="s">
        <v>101</v>
      </c>
      <c r="T750" t="s">
        <v>721</v>
      </c>
      <c r="U750">
        <v>2668</v>
      </c>
      <c r="V750">
        <v>341</v>
      </c>
      <c r="W750">
        <v>16</v>
      </c>
      <c r="X750">
        <v>756.15</v>
      </c>
      <c r="Y750">
        <v>469.87</v>
      </c>
      <c r="Z750">
        <v>1226.02</v>
      </c>
      <c r="AA750" t="s">
        <v>63</v>
      </c>
      <c r="AB750">
        <v>0</v>
      </c>
      <c r="AC750">
        <v>77.489999999999995</v>
      </c>
      <c r="AD750">
        <v>308</v>
      </c>
      <c r="AE750">
        <v>283</v>
      </c>
    </row>
    <row r="751" spans="1:31" x14ac:dyDescent="0.25">
      <c r="A751" t="s">
        <v>3652</v>
      </c>
      <c r="B751" t="s">
        <v>3653</v>
      </c>
      <c r="C751" s="1">
        <v>45454</v>
      </c>
      <c r="D751" s="1">
        <v>44321</v>
      </c>
      <c r="E751" t="s">
        <v>66</v>
      </c>
      <c r="F751" t="s">
        <v>78</v>
      </c>
      <c r="G751" t="s">
        <v>115</v>
      </c>
      <c r="H751" t="s">
        <v>68</v>
      </c>
      <c r="I751" t="s">
        <v>3654</v>
      </c>
      <c r="J751" t="s">
        <v>82</v>
      </c>
      <c r="K751" t="s">
        <v>56</v>
      </c>
      <c r="L751" t="s">
        <v>3655</v>
      </c>
      <c r="M751">
        <v>26.47</v>
      </c>
      <c r="N751">
        <v>56</v>
      </c>
      <c r="O751" t="s">
        <v>3656</v>
      </c>
      <c r="P751" t="s">
        <v>59</v>
      </c>
      <c r="Q751" t="s">
        <v>234</v>
      </c>
      <c r="R751" t="s">
        <v>88</v>
      </c>
      <c r="S751" t="s">
        <v>128</v>
      </c>
      <c r="T751" t="s">
        <v>309</v>
      </c>
      <c r="U751">
        <v>1915</v>
      </c>
      <c r="V751">
        <v>466</v>
      </c>
      <c r="W751">
        <v>2</v>
      </c>
      <c r="X751">
        <v>272.56</v>
      </c>
      <c r="Y751">
        <v>309.7</v>
      </c>
      <c r="Z751">
        <v>582.26</v>
      </c>
      <c r="AA751" t="s">
        <v>63</v>
      </c>
      <c r="AB751">
        <v>0</v>
      </c>
      <c r="AC751">
        <v>79.75</v>
      </c>
      <c r="AD751">
        <v>453</v>
      </c>
      <c r="AE751">
        <v>443</v>
      </c>
    </row>
    <row r="752" spans="1:31" x14ac:dyDescent="0.25">
      <c r="A752" t="s">
        <v>3657</v>
      </c>
      <c r="B752" t="s">
        <v>3658</v>
      </c>
      <c r="C752" s="1">
        <v>45553</v>
      </c>
      <c r="D752" s="1">
        <v>45047</v>
      </c>
      <c r="E752" t="s">
        <v>50</v>
      </c>
      <c r="F752" t="s">
        <v>34</v>
      </c>
      <c r="G752" t="s">
        <v>115</v>
      </c>
      <c r="H752" t="s">
        <v>68</v>
      </c>
      <c r="I752" t="s">
        <v>3659</v>
      </c>
      <c r="J752" t="s">
        <v>82</v>
      </c>
      <c r="K752" t="s">
        <v>83</v>
      </c>
      <c r="L752" t="s">
        <v>3660</v>
      </c>
      <c r="M752">
        <v>368.36</v>
      </c>
      <c r="N752">
        <v>70</v>
      </c>
      <c r="O752" t="s">
        <v>2800</v>
      </c>
      <c r="P752" t="s">
        <v>110</v>
      </c>
      <c r="Q752" t="s">
        <v>120</v>
      </c>
      <c r="R752" t="s">
        <v>153</v>
      </c>
      <c r="S752" t="s">
        <v>128</v>
      </c>
      <c r="T752" t="s">
        <v>939</v>
      </c>
      <c r="U752">
        <v>1577</v>
      </c>
      <c r="V752">
        <v>61</v>
      </c>
      <c r="W752">
        <v>12</v>
      </c>
      <c r="X752">
        <v>797.96</v>
      </c>
      <c r="Y752">
        <v>35.03</v>
      </c>
      <c r="Z752">
        <v>832.99</v>
      </c>
      <c r="AA752" t="s">
        <v>63</v>
      </c>
      <c r="AB752">
        <v>0</v>
      </c>
      <c r="AC752">
        <v>77.069999999999993</v>
      </c>
      <c r="AD752">
        <v>97</v>
      </c>
      <c r="AE752">
        <v>120</v>
      </c>
    </row>
    <row r="753" spans="1:31" x14ac:dyDescent="0.25">
      <c r="A753" t="s">
        <v>3661</v>
      </c>
      <c r="B753" t="s">
        <v>3662</v>
      </c>
      <c r="C753" s="1">
        <v>45299</v>
      </c>
      <c r="D753" s="1">
        <v>45292</v>
      </c>
      <c r="E753" t="s">
        <v>50</v>
      </c>
      <c r="F753" t="s">
        <v>34</v>
      </c>
      <c r="G753" t="s">
        <v>94</v>
      </c>
      <c r="H753" t="s">
        <v>80</v>
      </c>
      <c r="I753" t="s">
        <v>3663</v>
      </c>
      <c r="J753" t="s">
        <v>107</v>
      </c>
      <c r="K753" t="s">
        <v>70</v>
      </c>
      <c r="L753" t="s">
        <v>3664</v>
      </c>
      <c r="M753">
        <v>387.21</v>
      </c>
      <c r="N753">
        <v>74</v>
      </c>
      <c r="O753" t="s">
        <v>1886</v>
      </c>
      <c r="P753" t="s">
        <v>86</v>
      </c>
      <c r="Q753" t="s">
        <v>135</v>
      </c>
      <c r="R753" t="s">
        <v>153</v>
      </c>
      <c r="S753" t="s">
        <v>74</v>
      </c>
      <c r="T753" t="s">
        <v>291</v>
      </c>
      <c r="U753">
        <v>4182</v>
      </c>
      <c r="V753">
        <v>166</v>
      </c>
      <c r="W753">
        <v>24</v>
      </c>
      <c r="X753">
        <v>361.64</v>
      </c>
      <c r="Y753">
        <v>140.94</v>
      </c>
      <c r="Z753">
        <v>502.58</v>
      </c>
      <c r="AA753" t="s">
        <v>63</v>
      </c>
      <c r="AB753">
        <v>0</v>
      </c>
      <c r="AC753">
        <v>70.56</v>
      </c>
      <c r="AD753">
        <v>232</v>
      </c>
      <c r="AE753">
        <v>188</v>
      </c>
    </row>
    <row r="754" spans="1:31" x14ac:dyDescent="0.25">
      <c r="A754" t="s">
        <v>3665</v>
      </c>
      <c r="B754" t="s">
        <v>3666</v>
      </c>
      <c r="C754" s="1">
        <v>44633</v>
      </c>
      <c r="D754" s="1">
        <v>44265</v>
      </c>
      <c r="E754" t="s">
        <v>66</v>
      </c>
      <c r="F754" t="s">
        <v>51</v>
      </c>
      <c r="G754" t="s">
        <v>94</v>
      </c>
      <c r="H754" t="s">
        <v>164</v>
      </c>
      <c r="I754" t="s">
        <v>3667</v>
      </c>
      <c r="J754" t="s">
        <v>82</v>
      </c>
      <c r="K754" t="s">
        <v>97</v>
      </c>
      <c r="L754" t="s">
        <v>3668</v>
      </c>
      <c r="M754">
        <v>200.29</v>
      </c>
      <c r="N754">
        <v>36</v>
      </c>
      <c r="O754" t="s">
        <v>3669</v>
      </c>
      <c r="P754" t="s">
        <v>110</v>
      </c>
      <c r="Q754" t="s">
        <v>182</v>
      </c>
      <c r="R754" t="s">
        <v>153</v>
      </c>
      <c r="S754" t="s">
        <v>101</v>
      </c>
      <c r="T754" t="s">
        <v>365</v>
      </c>
      <c r="U754">
        <v>3758</v>
      </c>
      <c r="V754">
        <v>335</v>
      </c>
      <c r="W754">
        <v>29</v>
      </c>
      <c r="X754">
        <v>810.91</v>
      </c>
      <c r="Y754">
        <v>269.94</v>
      </c>
      <c r="Z754">
        <v>1080.8499999999999</v>
      </c>
      <c r="AA754" t="s">
        <v>47</v>
      </c>
      <c r="AB754">
        <v>1</v>
      </c>
      <c r="AC754">
        <v>98.38</v>
      </c>
      <c r="AD754">
        <v>321</v>
      </c>
      <c r="AE754">
        <v>292</v>
      </c>
    </row>
    <row r="755" spans="1:31" x14ac:dyDescent="0.25">
      <c r="A755" t="s">
        <v>3670</v>
      </c>
      <c r="B755" t="s">
        <v>3671</v>
      </c>
      <c r="C755" s="1">
        <v>44558</v>
      </c>
      <c r="D755" s="1">
        <v>44225</v>
      </c>
      <c r="E755" t="s">
        <v>66</v>
      </c>
      <c r="F755" t="s">
        <v>147</v>
      </c>
      <c r="G755" t="s">
        <v>52</v>
      </c>
      <c r="H755" t="s">
        <v>148</v>
      </c>
      <c r="I755" t="s">
        <v>3672</v>
      </c>
      <c r="J755" t="s">
        <v>96</v>
      </c>
      <c r="K755" t="s">
        <v>56</v>
      </c>
      <c r="L755" t="s">
        <v>3673</v>
      </c>
      <c r="M755">
        <v>120.06</v>
      </c>
      <c r="N755">
        <v>1</v>
      </c>
      <c r="O755" t="s">
        <v>3208</v>
      </c>
      <c r="P755" t="s">
        <v>42</v>
      </c>
      <c r="Q755" t="s">
        <v>371</v>
      </c>
      <c r="R755" t="s">
        <v>61</v>
      </c>
      <c r="S755" t="s">
        <v>45</v>
      </c>
      <c r="T755" t="s">
        <v>190</v>
      </c>
      <c r="U755">
        <v>231</v>
      </c>
      <c r="V755">
        <v>238</v>
      </c>
      <c r="W755">
        <v>4</v>
      </c>
      <c r="X755">
        <v>1761.25</v>
      </c>
      <c r="Y755">
        <v>484.39</v>
      </c>
      <c r="Z755">
        <v>2245.64</v>
      </c>
      <c r="AA755" t="s">
        <v>63</v>
      </c>
      <c r="AB755">
        <v>0</v>
      </c>
      <c r="AC755">
        <v>84.67</v>
      </c>
      <c r="AD755">
        <v>244</v>
      </c>
      <c r="AE755">
        <v>198</v>
      </c>
    </row>
    <row r="756" spans="1:31" x14ac:dyDescent="0.25">
      <c r="A756" t="s">
        <v>3674</v>
      </c>
      <c r="B756" t="s">
        <v>3675</v>
      </c>
      <c r="C756" s="1">
        <v>45515</v>
      </c>
      <c r="D756" s="1">
        <v>45357</v>
      </c>
      <c r="E756" t="s">
        <v>50</v>
      </c>
      <c r="F756" t="s">
        <v>78</v>
      </c>
      <c r="G756" t="s">
        <v>105</v>
      </c>
      <c r="H756" t="s">
        <v>80</v>
      </c>
      <c r="I756" t="s">
        <v>3676</v>
      </c>
      <c r="J756" t="s">
        <v>96</v>
      </c>
      <c r="K756" t="s">
        <v>39</v>
      </c>
      <c r="L756" t="s">
        <v>3677</v>
      </c>
      <c r="M756">
        <v>435.99</v>
      </c>
      <c r="N756">
        <v>14</v>
      </c>
      <c r="O756" t="s">
        <v>3678</v>
      </c>
      <c r="P756" t="s">
        <v>142</v>
      </c>
      <c r="Q756" t="s">
        <v>290</v>
      </c>
      <c r="R756" t="s">
        <v>44</v>
      </c>
      <c r="S756" t="s">
        <v>128</v>
      </c>
      <c r="T756" t="s">
        <v>161</v>
      </c>
      <c r="U756">
        <v>2081</v>
      </c>
      <c r="V756">
        <v>345</v>
      </c>
      <c r="W756">
        <v>21</v>
      </c>
      <c r="X756">
        <v>1361.09</v>
      </c>
      <c r="Y756">
        <v>484.04</v>
      </c>
      <c r="Z756">
        <v>1845.13</v>
      </c>
      <c r="AA756" t="s">
        <v>63</v>
      </c>
      <c r="AB756">
        <v>0</v>
      </c>
      <c r="AC756">
        <v>97.57</v>
      </c>
      <c r="AD756">
        <v>480</v>
      </c>
      <c r="AE756">
        <v>497</v>
      </c>
    </row>
    <row r="757" spans="1:31" x14ac:dyDescent="0.25">
      <c r="A757" t="s">
        <v>3679</v>
      </c>
      <c r="B757" t="s">
        <v>3680</v>
      </c>
      <c r="C757" s="1">
        <v>44860</v>
      </c>
      <c r="D757" s="1">
        <v>44723</v>
      </c>
      <c r="E757" t="s">
        <v>50</v>
      </c>
      <c r="F757" t="s">
        <v>34</v>
      </c>
      <c r="G757" t="s">
        <v>79</v>
      </c>
      <c r="H757" t="s">
        <v>116</v>
      </c>
      <c r="I757" t="s">
        <v>3681</v>
      </c>
      <c r="J757" t="s">
        <v>55</v>
      </c>
      <c r="K757" t="s">
        <v>70</v>
      </c>
      <c r="L757" t="s">
        <v>187</v>
      </c>
      <c r="M757">
        <v>386.09</v>
      </c>
      <c r="N757">
        <v>29</v>
      </c>
      <c r="O757" t="s">
        <v>2988</v>
      </c>
      <c r="P757" t="s">
        <v>110</v>
      </c>
      <c r="Q757" t="s">
        <v>340</v>
      </c>
      <c r="R757" t="s">
        <v>153</v>
      </c>
      <c r="S757" t="s">
        <v>74</v>
      </c>
      <c r="T757" t="s">
        <v>636</v>
      </c>
      <c r="U757">
        <v>4389</v>
      </c>
      <c r="V757">
        <v>451</v>
      </c>
      <c r="W757">
        <v>29</v>
      </c>
      <c r="X757">
        <v>1645.62</v>
      </c>
      <c r="Y757">
        <v>377.39</v>
      </c>
      <c r="Z757">
        <v>2023.01</v>
      </c>
      <c r="AA757" t="s">
        <v>47</v>
      </c>
      <c r="AB757">
        <v>8</v>
      </c>
      <c r="AC757">
        <v>88.66</v>
      </c>
      <c r="AD757">
        <v>193</v>
      </c>
      <c r="AE757">
        <v>167</v>
      </c>
    </row>
    <row r="758" spans="1:31" x14ac:dyDescent="0.25">
      <c r="A758" t="s">
        <v>3682</v>
      </c>
      <c r="B758" t="s">
        <v>3683</v>
      </c>
      <c r="C758" s="1">
        <v>44921</v>
      </c>
      <c r="D758" s="1">
        <v>44589</v>
      </c>
      <c r="E758" t="s">
        <v>66</v>
      </c>
      <c r="F758" t="s">
        <v>147</v>
      </c>
      <c r="G758" t="s">
        <v>105</v>
      </c>
      <c r="H758" t="s">
        <v>53</v>
      </c>
      <c r="I758" t="s">
        <v>3684</v>
      </c>
      <c r="J758" t="s">
        <v>82</v>
      </c>
      <c r="K758" t="s">
        <v>83</v>
      </c>
      <c r="L758" t="s">
        <v>2739</v>
      </c>
      <c r="M758">
        <v>447.45</v>
      </c>
      <c r="N758">
        <v>92</v>
      </c>
      <c r="O758" t="s">
        <v>3685</v>
      </c>
      <c r="P758" t="s">
        <v>42</v>
      </c>
      <c r="Q758" t="s">
        <v>228</v>
      </c>
      <c r="R758" t="s">
        <v>44</v>
      </c>
      <c r="S758" t="s">
        <v>45</v>
      </c>
      <c r="T758" t="s">
        <v>169</v>
      </c>
      <c r="U758">
        <v>2022</v>
      </c>
      <c r="V758">
        <v>199</v>
      </c>
      <c r="W758">
        <v>23</v>
      </c>
      <c r="X758">
        <v>525.09</v>
      </c>
      <c r="Y758">
        <v>433.98</v>
      </c>
      <c r="Z758">
        <v>959.07</v>
      </c>
      <c r="AA758" t="s">
        <v>63</v>
      </c>
      <c r="AB758">
        <v>0</v>
      </c>
      <c r="AC758">
        <v>71.09</v>
      </c>
      <c r="AD758">
        <v>52</v>
      </c>
      <c r="AE758">
        <v>55</v>
      </c>
    </row>
    <row r="759" spans="1:31" x14ac:dyDescent="0.25">
      <c r="A759" t="s">
        <v>3686</v>
      </c>
      <c r="B759" t="s">
        <v>3687</v>
      </c>
      <c r="C759" s="1">
        <v>44706</v>
      </c>
      <c r="D759" s="1">
        <v>44506</v>
      </c>
      <c r="E759" t="s">
        <v>66</v>
      </c>
      <c r="F759" t="s">
        <v>93</v>
      </c>
      <c r="G759" t="s">
        <v>337</v>
      </c>
      <c r="H759" t="s">
        <v>148</v>
      </c>
      <c r="I759" t="s">
        <v>3688</v>
      </c>
      <c r="J759" t="s">
        <v>82</v>
      </c>
      <c r="K759" t="s">
        <v>56</v>
      </c>
      <c r="L759" t="s">
        <v>3689</v>
      </c>
      <c r="M759">
        <v>220.32</v>
      </c>
      <c r="N759">
        <v>67</v>
      </c>
      <c r="O759" t="s">
        <v>1388</v>
      </c>
      <c r="P759" t="s">
        <v>42</v>
      </c>
      <c r="Q759" t="s">
        <v>127</v>
      </c>
      <c r="R759" t="s">
        <v>153</v>
      </c>
      <c r="S759" t="s">
        <v>74</v>
      </c>
      <c r="T759" t="s">
        <v>249</v>
      </c>
      <c r="U759">
        <v>457</v>
      </c>
      <c r="V759">
        <v>296</v>
      </c>
      <c r="W759">
        <v>2</v>
      </c>
      <c r="X759">
        <v>434.43</v>
      </c>
      <c r="Y759">
        <v>14.08</v>
      </c>
      <c r="Z759">
        <v>448.51</v>
      </c>
      <c r="AA759" t="s">
        <v>63</v>
      </c>
      <c r="AB759">
        <v>0</v>
      </c>
      <c r="AC759">
        <v>99.5</v>
      </c>
      <c r="AD759">
        <v>213</v>
      </c>
      <c r="AE759">
        <v>211</v>
      </c>
    </row>
    <row r="760" spans="1:31" x14ac:dyDescent="0.25">
      <c r="A760" t="s">
        <v>3690</v>
      </c>
      <c r="B760" t="s">
        <v>3691</v>
      </c>
      <c r="C760" s="1">
        <v>45377</v>
      </c>
      <c r="D760" s="1">
        <v>44993</v>
      </c>
      <c r="E760" t="s">
        <v>66</v>
      </c>
      <c r="F760" t="s">
        <v>51</v>
      </c>
      <c r="G760" t="s">
        <v>79</v>
      </c>
      <c r="H760" t="s">
        <v>80</v>
      </c>
      <c r="I760" t="s">
        <v>3692</v>
      </c>
      <c r="J760" t="s">
        <v>38</v>
      </c>
      <c r="K760" t="s">
        <v>97</v>
      </c>
      <c r="L760" t="s">
        <v>3693</v>
      </c>
      <c r="M760">
        <v>35.69</v>
      </c>
      <c r="N760">
        <v>45</v>
      </c>
      <c r="O760" t="s">
        <v>1590</v>
      </c>
      <c r="P760" t="s">
        <v>142</v>
      </c>
      <c r="Q760" t="s">
        <v>43</v>
      </c>
      <c r="R760" t="s">
        <v>153</v>
      </c>
      <c r="S760" t="s">
        <v>89</v>
      </c>
      <c r="T760" t="s">
        <v>542</v>
      </c>
      <c r="U760">
        <v>271</v>
      </c>
      <c r="V760">
        <v>343</v>
      </c>
      <c r="W760">
        <v>23</v>
      </c>
      <c r="X760">
        <v>876.65</v>
      </c>
      <c r="Y760">
        <v>186.29</v>
      </c>
      <c r="Z760">
        <v>1062.94</v>
      </c>
      <c r="AA760" t="s">
        <v>63</v>
      </c>
      <c r="AB760">
        <v>0</v>
      </c>
      <c r="AC760">
        <v>89.21</v>
      </c>
      <c r="AD760">
        <v>160</v>
      </c>
      <c r="AE760">
        <v>158</v>
      </c>
    </row>
    <row r="761" spans="1:31" x14ac:dyDescent="0.25">
      <c r="A761" t="s">
        <v>3694</v>
      </c>
      <c r="B761" t="s">
        <v>3695</v>
      </c>
      <c r="C761" s="1">
        <v>45283</v>
      </c>
      <c r="D761" s="1">
        <v>44986</v>
      </c>
      <c r="E761" t="s">
        <v>50</v>
      </c>
      <c r="F761" t="s">
        <v>51</v>
      </c>
      <c r="G761" t="s">
        <v>67</v>
      </c>
      <c r="H761" t="s">
        <v>164</v>
      </c>
      <c r="I761" t="s">
        <v>3696</v>
      </c>
      <c r="J761" t="s">
        <v>55</v>
      </c>
      <c r="K761" t="s">
        <v>56</v>
      </c>
      <c r="L761" t="s">
        <v>3697</v>
      </c>
      <c r="M761">
        <v>38.5</v>
      </c>
      <c r="N761">
        <v>28</v>
      </c>
      <c r="O761" t="s">
        <v>3698</v>
      </c>
      <c r="P761" t="s">
        <v>110</v>
      </c>
      <c r="Q761" t="s">
        <v>421</v>
      </c>
      <c r="R761" t="s">
        <v>61</v>
      </c>
      <c r="S761" t="s">
        <v>89</v>
      </c>
      <c r="T761" t="s">
        <v>939</v>
      </c>
      <c r="U761">
        <v>217</v>
      </c>
      <c r="V761">
        <v>219</v>
      </c>
      <c r="W761">
        <v>10</v>
      </c>
      <c r="X761">
        <v>426.28</v>
      </c>
      <c r="Y761">
        <v>116.32</v>
      </c>
      <c r="Z761">
        <v>542.59999999999991</v>
      </c>
      <c r="AA761" t="s">
        <v>63</v>
      </c>
      <c r="AB761">
        <v>0</v>
      </c>
      <c r="AC761">
        <v>73.83</v>
      </c>
      <c r="AD761">
        <v>79</v>
      </c>
      <c r="AE761">
        <v>90</v>
      </c>
    </row>
    <row r="762" spans="1:31" x14ac:dyDescent="0.25">
      <c r="A762" t="s">
        <v>3699</v>
      </c>
      <c r="B762" t="s">
        <v>3700</v>
      </c>
      <c r="C762" s="1">
        <v>45207</v>
      </c>
      <c r="D762" s="1">
        <v>44979</v>
      </c>
      <c r="E762" t="s">
        <v>66</v>
      </c>
      <c r="F762" t="s">
        <v>51</v>
      </c>
      <c r="G762" t="s">
        <v>35</v>
      </c>
      <c r="H762" t="s">
        <v>36</v>
      </c>
      <c r="I762" t="s">
        <v>3701</v>
      </c>
      <c r="J762" t="s">
        <v>38</v>
      </c>
      <c r="K762" t="s">
        <v>97</v>
      </c>
      <c r="L762" t="s">
        <v>1172</v>
      </c>
      <c r="M762">
        <v>325.98</v>
      </c>
      <c r="N762">
        <v>37</v>
      </c>
      <c r="O762" t="s">
        <v>3702</v>
      </c>
      <c r="P762" t="s">
        <v>86</v>
      </c>
      <c r="Q762" t="s">
        <v>228</v>
      </c>
      <c r="R762" t="s">
        <v>61</v>
      </c>
      <c r="S762" t="s">
        <v>45</v>
      </c>
      <c r="T762" t="s">
        <v>90</v>
      </c>
      <c r="U762">
        <v>2856</v>
      </c>
      <c r="V762">
        <v>408</v>
      </c>
      <c r="W762">
        <v>29</v>
      </c>
      <c r="X762">
        <v>1998.97</v>
      </c>
      <c r="Y762">
        <v>135.30000000000001</v>
      </c>
      <c r="Z762">
        <v>2134.27</v>
      </c>
      <c r="AA762" t="s">
        <v>63</v>
      </c>
      <c r="AB762">
        <v>0</v>
      </c>
      <c r="AC762">
        <v>86.1</v>
      </c>
      <c r="AD762">
        <v>144</v>
      </c>
      <c r="AE762">
        <v>149</v>
      </c>
    </row>
    <row r="763" spans="1:31" x14ac:dyDescent="0.25">
      <c r="A763" t="s">
        <v>3703</v>
      </c>
      <c r="B763" t="s">
        <v>3704</v>
      </c>
      <c r="C763" s="1">
        <v>43992</v>
      </c>
      <c r="D763" s="1">
        <v>44103</v>
      </c>
      <c r="E763" t="s">
        <v>66</v>
      </c>
      <c r="F763" t="s">
        <v>93</v>
      </c>
      <c r="G763" t="s">
        <v>79</v>
      </c>
      <c r="H763" t="s">
        <v>68</v>
      </c>
      <c r="I763" t="s">
        <v>3705</v>
      </c>
      <c r="J763" t="s">
        <v>107</v>
      </c>
      <c r="K763" t="s">
        <v>70</v>
      </c>
      <c r="L763" t="s">
        <v>3706</v>
      </c>
      <c r="M763">
        <v>35.46</v>
      </c>
      <c r="N763">
        <v>70</v>
      </c>
      <c r="O763" t="s">
        <v>2051</v>
      </c>
      <c r="P763" t="s">
        <v>86</v>
      </c>
      <c r="Q763" t="s">
        <v>168</v>
      </c>
      <c r="R763" t="s">
        <v>44</v>
      </c>
      <c r="S763" t="s">
        <v>45</v>
      </c>
      <c r="T763" t="s">
        <v>1194</v>
      </c>
      <c r="U763">
        <v>3075</v>
      </c>
      <c r="V763">
        <v>251</v>
      </c>
      <c r="W763">
        <v>9</v>
      </c>
      <c r="X763">
        <v>1401.76</v>
      </c>
      <c r="Y763">
        <v>149.66999999999999</v>
      </c>
      <c r="Z763">
        <v>1551.43</v>
      </c>
      <c r="AA763" t="s">
        <v>63</v>
      </c>
      <c r="AB763">
        <v>0</v>
      </c>
      <c r="AC763">
        <v>94.7</v>
      </c>
      <c r="AD763">
        <v>497</v>
      </c>
      <c r="AE763">
        <v>478</v>
      </c>
    </row>
    <row r="764" spans="1:31" x14ac:dyDescent="0.25">
      <c r="A764" t="s">
        <v>3707</v>
      </c>
      <c r="B764" t="s">
        <v>3708</v>
      </c>
      <c r="C764" s="1">
        <v>44565</v>
      </c>
      <c r="D764" s="1">
        <v>45476</v>
      </c>
      <c r="E764" t="s">
        <v>66</v>
      </c>
      <c r="F764" t="s">
        <v>147</v>
      </c>
      <c r="G764" t="s">
        <v>115</v>
      </c>
      <c r="H764" t="s">
        <v>53</v>
      </c>
      <c r="I764" t="s">
        <v>3709</v>
      </c>
      <c r="J764" t="s">
        <v>55</v>
      </c>
      <c r="K764" t="s">
        <v>39</v>
      </c>
      <c r="L764" t="s">
        <v>3710</v>
      </c>
      <c r="M764">
        <v>179.02</v>
      </c>
      <c r="N764">
        <v>79</v>
      </c>
      <c r="O764" t="s">
        <v>3711</v>
      </c>
      <c r="P764" t="s">
        <v>42</v>
      </c>
      <c r="Q764" t="s">
        <v>160</v>
      </c>
      <c r="R764" t="s">
        <v>88</v>
      </c>
      <c r="S764" t="s">
        <v>89</v>
      </c>
      <c r="T764" t="s">
        <v>90</v>
      </c>
      <c r="U764">
        <v>1114</v>
      </c>
      <c r="V764">
        <v>483</v>
      </c>
      <c r="W764">
        <v>18</v>
      </c>
      <c r="X764">
        <v>1582.49</v>
      </c>
      <c r="Y764">
        <v>319.60000000000002</v>
      </c>
      <c r="Z764">
        <v>1902.09</v>
      </c>
      <c r="AA764" t="s">
        <v>63</v>
      </c>
      <c r="AB764">
        <v>0</v>
      </c>
      <c r="AC764">
        <v>87.52</v>
      </c>
      <c r="AD764">
        <v>421</v>
      </c>
      <c r="AE764">
        <v>438</v>
      </c>
    </row>
    <row r="765" spans="1:31" x14ac:dyDescent="0.25">
      <c r="A765" t="s">
        <v>3712</v>
      </c>
      <c r="B765" t="s">
        <v>3713</v>
      </c>
      <c r="C765" s="1">
        <v>45042</v>
      </c>
      <c r="D765" s="1">
        <v>44471</v>
      </c>
      <c r="E765" t="s">
        <v>66</v>
      </c>
      <c r="F765" t="s">
        <v>34</v>
      </c>
      <c r="G765" t="s">
        <v>67</v>
      </c>
      <c r="H765" t="s">
        <v>53</v>
      </c>
      <c r="I765" t="s">
        <v>3714</v>
      </c>
      <c r="J765" t="s">
        <v>55</v>
      </c>
      <c r="K765" t="s">
        <v>39</v>
      </c>
      <c r="L765" t="s">
        <v>3715</v>
      </c>
      <c r="M765">
        <v>374.12</v>
      </c>
      <c r="N765">
        <v>7</v>
      </c>
      <c r="O765" t="s">
        <v>911</v>
      </c>
      <c r="P765" t="s">
        <v>42</v>
      </c>
      <c r="Q765" t="s">
        <v>455</v>
      </c>
      <c r="R765" t="s">
        <v>88</v>
      </c>
      <c r="S765" t="s">
        <v>45</v>
      </c>
      <c r="T765" t="s">
        <v>183</v>
      </c>
      <c r="U765">
        <v>442</v>
      </c>
      <c r="V765">
        <v>330</v>
      </c>
      <c r="W765">
        <v>18</v>
      </c>
      <c r="X765">
        <v>237.65</v>
      </c>
      <c r="Y765">
        <v>431.92</v>
      </c>
      <c r="Z765">
        <v>669.57</v>
      </c>
      <c r="AA765" t="s">
        <v>63</v>
      </c>
      <c r="AB765">
        <v>0</v>
      </c>
      <c r="AC765">
        <v>70.61</v>
      </c>
      <c r="AD765">
        <v>170</v>
      </c>
      <c r="AE765">
        <v>157</v>
      </c>
    </row>
    <row r="766" spans="1:31" x14ac:dyDescent="0.25">
      <c r="A766" t="s">
        <v>3716</v>
      </c>
      <c r="B766" t="s">
        <v>2513</v>
      </c>
      <c r="C766" s="1">
        <v>44396</v>
      </c>
      <c r="D766" s="1">
        <v>45075</v>
      </c>
      <c r="E766" t="s">
        <v>66</v>
      </c>
      <c r="F766" t="s">
        <v>93</v>
      </c>
      <c r="G766" t="s">
        <v>337</v>
      </c>
      <c r="H766" t="s">
        <v>148</v>
      </c>
      <c r="I766" t="s">
        <v>3717</v>
      </c>
      <c r="J766" t="s">
        <v>38</v>
      </c>
      <c r="K766" t="s">
        <v>56</v>
      </c>
      <c r="L766" t="s">
        <v>3718</v>
      </c>
      <c r="M766">
        <v>479.41</v>
      </c>
      <c r="N766">
        <v>50</v>
      </c>
      <c r="O766" t="s">
        <v>3719</v>
      </c>
      <c r="P766" t="s">
        <v>86</v>
      </c>
      <c r="Q766" t="s">
        <v>189</v>
      </c>
      <c r="R766" t="s">
        <v>61</v>
      </c>
      <c r="S766" t="s">
        <v>74</v>
      </c>
      <c r="T766" t="s">
        <v>1023</v>
      </c>
      <c r="U766">
        <v>2164</v>
      </c>
      <c r="V766">
        <v>140</v>
      </c>
      <c r="W766">
        <v>7</v>
      </c>
      <c r="X766">
        <v>1064.1600000000001</v>
      </c>
      <c r="Y766">
        <v>269.77</v>
      </c>
      <c r="Z766">
        <v>1333.93</v>
      </c>
      <c r="AA766" t="s">
        <v>63</v>
      </c>
      <c r="AB766">
        <v>0</v>
      </c>
      <c r="AC766">
        <v>81.569999999999993</v>
      </c>
      <c r="AD766">
        <v>363</v>
      </c>
      <c r="AE766">
        <v>363</v>
      </c>
    </row>
    <row r="767" spans="1:31" x14ac:dyDescent="0.25">
      <c r="A767" t="s">
        <v>3720</v>
      </c>
      <c r="B767" t="s">
        <v>3721</v>
      </c>
      <c r="C767" s="1">
        <v>44800</v>
      </c>
      <c r="D767" s="1">
        <v>44127</v>
      </c>
      <c r="E767" t="s">
        <v>66</v>
      </c>
      <c r="F767" t="s">
        <v>34</v>
      </c>
      <c r="G767" t="s">
        <v>67</v>
      </c>
      <c r="H767" t="s">
        <v>148</v>
      </c>
      <c r="I767" t="s">
        <v>3722</v>
      </c>
      <c r="J767" t="s">
        <v>38</v>
      </c>
      <c r="K767" t="s">
        <v>39</v>
      </c>
      <c r="L767" t="s">
        <v>3723</v>
      </c>
      <c r="M767">
        <v>414.13</v>
      </c>
      <c r="N767">
        <v>6</v>
      </c>
      <c r="O767" t="s">
        <v>3724</v>
      </c>
      <c r="P767" t="s">
        <v>86</v>
      </c>
      <c r="Q767" t="s">
        <v>428</v>
      </c>
      <c r="R767" t="s">
        <v>44</v>
      </c>
      <c r="S767" t="s">
        <v>89</v>
      </c>
      <c r="T767" t="s">
        <v>129</v>
      </c>
      <c r="U767">
        <v>1650</v>
      </c>
      <c r="V767">
        <v>457</v>
      </c>
      <c r="W767">
        <v>14</v>
      </c>
      <c r="X767">
        <v>142.9</v>
      </c>
      <c r="Y767">
        <v>165.67</v>
      </c>
      <c r="Z767">
        <v>308.57</v>
      </c>
      <c r="AA767" t="s">
        <v>63</v>
      </c>
      <c r="AB767">
        <v>0</v>
      </c>
      <c r="AC767">
        <v>73.95</v>
      </c>
      <c r="AD767">
        <v>411</v>
      </c>
      <c r="AE767">
        <v>391</v>
      </c>
    </row>
    <row r="768" spans="1:31" x14ac:dyDescent="0.25">
      <c r="A768" t="s">
        <v>3725</v>
      </c>
      <c r="B768" t="s">
        <v>2207</v>
      </c>
      <c r="C768" s="1">
        <v>45281</v>
      </c>
      <c r="D768" s="1">
        <v>44386</v>
      </c>
      <c r="E768" t="s">
        <v>66</v>
      </c>
      <c r="F768" t="s">
        <v>93</v>
      </c>
      <c r="G768" t="s">
        <v>105</v>
      </c>
      <c r="H768" t="s">
        <v>148</v>
      </c>
      <c r="I768" t="s">
        <v>3726</v>
      </c>
      <c r="J768" t="s">
        <v>55</v>
      </c>
      <c r="K768" t="s">
        <v>56</v>
      </c>
      <c r="L768" t="s">
        <v>3727</v>
      </c>
      <c r="M768">
        <v>219.07</v>
      </c>
      <c r="N768">
        <v>10</v>
      </c>
      <c r="O768" t="s">
        <v>3728</v>
      </c>
      <c r="P768" t="s">
        <v>59</v>
      </c>
      <c r="Q768" t="s">
        <v>455</v>
      </c>
      <c r="R768" t="s">
        <v>153</v>
      </c>
      <c r="S768" t="s">
        <v>45</v>
      </c>
      <c r="T768" t="s">
        <v>90</v>
      </c>
      <c r="U768">
        <v>698</v>
      </c>
      <c r="V768">
        <v>355</v>
      </c>
      <c r="W768">
        <v>16</v>
      </c>
      <c r="X768">
        <v>1060.48</v>
      </c>
      <c r="Y768">
        <v>280.38</v>
      </c>
      <c r="Z768">
        <v>1340.86</v>
      </c>
      <c r="AA768" t="s">
        <v>47</v>
      </c>
      <c r="AB768">
        <v>5</v>
      </c>
      <c r="AC768">
        <v>83.26</v>
      </c>
      <c r="AD768">
        <v>365</v>
      </c>
      <c r="AE768">
        <v>329</v>
      </c>
    </row>
    <row r="769" spans="1:31" x14ac:dyDescent="0.25">
      <c r="A769" t="s">
        <v>3729</v>
      </c>
      <c r="B769" t="s">
        <v>3730</v>
      </c>
      <c r="C769" s="1">
        <v>45588</v>
      </c>
      <c r="D769" s="1">
        <v>45406</v>
      </c>
      <c r="E769" t="s">
        <v>33</v>
      </c>
      <c r="F769" t="s">
        <v>93</v>
      </c>
      <c r="G769" t="s">
        <v>105</v>
      </c>
      <c r="H769" t="s">
        <v>68</v>
      </c>
      <c r="I769" t="s">
        <v>3731</v>
      </c>
      <c r="J769" t="s">
        <v>82</v>
      </c>
      <c r="K769" t="s">
        <v>97</v>
      </c>
      <c r="L769" t="s">
        <v>3732</v>
      </c>
      <c r="M769">
        <v>118.62</v>
      </c>
      <c r="N769">
        <v>88</v>
      </c>
      <c r="O769" t="s">
        <v>1761</v>
      </c>
      <c r="P769" t="s">
        <v>142</v>
      </c>
      <c r="Q769" t="s">
        <v>234</v>
      </c>
      <c r="R769" t="s">
        <v>153</v>
      </c>
      <c r="S769" t="s">
        <v>45</v>
      </c>
      <c r="T769" t="s">
        <v>673</v>
      </c>
      <c r="U769">
        <v>2414</v>
      </c>
      <c r="V769">
        <v>479</v>
      </c>
      <c r="W769">
        <v>1</v>
      </c>
      <c r="X769">
        <v>790.7</v>
      </c>
      <c r="Y769">
        <v>345.76</v>
      </c>
      <c r="Z769">
        <v>1136.46</v>
      </c>
      <c r="AA769" t="s">
        <v>63</v>
      </c>
      <c r="AB769">
        <v>0</v>
      </c>
      <c r="AC769">
        <v>86.81</v>
      </c>
      <c r="AD769">
        <v>238</v>
      </c>
      <c r="AE769">
        <v>217</v>
      </c>
    </row>
    <row r="770" spans="1:31" x14ac:dyDescent="0.25">
      <c r="A770" t="s">
        <v>3733</v>
      </c>
      <c r="B770" t="s">
        <v>3734</v>
      </c>
      <c r="C770" s="1">
        <v>44818</v>
      </c>
      <c r="D770" s="1">
        <v>44977</v>
      </c>
      <c r="E770" t="s">
        <v>66</v>
      </c>
      <c r="F770" t="s">
        <v>147</v>
      </c>
      <c r="G770" t="s">
        <v>52</v>
      </c>
      <c r="H770" t="s">
        <v>80</v>
      </c>
      <c r="I770" t="s">
        <v>3735</v>
      </c>
      <c r="J770" t="s">
        <v>55</v>
      </c>
      <c r="K770" t="s">
        <v>56</v>
      </c>
      <c r="L770" t="s">
        <v>3736</v>
      </c>
      <c r="M770">
        <v>299.63</v>
      </c>
      <c r="N770">
        <v>26</v>
      </c>
      <c r="O770" t="s">
        <v>1266</v>
      </c>
      <c r="P770" t="s">
        <v>59</v>
      </c>
      <c r="Q770" t="s">
        <v>315</v>
      </c>
      <c r="R770" t="s">
        <v>61</v>
      </c>
      <c r="S770" t="s">
        <v>45</v>
      </c>
      <c r="T770" t="s">
        <v>652</v>
      </c>
      <c r="U770">
        <v>368</v>
      </c>
      <c r="V770">
        <v>427</v>
      </c>
      <c r="W770">
        <v>1</v>
      </c>
      <c r="X770">
        <v>1714.32</v>
      </c>
      <c r="Y770">
        <v>355.99</v>
      </c>
      <c r="Z770">
        <v>2070.31</v>
      </c>
      <c r="AA770" t="s">
        <v>63</v>
      </c>
      <c r="AB770">
        <v>0</v>
      </c>
      <c r="AC770">
        <v>75.260000000000005</v>
      </c>
      <c r="AD770">
        <v>159</v>
      </c>
      <c r="AE770">
        <v>191</v>
      </c>
    </row>
    <row r="771" spans="1:31" x14ac:dyDescent="0.25">
      <c r="A771" t="s">
        <v>3737</v>
      </c>
      <c r="B771" t="s">
        <v>3738</v>
      </c>
      <c r="C771" s="1">
        <v>43972</v>
      </c>
      <c r="D771" s="1">
        <v>43875</v>
      </c>
      <c r="E771" t="s">
        <v>33</v>
      </c>
      <c r="F771" t="s">
        <v>78</v>
      </c>
      <c r="G771" t="s">
        <v>94</v>
      </c>
      <c r="H771" t="s">
        <v>148</v>
      </c>
      <c r="I771" t="s">
        <v>3739</v>
      </c>
      <c r="J771" t="s">
        <v>82</v>
      </c>
      <c r="K771" t="s">
        <v>70</v>
      </c>
      <c r="L771" t="s">
        <v>3740</v>
      </c>
      <c r="M771">
        <v>325.52999999999997</v>
      </c>
      <c r="N771">
        <v>57</v>
      </c>
      <c r="O771" t="s">
        <v>1928</v>
      </c>
      <c r="P771" t="s">
        <v>42</v>
      </c>
      <c r="Q771" t="s">
        <v>175</v>
      </c>
      <c r="R771" t="s">
        <v>153</v>
      </c>
      <c r="S771" t="s">
        <v>45</v>
      </c>
      <c r="T771" t="s">
        <v>1194</v>
      </c>
      <c r="U771">
        <v>3091</v>
      </c>
      <c r="V771">
        <v>171</v>
      </c>
      <c r="W771">
        <v>25</v>
      </c>
      <c r="X771">
        <v>1530.3</v>
      </c>
      <c r="Y771">
        <v>430.9</v>
      </c>
      <c r="Z771">
        <v>1961.2</v>
      </c>
      <c r="AA771" t="s">
        <v>47</v>
      </c>
      <c r="AB771">
        <v>12</v>
      </c>
      <c r="AC771">
        <v>93.64</v>
      </c>
      <c r="AD771">
        <v>162</v>
      </c>
      <c r="AE771">
        <v>190</v>
      </c>
    </row>
    <row r="772" spans="1:31" x14ac:dyDescent="0.25">
      <c r="A772" t="s">
        <v>3741</v>
      </c>
      <c r="B772" t="s">
        <v>3742</v>
      </c>
      <c r="C772" s="1">
        <v>44648</v>
      </c>
      <c r="D772" s="1">
        <v>44147</v>
      </c>
      <c r="E772" t="s">
        <v>50</v>
      </c>
      <c r="F772" t="s">
        <v>93</v>
      </c>
      <c r="G772" t="s">
        <v>79</v>
      </c>
      <c r="H772" t="s">
        <v>80</v>
      </c>
      <c r="I772" t="s">
        <v>3743</v>
      </c>
      <c r="J772" t="s">
        <v>38</v>
      </c>
      <c r="K772" t="s">
        <v>97</v>
      </c>
      <c r="L772" t="s">
        <v>3744</v>
      </c>
      <c r="M772">
        <v>384</v>
      </c>
      <c r="N772">
        <v>12</v>
      </c>
      <c r="O772" t="s">
        <v>1441</v>
      </c>
      <c r="P772" t="s">
        <v>142</v>
      </c>
      <c r="Q772" t="s">
        <v>684</v>
      </c>
      <c r="R772" t="s">
        <v>88</v>
      </c>
      <c r="S772" t="s">
        <v>89</v>
      </c>
      <c r="T772" t="s">
        <v>405</v>
      </c>
      <c r="U772">
        <v>4591</v>
      </c>
      <c r="V772">
        <v>144</v>
      </c>
      <c r="W772">
        <v>28</v>
      </c>
      <c r="X772">
        <v>653.53</v>
      </c>
      <c r="Y772">
        <v>446.68</v>
      </c>
      <c r="Z772">
        <v>1100.21</v>
      </c>
      <c r="AA772" t="s">
        <v>47</v>
      </c>
      <c r="AB772">
        <v>12</v>
      </c>
      <c r="AC772">
        <v>81.23</v>
      </c>
      <c r="AD772">
        <v>305</v>
      </c>
      <c r="AE772">
        <v>319</v>
      </c>
    </row>
    <row r="773" spans="1:31" x14ac:dyDescent="0.25">
      <c r="A773" t="s">
        <v>3745</v>
      </c>
      <c r="B773" t="s">
        <v>3746</v>
      </c>
      <c r="C773" s="1">
        <v>44805</v>
      </c>
      <c r="D773" s="1">
        <v>44262</v>
      </c>
      <c r="E773" t="s">
        <v>66</v>
      </c>
      <c r="F773" t="s">
        <v>93</v>
      </c>
      <c r="G773" t="s">
        <v>105</v>
      </c>
      <c r="H773" t="s">
        <v>164</v>
      </c>
      <c r="I773" t="s">
        <v>3747</v>
      </c>
      <c r="J773" t="s">
        <v>96</v>
      </c>
      <c r="K773" t="s">
        <v>97</v>
      </c>
      <c r="L773" t="s">
        <v>3650</v>
      </c>
      <c r="M773">
        <v>497.26</v>
      </c>
      <c r="N773">
        <v>9</v>
      </c>
      <c r="O773" t="s">
        <v>3748</v>
      </c>
      <c r="P773" t="s">
        <v>110</v>
      </c>
      <c r="Q773" t="s">
        <v>168</v>
      </c>
      <c r="R773" t="s">
        <v>153</v>
      </c>
      <c r="S773" t="s">
        <v>101</v>
      </c>
      <c r="T773" t="s">
        <v>444</v>
      </c>
      <c r="U773">
        <v>3995</v>
      </c>
      <c r="V773">
        <v>125</v>
      </c>
      <c r="W773">
        <v>1</v>
      </c>
      <c r="X773">
        <v>1920.91</v>
      </c>
      <c r="Y773">
        <v>143.01</v>
      </c>
      <c r="Z773">
        <v>2063.92</v>
      </c>
      <c r="AA773" t="s">
        <v>63</v>
      </c>
      <c r="AB773">
        <v>0</v>
      </c>
      <c r="AC773">
        <v>92.53</v>
      </c>
      <c r="AD773">
        <v>110</v>
      </c>
      <c r="AE773">
        <v>86</v>
      </c>
    </row>
    <row r="774" spans="1:31" x14ac:dyDescent="0.25">
      <c r="A774" t="s">
        <v>3749</v>
      </c>
      <c r="B774" t="s">
        <v>3750</v>
      </c>
      <c r="C774" s="1">
        <v>43847</v>
      </c>
      <c r="D774" s="1">
        <v>44822</v>
      </c>
      <c r="E774" t="s">
        <v>66</v>
      </c>
      <c r="F774" t="s">
        <v>78</v>
      </c>
      <c r="G774" t="s">
        <v>67</v>
      </c>
      <c r="H774" t="s">
        <v>36</v>
      </c>
      <c r="I774" t="s">
        <v>3751</v>
      </c>
      <c r="J774" t="s">
        <v>38</v>
      </c>
      <c r="K774" t="s">
        <v>39</v>
      </c>
      <c r="L774" t="s">
        <v>3752</v>
      </c>
      <c r="M774">
        <v>180.25</v>
      </c>
      <c r="N774">
        <v>68</v>
      </c>
      <c r="O774" t="s">
        <v>3724</v>
      </c>
      <c r="P774" t="s">
        <v>110</v>
      </c>
      <c r="Q774" t="s">
        <v>315</v>
      </c>
      <c r="R774" t="s">
        <v>44</v>
      </c>
      <c r="S774" t="s">
        <v>101</v>
      </c>
      <c r="T774" t="s">
        <v>161</v>
      </c>
      <c r="U774">
        <v>2721</v>
      </c>
      <c r="V774">
        <v>349</v>
      </c>
      <c r="W774">
        <v>22</v>
      </c>
      <c r="X774">
        <v>1633.8</v>
      </c>
      <c r="Y774">
        <v>280.23</v>
      </c>
      <c r="Z774">
        <v>1914.03</v>
      </c>
      <c r="AA774" t="s">
        <v>63</v>
      </c>
      <c r="AB774">
        <v>0</v>
      </c>
      <c r="AC774">
        <v>98.82</v>
      </c>
      <c r="AD774">
        <v>124</v>
      </c>
      <c r="AE774">
        <v>91</v>
      </c>
    </row>
    <row r="775" spans="1:31" x14ac:dyDescent="0.25">
      <c r="A775" t="s">
        <v>3753</v>
      </c>
      <c r="B775" t="s">
        <v>3754</v>
      </c>
      <c r="C775" s="1">
        <v>44993</v>
      </c>
      <c r="D775" s="1">
        <v>45032</v>
      </c>
      <c r="E775" t="s">
        <v>66</v>
      </c>
      <c r="F775" t="s">
        <v>78</v>
      </c>
      <c r="G775" t="s">
        <v>35</v>
      </c>
      <c r="H775" t="s">
        <v>53</v>
      </c>
      <c r="I775" t="s">
        <v>3755</v>
      </c>
      <c r="J775" t="s">
        <v>96</v>
      </c>
      <c r="K775" t="s">
        <v>39</v>
      </c>
      <c r="L775" t="s">
        <v>3472</v>
      </c>
      <c r="M775">
        <v>12.72</v>
      </c>
      <c r="N775">
        <v>61</v>
      </c>
      <c r="O775" t="s">
        <v>3756</v>
      </c>
      <c r="P775" t="s">
        <v>59</v>
      </c>
      <c r="Q775" t="s">
        <v>73</v>
      </c>
      <c r="R775" t="s">
        <v>88</v>
      </c>
      <c r="S775" t="s">
        <v>101</v>
      </c>
      <c r="T775" t="s">
        <v>1023</v>
      </c>
      <c r="U775">
        <v>2182</v>
      </c>
      <c r="V775">
        <v>121</v>
      </c>
      <c r="W775">
        <v>22</v>
      </c>
      <c r="X775">
        <v>1837.49</v>
      </c>
      <c r="Y775">
        <v>307.20999999999998</v>
      </c>
      <c r="Z775">
        <v>2144.6999999999998</v>
      </c>
      <c r="AA775" t="s">
        <v>63</v>
      </c>
      <c r="AB775">
        <v>0</v>
      </c>
      <c r="AC775">
        <v>89.68</v>
      </c>
      <c r="AD775">
        <v>165</v>
      </c>
      <c r="AE775">
        <v>158</v>
      </c>
    </row>
    <row r="776" spans="1:31" x14ac:dyDescent="0.25">
      <c r="A776" t="s">
        <v>3757</v>
      </c>
      <c r="B776" t="s">
        <v>3758</v>
      </c>
      <c r="C776" s="1">
        <v>45087</v>
      </c>
      <c r="D776" s="1">
        <v>45265</v>
      </c>
      <c r="E776" t="s">
        <v>66</v>
      </c>
      <c r="F776" t="s">
        <v>147</v>
      </c>
      <c r="G776" t="s">
        <v>79</v>
      </c>
      <c r="H776" t="s">
        <v>148</v>
      </c>
      <c r="I776" t="s">
        <v>3759</v>
      </c>
      <c r="J776" t="s">
        <v>96</v>
      </c>
      <c r="K776" t="s">
        <v>97</v>
      </c>
      <c r="L776" t="s">
        <v>3760</v>
      </c>
      <c r="M776">
        <v>10.78</v>
      </c>
      <c r="N776">
        <v>28</v>
      </c>
      <c r="O776" t="s">
        <v>3761</v>
      </c>
      <c r="P776" t="s">
        <v>42</v>
      </c>
      <c r="Q776" t="s">
        <v>347</v>
      </c>
      <c r="R776" t="s">
        <v>44</v>
      </c>
      <c r="S776" t="s">
        <v>74</v>
      </c>
      <c r="T776" t="s">
        <v>1339</v>
      </c>
      <c r="U776">
        <v>3651</v>
      </c>
      <c r="V776">
        <v>447</v>
      </c>
      <c r="W776">
        <v>21</v>
      </c>
      <c r="X776">
        <v>344.9</v>
      </c>
      <c r="Y776">
        <v>106.86</v>
      </c>
      <c r="Z776">
        <v>451.76</v>
      </c>
      <c r="AA776" t="s">
        <v>63</v>
      </c>
      <c r="AB776">
        <v>0</v>
      </c>
      <c r="AC776">
        <v>84</v>
      </c>
      <c r="AD776">
        <v>247</v>
      </c>
      <c r="AE776">
        <v>288</v>
      </c>
    </row>
    <row r="777" spans="1:31" x14ac:dyDescent="0.25">
      <c r="A777" t="s">
        <v>3762</v>
      </c>
      <c r="B777" t="s">
        <v>3763</v>
      </c>
      <c r="C777" s="1">
        <v>44965</v>
      </c>
      <c r="D777" s="1">
        <v>44388</v>
      </c>
      <c r="E777" t="s">
        <v>66</v>
      </c>
      <c r="F777" t="s">
        <v>34</v>
      </c>
      <c r="G777" t="s">
        <v>94</v>
      </c>
      <c r="H777" t="s">
        <v>148</v>
      </c>
      <c r="I777" t="s">
        <v>3764</v>
      </c>
      <c r="J777" t="s">
        <v>107</v>
      </c>
      <c r="K777" t="s">
        <v>56</v>
      </c>
      <c r="L777" t="s">
        <v>3765</v>
      </c>
      <c r="M777">
        <v>64.150000000000006</v>
      </c>
      <c r="N777">
        <v>53</v>
      </c>
      <c r="O777" t="s">
        <v>3766</v>
      </c>
      <c r="P777" t="s">
        <v>42</v>
      </c>
      <c r="Q777" t="s">
        <v>261</v>
      </c>
      <c r="R777" t="s">
        <v>153</v>
      </c>
      <c r="S777" t="s">
        <v>128</v>
      </c>
      <c r="T777" t="s">
        <v>405</v>
      </c>
      <c r="U777">
        <v>3264</v>
      </c>
      <c r="V777">
        <v>383</v>
      </c>
      <c r="W777">
        <v>2</v>
      </c>
      <c r="X777">
        <v>1021.61</v>
      </c>
      <c r="Y777">
        <v>126.53</v>
      </c>
      <c r="Z777">
        <v>1148.1400000000001</v>
      </c>
      <c r="AA777" t="s">
        <v>47</v>
      </c>
      <c r="AB777">
        <v>14</v>
      </c>
      <c r="AC777">
        <v>73.41</v>
      </c>
      <c r="AD777">
        <v>481</v>
      </c>
      <c r="AE777">
        <v>486</v>
      </c>
    </row>
    <row r="778" spans="1:31" x14ac:dyDescent="0.25">
      <c r="A778" t="s">
        <v>3767</v>
      </c>
      <c r="B778" t="s">
        <v>3768</v>
      </c>
      <c r="C778" s="1">
        <v>45561</v>
      </c>
      <c r="D778" s="1">
        <v>44941</v>
      </c>
      <c r="E778" t="s">
        <v>66</v>
      </c>
      <c r="F778" t="s">
        <v>51</v>
      </c>
      <c r="G778" t="s">
        <v>52</v>
      </c>
      <c r="H778" t="s">
        <v>53</v>
      </c>
      <c r="I778" t="s">
        <v>3769</v>
      </c>
      <c r="J778" t="s">
        <v>55</v>
      </c>
      <c r="K778" t="s">
        <v>56</v>
      </c>
      <c r="L778" t="s">
        <v>3770</v>
      </c>
      <c r="M778">
        <v>232.6</v>
      </c>
      <c r="N778">
        <v>95</v>
      </c>
      <c r="O778" t="s">
        <v>3771</v>
      </c>
      <c r="P778" t="s">
        <v>142</v>
      </c>
      <c r="Q778" t="s">
        <v>383</v>
      </c>
      <c r="R778" t="s">
        <v>61</v>
      </c>
      <c r="S778" t="s">
        <v>74</v>
      </c>
      <c r="T778" t="s">
        <v>542</v>
      </c>
      <c r="U778">
        <v>2453</v>
      </c>
      <c r="V778">
        <v>262</v>
      </c>
      <c r="W778">
        <v>13</v>
      </c>
      <c r="X778">
        <v>1984.6</v>
      </c>
      <c r="Y778">
        <v>74.67</v>
      </c>
      <c r="Z778">
        <v>2059.27</v>
      </c>
      <c r="AA778" t="s">
        <v>63</v>
      </c>
      <c r="AB778">
        <v>0</v>
      </c>
      <c r="AC778">
        <v>75.099999999999994</v>
      </c>
      <c r="AD778">
        <v>465</v>
      </c>
      <c r="AE778">
        <v>434</v>
      </c>
    </row>
    <row r="779" spans="1:31" x14ac:dyDescent="0.25">
      <c r="A779" t="s">
        <v>3772</v>
      </c>
      <c r="B779" t="s">
        <v>3773</v>
      </c>
      <c r="C779" s="1">
        <v>44892</v>
      </c>
      <c r="D779" s="1">
        <v>44601</v>
      </c>
      <c r="E779" t="s">
        <v>50</v>
      </c>
      <c r="F779" t="s">
        <v>78</v>
      </c>
      <c r="G779" t="s">
        <v>337</v>
      </c>
      <c r="H779" t="s">
        <v>68</v>
      </c>
      <c r="I779" t="s">
        <v>3774</v>
      </c>
      <c r="J779" t="s">
        <v>55</v>
      </c>
      <c r="K779" t="s">
        <v>56</v>
      </c>
      <c r="L779" t="s">
        <v>3775</v>
      </c>
      <c r="M779">
        <v>58.47</v>
      </c>
      <c r="N779">
        <v>24</v>
      </c>
      <c r="O779" t="s">
        <v>1087</v>
      </c>
      <c r="P779" t="s">
        <v>86</v>
      </c>
      <c r="Q779" t="s">
        <v>315</v>
      </c>
      <c r="R779" t="s">
        <v>44</v>
      </c>
      <c r="S779" t="s">
        <v>74</v>
      </c>
      <c r="T779" t="s">
        <v>1023</v>
      </c>
      <c r="U779">
        <v>2763</v>
      </c>
      <c r="V779">
        <v>66</v>
      </c>
      <c r="W779">
        <v>9</v>
      </c>
      <c r="X779">
        <v>1234.31</v>
      </c>
      <c r="Y779">
        <v>93.47</v>
      </c>
      <c r="Z779">
        <v>1327.78</v>
      </c>
      <c r="AA779" t="s">
        <v>63</v>
      </c>
      <c r="AB779">
        <v>0</v>
      </c>
      <c r="AC779">
        <v>99.38</v>
      </c>
      <c r="AD779">
        <v>485</v>
      </c>
      <c r="AE779">
        <v>503</v>
      </c>
    </row>
    <row r="780" spans="1:31" x14ac:dyDescent="0.25">
      <c r="A780" t="s">
        <v>3776</v>
      </c>
      <c r="B780" t="s">
        <v>3777</v>
      </c>
      <c r="C780" s="1">
        <v>45339</v>
      </c>
      <c r="D780" s="1">
        <v>43996</v>
      </c>
      <c r="E780" t="s">
        <v>50</v>
      </c>
      <c r="F780" t="s">
        <v>78</v>
      </c>
      <c r="G780" t="s">
        <v>105</v>
      </c>
      <c r="H780" t="s">
        <v>36</v>
      </c>
      <c r="I780" t="s">
        <v>3778</v>
      </c>
      <c r="J780" t="s">
        <v>82</v>
      </c>
      <c r="K780" t="s">
        <v>97</v>
      </c>
      <c r="L780" t="s">
        <v>3779</v>
      </c>
      <c r="M780">
        <v>95.78</v>
      </c>
      <c r="N780">
        <v>24</v>
      </c>
      <c r="O780" t="s">
        <v>3780</v>
      </c>
      <c r="P780" t="s">
        <v>59</v>
      </c>
      <c r="Q780" t="s">
        <v>228</v>
      </c>
      <c r="R780" t="s">
        <v>44</v>
      </c>
      <c r="S780" t="s">
        <v>128</v>
      </c>
      <c r="T780" t="s">
        <v>102</v>
      </c>
      <c r="U780">
        <v>641</v>
      </c>
      <c r="V780">
        <v>292</v>
      </c>
      <c r="W780">
        <v>26</v>
      </c>
      <c r="X780">
        <v>970.53</v>
      </c>
      <c r="Y780">
        <v>144.61000000000001</v>
      </c>
      <c r="Z780">
        <v>1115.1400000000001</v>
      </c>
      <c r="AA780" t="s">
        <v>63</v>
      </c>
      <c r="AB780">
        <v>0</v>
      </c>
      <c r="AC780">
        <v>91.36</v>
      </c>
      <c r="AD780">
        <v>264</v>
      </c>
      <c r="AE780">
        <v>248</v>
      </c>
    </row>
    <row r="781" spans="1:31" x14ac:dyDescent="0.25">
      <c r="A781" t="s">
        <v>3781</v>
      </c>
      <c r="B781" t="s">
        <v>3782</v>
      </c>
      <c r="C781" s="1">
        <v>44579</v>
      </c>
      <c r="D781" s="1">
        <v>44826</v>
      </c>
      <c r="E781" t="s">
        <v>66</v>
      </c>
      <c r="F781" t="s">
        <v>51</v>
      </c>
      <c r="G781" t="s">
        <v>337</v>
      </c>
      <c r="H781" t="s">
        <v>148</v>
      </c>
      <c r="I781" t="s">
        <v>3783</v>
      </c>
      <c r="J781" t="s">
        <v>96</v>
      </c>
      <c r="K781" t="s">
        <v>97</v>
      </c>
      <c r="L781" t="s">
        <v>3784</v>
      </c>
      <c r="M781">
        <v>453.78</v>
      </c>
      <c r="N781">
        <v>75</v>
      </c>
      <c r="O781" t="s">
        <v>2848</v>
      </c>
      <c r="P781" t="s">
        <v>110</v>
      </c>
      <c r="Q781" t="s">
        <v>514</v>
      </c>
      <c r="R781" t="s">
        <v>61</v>
      </c>
      <c r="S781" t="s">
        <v>89</v>
      </c>
      <c r="T781" t="s">
        <v>467</v>
      </c>
      <c r="U781">
        <v>4113</v>
      </c>
      <c r="V781">
        <v>194</v>
      </c>
      <c r="W781">
        <v>2</v>
      </c>
      <c r="X781">
        <v>1456.29</v>
      </c>
      <c r="Y781">
        <v>83.03</v>
      </c>
      <c r="Z781">
        <v>1539.32</v>
      </c>
      <c r="AA781" t="s">
        <v>63</v>
      </c>
      <c r="AB781">
        <v>0</v>
      </c>
      <c r="AC781">
        <v>91.4</v>
      </c>
      <c r="AD781">
        <v>400</v>
      </c>
      <c r="AE781">
        <v>423</v>
      </c>
    </row>
    <row r="782" spans="1:31" x14ac:dyDescent="0.25">
      <c r="A782" t="s">
        <v>3785</v>
      </c>
      <c r="B782" t="s">
        <v>3786</v>
      </c>
      <c r="C782" s="1">
        <v>44793</v>
      </c>
      <c r="D782" s="1">
        <v>44837</v>
      </c>
      <c r="E782" t="s">
        <v>50</v>
      </c>
      <c r="F782" t="s">
        <v>147</v>
      </c>
      <c r="G782" t="s">
        <v>35</v>
      </c>
      <c r="H782" t="s">
        <v>80</v>
      </c>
      <c r="I782" t="s">
        <v>3787</v>
      </c>
      <c r="J782" t="s">
        <v>96</v>
      </c>
      <c r="K782" t="s">
        <v>83</v>
      </c>
      <c r="L782" t="s">
        <v>3788</v>
      </c>
      <c r="M782">
        <v>432.89</v>
      </c>
      <c r="N782">
        <v>94</v>
      </c>
      <c r="O782" t="s">
        <v>873</v>
      </c>
      <c r="P782" t="s">
        <v>42</v>
      </c>
      <c r="Q782" t="s">
        <v>100</v>
      </c>
      <c r="R782" t="s">
        <v>88</v>
      </c>
      <c r="S782" t="s">
        <v>89</v>
      </c>
      <c r="T782" t="s">
        <v>508</v>
      </c>
      <c r="U782">
        <v>4856</v>
      </c>
      <c r="V782">
        <v>307</v>
      </c>
      <c r="W782">
        <v>5</v>
      </c>
      <c r="X782">
        <v>1693.95</v>
      </c>
      <c r="Y782">
        <v>78.17</v>
      </c>
      <c r="Z782">
        <v>1772.12</v>
      </c>
      <c r="AA782" t="s">
        <v>63</v>
      </c>
      <c r="AB782">
        <v>0</v>
      </c>
      <c r="AC782">
        <v>78.84</v>
      </c>
      <c r="AD782">
        <v>328</v>
      </c>
      <c r="AE782">
        <v>323</v>
      </c>
    </row>
    <row r="783" spans="1:31" x14ac:dyDescent="0.25">
      <c r="A783" t="s">
        <v>3789</v>
      </c>
      <c r="B783" t="s">
        <v>3790</v>
      </c>
      <c r="C783" s="1">
        <v>45645</v>
      </c>
      <c r="D783" s="1">
        <v>44689</v>
      </c>
      <c r="E783" t="s">
        <v>66</v>
      </c>
      <c r="F783" t="s">
        <v>34</v>
      </c>
      <c r="G783" t="s">
        <v>105</v>
      </c>
      <c r="H783" t="s">
        <v>36</v>
      </c>
      <c r="I783" t="s">
        <v>3791</v>
      </c>
      <c r="J783" t="s">
        <v>82</v>
      </c>
      <c r="K783" t="s">
        <v>39</v>
      </c>
      <c r="L783" t="s">
        <v>453</v>
      </c>
      <c r="M783">
        <v>145.74</v>
      </c>
      <c r="N783">
        <v>16</v>
      </c>
      <c r="O783" t="s">
        <v>3272</v>
      </c>
      <c r="P783" t="s">
        <v>42</v>
      </c>
      <c r="Q783" t="s">
        <v>455</v>
      </c>
      <c r="R783" t="s">
        <v>88</v>
      </c>
      <c r="S783" t="s">
        <v>128</v>
      </c>
      <c r="T783" t="s">
        <v>144</v>
      </c>
      <c r="U783">
        <v>540</v>
      </c>
      <c r="V783">
        <v>257</v>
      </c>
      <c r="W783">
        <v>13</v>
      </c>
      <c r="X783">
        <v>1460.11</v>
      </c>
      <c r="Y783">
        <v>136.22999999999999</v>
      </c>
      <c r="Z783">
        <v>1596.34</v>
      </c>
      <c r="AA783" t="s">
        <v>63</v>
      </c>
      <c r="AB783">
        <v>0</v>
      </c>
      <c r="AC783">
        <v>95.04</v>
      </c>
      <c r="AD783">
        <v>437</v>
      </c>
      <c r="AE783">
        <v>455</v>
      </c>
    </row>
    <row r="784" spans="1:31" x14ac:dyDescent="0.25">
      <c r="A784" t="s">
        <v>3792</v>
      </c>
      <c r="B784" t="s">
        <v>469</v>
      </c>
      <c r="C784" s="1">
        <v>45061</v>
      </c>
      <c r="D784" s="1">
        <v>45551</v>
      </c>
      <c r="E784" t="s">
        <v>66</v>
      </c>
      <c r="F784" t="s">
        <v>51</v>
      </c>
      <c r="G784" t="s">
        <v>115</v>
      </c>
      <c r="H784" t="s">
        <v>80</v>
      </c>
      <c r="I784" t="s">
        <v>3793</v>
      </c>
      <c r="J784" t="s">
        <v>55</v>
      </c>
      <c r="K784" t="s">
        <v>39</v>
      </c>
      <c r="L784" t="s">
        <v>3794</v>
      </c>
      <c r="M784">
        <v>197.37</v>
      </c>
      <c r="N784">
        <v>33</v>
      </c>
      <c r="O784" t="s">
        <v>3795</v>
      </c>
      <c r="P784" t="s">
        <v>142</v>
      </c>
      <c r="Q784" t="s">
        <v>43</v>
      </c>
      <c r="R784" t="s">
        <v>61</v>
      </c>
      <c r="S784" t="s">
        <v>101</v>
      </c>
      <c r="T784" t="s">
        <v>721</v>
      </c>
      <c r="U784">
        <v>4597</v>
      </c>
      <c r="V784">
        <v>52</v>
      </c>
      <c r="W784">
        <v>11</v>
      </c>
      <c r="X784">
        <v>562.11</v>
      </c>
      <c r="Y784">
        <v>290.64999999999998</v>
      </c>
      <c r="Z784">
        <v>852.76</v>
      </c>
      <c r="AA784" t="s">
        <v>63</v>
      </c>
      <c r="AB784">
        <v>0</v>
      </c>
      <c r="AC784">
        <v>70.13</v>
      </c>
      <c r="AD784">
        <v>394</v>
      </c>
      <c r="AE784">
        <v>424</v>
      </c>
    </row>
    <row r="785" spans="1:31" x14ac:dyDescent="0.25">
      <c r="A785" t="s">
        <v>3796</v>
      </c>
      <c r="B785" t="s">
        <v>3797</v>
      </c>
      <c r="C785" s="1">
        <v>43897</v>
      </c>
      <c r="D785" s="1">
        <v>45557</v>
      </c>
      <c r="E785" t="s">
        <v>66</v>
      </c>
      <c r="F785" t="s">
        <v>34</v>
      </c>
      <c r="G785" t="s">
        <v>79</v>
      </c>
      <c r="H785" t="s">
        <v>53</v>
      </c>
      <c r="I785" t="s">
        <v>3798</v>
      </c>
      <c r="J785" t="s">
        <v>96</v>
      </c>
      <c r="K785" t="s">
        <v>39</v>
      </c>
      <c r="L785" t="s">
        <v>1873</v>
      </c>
      <c r="M785">
        <v>395.29</v>
      </c>
      <c r="N785">
        <v>95</v>
      </c>
      <c r="O785" t="s">
        <v>1791</v>
      </c>
      <c r="P785" t="s">
        <v>110</v>
      </c>
      <c r="Q785" t="s">
        <v>160</v>
      </c>
      <c r="R785" t="s">
        <v>153</v>
      </c>
      <c r="S785" t="s">
        <v>45</v>
      </c>
      <c r="T785" t="s">
        <v>222</v>
      </c>
      <c r="U785">
        <v>2744</v>
      </c>
      <c r="V785">
        <v>61</v>
      </c>
      <c r="W785">
        <v>7</v>
      </c>
      <c r="X785">
        <v>1232.26</v>
      </c>
      <c r="Y785">
        <v>104.36</v>
      </c>
      <c r="Z785">
        <v>1336.62</v>
      </c>
      <c r="AA785" t="s">
        <v>63</v>
      </c>
      <c r="AB785">
        <v>0</v>
      </c>
      <c r="AC785">
        <v>90.73</v>
      </c>
      <c r="AD785">
        <v>377</v>
      </c>
      <c r="AE785">
        <v>389</v>
      </c>
    </row>
    <row r="786" spans="1:31" x14ac:dyDescent="0.25">
      <c r="A786" t="s">
        <v>3799</v>
      </c>
      <c r="B786" t="s">
        <v>3800</v>
      </c>
      <c r="C786" s="1">
        <v>44972</v>
      </c>
      <c r="D786" s="1">
        <v>44886</v>
      </c>
      <c r="E786" t="s">
        <v>50</v>
      </c>
      <c r="F786" t="s">
        <v>51</v>
      </c>
      <c r="G786" t="s">
        <v>105</v>
      </c>
      <c r="H786" t="s">
        <v>68</v>
      </c>
      <c r="I786" t="s">
        <v>3801</v>
      </c>
      <c r="J786" t="s">
        <v>55</v>
      </c>
      <c r="K786" t="s">
        <v>83</v>
      </c>
      <c r="L786" t="s">
        <v>3802</v>
      </c>
      <c r="M786">
        <v>274.45</v>
      </c>
      <c r="N786">
        <v>12</v>
      </c>
      <c r="O786" t="s">
        <v>3399</v>
      </c>
      <c r="P786" t="s">
        <v>86</v>
      </c>
      <c r="Q786" t="s">
        <v>328</v>
      </c>
      <c r="R786" t="s">
        <v>44</v>
      </c>
      <c r="S786" t="s">
        <v>89</v>
      </c>
      <c r="T786" t="s">
        <v>190</v>
      </c>
      <c r="U786">
        <v>3766</v>
      </c>
      <c r="V786">
        <v>104</v>
      </c>
      <c r="W786">
        <v>7</v>
      </c>
      <c r="X786">
        <v>81.19</v>
      </c>
      <c r="Y786">
        <v>104.59</v>
      </c>
      <c r="Z786">
        <v>185.78</v>
      </c>
      <c r="AA786" t="s">
        <v>63</v>
      </c>
      <c r="AB786">
        <v>0</v>
      </c>
      <c r="AC786">
        <v>77.62</v>
      </c>
      <c r="AD786">
        <v>311</v>
      </c>
      <c r="AE786">
        <v>318</v>
      </c>
    </row>
    <row r="787" spans="1:31" x14ac:dyDescent="0.25">
      <c r="A787" t="s">
        <v>3803</v>
      </c>
      <c r="B787" t="s">
        <v>3804</v>
      </c>
      <c r="C787" s="1">
        <v>44887</v>
      </c>
      <c r="D787" s="1">
        <v>44746</v>
      </c>
      <c r="E787" t="s">
        <v>66</v>
      </c>
      <c r="F787" t="s">
        <v>51</v>
      </c>
      <c r="G787" t="s">
        <v>67</v>
      </c>
      <c r="H787" t="s">
        <v>80</v>
      </c>
      <c r="I787" t="s">
        <v>3805</v>
      </c>
      <c r="J787" t="s">
        <v>82</v>
      </c>
      <c r="K787" t="s">
        <v>83</v>
      </c>
      <c r="L787" t="s">
        <v>3806</v>
      </c>
      <c r="M787">
        <v>188.62</v>
      </c>
      <c r="N787">
        <v>68</v>
      </c>
      <c r="O787" t="s">
        <v>3548</v>
      </c>
      <c r="P787" t="s">
        <v>42</v>
      </c>
      <c r="Q787" t="s">
        <v>558</v>
      </c>
      <c r="R787" t="s">
        <v>44</v>
      </c>
      <c r="S787" t="s">
        <v>128</v>
      </c>
      <c r="T787" t="s">
        <v>1059</v>
      </c>
      <c r="U787">
        <v>4103</v>
      </c>
      <c r="V787">
        <v>112</v>
      </c>
      <c r="W787">
        <v>13</v>
      </c>
      <c r="X787">
        <v>656.27</v>
      </c>
      <c r="Y787">
        <v>34.56</v>
      </c>
      <c r="Z787">
        <v>690.82999999999993</v>
      </c>
      <c r="AA787" t="s">
        <v>63</v>
      </c>
      <c r="AB787">
        <v>0</v>
      </c>
      <c r="AC787">
        <v>97.78</v>
      </c>
      <c r="AD787">
        <v>160</v>
      </c>
      <c r="AE787">
        <v>126</v>
      </c>
    </row>
    <row r="788" spans="1:31" x14ac:dyDescent="0.25">
      <c r="A788" t="s">
        <v>3807</v>
      </c>
      <c r="B788" t="s">
        <v>3808</v>
      </c>
      <c r="C788" s="1">
        <v>43976</v>
      </c>
      <c r="D788" s="1">
        <v>45400</v>
      </c>
      <c r="E788" t="s">
        <v>33</v>
      </c>
      <c r="F788" t="s">
        <v>34</v>
      </c>
      <c r="G788" t="s">
        <v>105</v>
      </c>
      <c r="H788" t="s">
        <v>68</v>
      </c>
      <c r="I788" t="s">
        <v>3809</v>
      </c>
      <c r="J788" t="s">
        <v>107</v>
      </c>
      <c r="K788" t="s">
        <v>56</v>
      </c>
      <c r="L788" t="s">
        <v>3810</v>
      </c>
      <c r="M788">
        <v>489.09</v>
      </c>
      <c r="N788">
        <v>46</v>
      </c>
      <c r="O788" t="s">
        <v>3811</v>
      </c>
      <c r="P788" t="s">
        <v>110</v>
      </c>
      <c r="Q788" t="s">
        <v>248</v>
      </c>
      <c r="R788" t="s">
        <v>153</v>
      </c>
      <c r="S788" t="s">
        <v>74</v>
      </c>
      <c r="T788" t="s">
        <v>353</v>
      </c>
      <c r="U788">
        <v>4620</v>
      </c>
      <c r="V788">
        <v>269</v>
      </c>
      <c r="W788">
        <v>21</v>
      </c>
      <c r="X788">
        <v>1169.06</v>
      </c>
      <c r="Y788">
        <v>290.87</v>
      </c>
      <c r="Z788">
        <v>1459.93</v>
      </c>
      <c r="AA788" t="s">
        <v>47</v>
      </c>
      <c r="AB788">
        <v>14</v>
      </c>
      <c r="AC788">
        <v>89.02</v>
      </c>
      <c r="AD788">
        <v>94</v>
      </c>
      <c r="AE788">
        <v>142</v>
      </c>
    </row>
    <row r="789" spans="1:31" x14ac:dyDescent="0.25">
      <c r="A789" t="s">
        <v>3812</v>
      </c>
      <c r="B789" t="s">
        <v>3813</v>
      </c>
      <c r="C789" s="1">
        <v>44643</v>
      </c>
      <c r="D789" s="1">
        <v>44615</v>
      </c>
      <c r="E789" t="s">
        <v>66</v>
      </c>
      <c r="F789" t="s">
        <v>51</v>
      </c>
      <c r="G789" t="s">
        <v>115</v>
      </c>
      <c r="H789" t="s">
        <v>68</v>
      </c>
      <c r="I789" t="s">
        <v>3814</v>
      </c>
      <c r="J789" t="s">
        <v>55</v>
      </c>
      <c r="K789" t="s">
        <v>39</v>
      </c>
      <c r="L789" t="s">
        <v>3815</v>
      </c>
      <c r="M789">
        <v>72.3</v>
      </c>
      <c r="N789">
        <v>13</v>
      </c>
      <c r="O789" t="s">
        <v>2800</v>
      </c>
      <c r="P789" t="s">
        <v>42</v>
      </c>
      <c r="Q789" t="s">
        <v>87</v>
      </c>
      <c r="R789" t="s">
        <v>61</v>
      </c>
      <c r="S789" t="s">
        <v>128</v>
      </c>
      <c r="T789" t="s">
        <v>329</v>
      </c>
      <c r="U789">
        <v>4884</v>
      </c>
      <c r="V789">
        <v>138</v>
      </c>
      <c r="W789">
        <v>18</v>
      </c>
      <c r="X789">
        <v>1033.71</v>
      </c>
      <c r="Y789">
        <v>408.02</v>
      </c>
      <c r="Z789">
        <v>1441.73</v>
      </c>
      <c r="AA789" t="s">
        <v>63</v>
      </c>
      <c r="AB789">
        <v>0</v>
      </c>
      <c r="AC789">
        <v>97.58</v>
      </c>
      <c r="AD789">
        <v>224</v>
      </c>
      <c r="AE789">
        <v>239</v>
      </c>
    </row>
    <row r="790" spans="1:31" x14ac:dyDescent="0.25">
      <c r="A790" t="s">
        <v>3816</v>
      </c>
      <c r="B790" t="s">
        <v>3817</v>
      </c>
      <c r="C790" s="1">
        <v>44358</v>
      </c>
      <c r="D790" s="1">
        <v>44299</v>
      </c>
      <c r="E790" t="s">
        <v>50</v>
      </c>
      <c r="F790" t="s">
        <v>78</v>
      </c>
      <c r="G790" t="s">
        <v>35</v>
      </c>
      <c r="H790" t="s">
        <v>218</v>
      </c>
      <c r="I790" t="s">
        <v>3818</v>
      </c>
      <c r="J790" t="s">
        <v>38</v>
      </c>
      <c r="K790" t="s">
        <v>56</v>
      </c>
      <c r="L790" t="s">
        <v>283</v>
      </c>
      <c r="M790">
        <v>340.74</v>
      </c>
      <c r="N790">
        <v>65</v>
      </c>
      <c r="O790" t="s">
        <v>2246</v>
      </c>
      <c r="P790" t="s">
        <v>86</v>
      </c>
      <c r="Q790" t="s">
        <v>214</v>
      </c>
      <c r="R790" t="s">
        <v>61</v>
      </c>
      <c r="S790" t="s">
        <v>101</v>
      </c>
      <c r="T790" t="s">
        <v>176</v>
      </c>
      <c r="U790">
        <v>1076</v>
      </c>
      <c r="V790">
        <v>265</v>
      </c>
      <c r="W790">
        <v>22</v>
      </c>
      <c r="X790">
        <v>1008.22</v>
      </c>
      <c r="Y790">
        <v>64.62</v>
      </c>
      <c r="Z790">
        <v>1072.8399999999999</v>
      </c>
      <c r="AA790" t="s">
        <v>63</v>
      </c>
      <c r="AB790">
        <v>0</v>
      </c>
      <c r="AC790">
        <v>71.98</v>
      </c>
      <c r="AD790">
        <v>91</v>
      </c>
      <c r="AE790">
        <v>136</v>
      </c>
    </row>
    <row r="791" spans="1:31" x14ac:dyDescent="0.25">
      <c r="A791" t="s">
        <v>3819</v>
      </c>
      <c r="B791" t="s">
        <v>3820</v>
      </c>
      <c r="C791" s="1">
        <v>45152</v>
      </c>
      <c r="D791" s="1">
        <v>44474</v>
      </c>
      <c r="E791" t="s">
        <v>66</v>
      </c>
      <c r="F791" t="s">
        <v>78</v>
      </c>
      <c r="G791" t="s">
        <v>52</v>
      </c>
      <c r="H791" t="s">
        <v>80</v>
      </c>
      <c r="I791" t="s">
        <v>3821</v>
      </c>
      <c r="J791" t="s">
        <v>107</v>
      </c>
      <c r="K791" t="s">
        <v>70</v>
      </c>
      <c r="L791" t="s">
        <v>3822</v>
      </c>
      <c r="M791">
        <v>230.23</v>
      </c>
      <c r="N791">
        <v>24</v>
      </c>
      <c r="O791" t="s">
        <v>3823</v>
      </c>
      <c r="P791" t="s">
        <v>110</v>
      </c>
      <c r="Q791" t="s">
        <v>143</v>
      </c>
      <c r="R791" t="s">
        <v>44</v>
      </c>
      <c r="S791" t="s">
        <v>74</v>
      </c>
      <c r="T791" t="s">
        <v>169</v>
      </c>
      <c r="U791">
        <v>2781</v>
      </c>
      <c r="V791">
        <v>83</v>
      </c>
      <c r="W791">
        <v>24</v>
      </c>
      <c r="X791">
        <v>1107.58</v>
      </c>
      <c r="Y791">
        <v>484.19</v>
      </c>
      <c r="Z791">
        <v>1591.77</v>
      </c>
      <c r="AA791" t="s">
        <v>63</v>
      </c>
      <c r="AB791">
        <v>0</v>
      </c>
      <c r="AC791">
        <v>97.09</v>
      </c>
      <c r="AD791">
        <v>277</v>
      </c>
      <c r="AE791">
        <v>276</v>
      </c>
    </row>
    <row r="792" spans="1:31" x14ac:dyDescent="0.25">
      <c r="A792" t="s">
        <v>3824</v>
      </c>
      <c r="B792" t="s">
        <v>3825</v>
      </c>
      <c r="C792" s="1">
        <v>44720</v>
      </c>
      <c r="D792" s="1">
        <v>45496</v>
      </c>
      <c r="E792" t="s">
        <v>66</v>
      </c>
      <c r="F792" t="s">
        <v>34</v>
      </c>
      <c r="G792" t="s">
        <v>79</v>
      </c>
      <c r="H792" t="s">
        <v>36</v>
      </c>
      <c r="I792" t="s">
        <v>3826</v>
      </c>
      <c r="J792" t="s">
        <v>55</v>
      </c>
      <c r="K792" t="s">
        <v>97</v>
      </c>
      <c r="L792" t="s">
        <v>3827</v>
      </c>
      <c r="M792">
        <v>457.87</v>
      </c>
      <c r="N792">
        <v>36</v>
      </c>
      <c r="O792" t="s">
        <v>466</v>
      </c>
      <c r="P792" t="s">
        <v>86</v>
      </c>
      <c r="Q792" t="s">
        <v>73</v>
      </c>
      <c r="R792" t="s">
        <v>88</v>
      </c>
      <c r="S792" t="s">
        <v>45</v>
      </c>
      <c r="T792" t="s">
        <v>121</v>
      </c>
      <c r="U792">
        <v>3673</v>
      </c>
      <c r="V792">
        <v>247</v>
      </c>
      <c r="W792">
        <v>17</v>
      </c>
      <c r="X792">
        <v>1308.17</v>
      </c>
      <c r="Y792">
        <v>451.39</v>
      </c>
      <c r="Z792">
        <v>1759.56</v>
      </c>
      <c r="AA792" t="s">
        <v>63</v>
      </c>
      <c r="AB792">
        <v>0</v>
      </c>
      <c r="AC792">
        <v>94.06</v>
      </c>
      <c r="AD792">
        <v>415</v>
      </c>
      <c r="AE792">
        <v>454</v>
      </c>
    </row>
    <row r="793" spans="1:31" x14ac:dyDescent="0.25">
      <c r="A793" t="s">
        <v>3828</v>
      </c>
      <c r="B793" t="s">
        <v>3829</v>
      </c>
      <c r="C793" s="1">
        <v>45101</v>
      </c>
      <c r="D793" s="1">
        <v>44613</v>
      </c>
      <c r="E793" t="s">
        <v>66</v>
      </c>
      <c r="F793" t="s">
        <v>147</v>
      </c>
      <c r="G793" t="s">
        <v>115</v>
      </c>
      <c r="H793" t="s">
        <v>116</v>
      </c>
      <c r="I793" t="s">
        <v>3830</v>
      </c>
      <c r="J793" t="s">
        <v>96</v>
      </c>
      <c r="K793" t="s">
        <v>70</v>
      </c>
      <c r="L793" t="s">
        <v>3831</v>
      </c>
      <c r="M793">
        <v>208.3</v>
      </c>
      <c r="N793">
        <v>38</v>
      </c>
      <c r="O793" t="s">
        <v>1715</v>
      </c>
      <c r="P793" t="s">
        <v>59</v>
      </c>
      <c r="Q793" t="s">
        <v>514</v>
      </c>
      <c r="R793" t="s">
        <v>61</v>
      </c>
      <c r="S793" t="s">
        <v>74</v>
      </c>
      <c r="T793" t="s">
        <v>652</v>
      </c>
      <c r="U793">
        <v>1294</v>
      </c>
      <c r="V793">
        <v>305</v>
      </c>
      <c r="W793">
        <v>13</v>
      </c>
      <c r="X793">
        <v>916.27</v>
      </c>
      <c r="Y793">
        <v>389.4</v>
      </c>
      <c r="Z793">
        <v>1305.67</v>
      </c>
      <c r="AA793" t="s">
        <v>63</v>
      </c>
      <c r="AB793">
        <v>0</v>
      </c>
      <c r="AC793">
        <v>97.95</v>
      </c>
      <c r="AD793">
        <v>200</v>
      </c>
      <c r="AE793">
        <v>199</v>
      </c>
    </row>
    <row r="794" spans="1:31" x14ac:dyDescent="0.25">
      <c r="A794" t="s">
        <v>3832</v>
      </c>
      <c r="B794" t="s">
        <v>3833</v>
      </c>
      <c r="C794" s="1">
        <v>44711</v>
      </c>
      <c r="D794" s="1">
        <v>44953</v>
      </c>
      <c r="E794" t="s">
        <v>66</v>
      </c>
      <c r="F794" t="s">
        <v>147</v>
      </c>
      <c r="G794" t="s">
        <v>79</v>
      </c>
      <c r="H794" t="s">
        <v>68</v>
      </c>
      <c r="I794" t="s">
        <v>3834</v>
      </c>
      <c r="J794" t="s">
        <v>96</v>
      </c>
      <c r="K794" t="s">
        <v>56</v>
      </c>
      <c r="L794" t="s">
        <v>3835</v>
      </c>
      <c r="M794">
        <v>19.11</v>
      </c>
      <c r="N794">
        <v>11</v>
      </c>
      <c r="O794" t="s">
        <v>3836</v>
      </c>
      <c r="P794" t="s">
        <v>42</v>
      </c>
      <c r="Q794" t="s">
        <v>228</v>
      </c>
      <c r="R794" t="s">
        <v>61</v>
      </c>
      <c r="S794" t="s">
        <v>45</v>
      </c>
      <c r="T794" t="s">
        <v>297</v>
      </c>
      <c r="U794">
        <v>1299</v>
      </c>
      <c r="V794">
        <v>169</v>
      </c>
      <c r="W794">
        <v>6</v>
      </c>
      <c r="X794">
        <v>464.72</v>
      </c>
      <c r="Y794">
        <v>211.48</v>
      </c>
      <c r="Z794">
        <v>676.2</v>
      </c>
      <c r="AA794" t="s">
        <v>63</v>
      </c>
      <c r="AB794">
        <v>0</v>
      </c>
      <c r="AC794">
        <v>77.05</v>
      </c>
      <c r="AD794">
        <v>421</v>
      </c>
      <c r="AE794">
        <v>393</v>
      </c>
    </row>
    <row r="795" spans="1:31" x14ac:dyDescent="0.25">
      <c r="A795" t="s">
        <v>3837</v>
      </c>
      <c r="B795" t="s">
        <v>3838</v>
      </c>
      <c r="C795" s="1">
        <v>45602</v>
      </c>
      <c r="D795" s="1">
        <v>44336</v>
      </c>
      <c r="E795" t="s">
        <v>33</v>
      </c>
      <c r="F795" t="s">
        <v>93</v>
      </c>
      <c r="G795" t="s">
        <v>105</v>
      </c>
      <c r="H795" t="s">
        <v>164</v>
      </c>
      <c r="I795" t="s">
        <v>3839</v>
      </c>
      <c r="J795" t="s">
        <v>38</v>
      </c>
      <c r="K795" t="s">
        <v>39</v>
      </c>
      <c r="L795" t="s">
        <v>3840</v>
      </c>
      <c r="M795">
        <v>380.6</v>
      </c>
      <c r="N795">
        <v>94</v>
      </c>
      <c r="O795" t="s">
        <v>1633</v>
      </c>
      <c r="P795" t="s">
        <v>86</v>
      </c>
      <c r="Q795" t="s">
        <v>234</v>
      </c>
      <c r="R795" t="s">
        <v>61</v>
      </c>
      <c r="S795" t="s">
        <v>89</v>
      </c>
      <c r="T795" t="s">
        <v>415</v>
      </c>
      <c r="U795">
        <v>1766</v>
      </c>
      <c r="V795">
        <v>87</v>
      </c>
      <c r="W795">
        <v>8</v>
      </c>
      <c r="X795">
        <v>1150.4100000000001</v>
      </c>
      <c r="Y795">
        <v>66.44</v>
      </c>
      <c r="Z795">
        <v>1216.8499999999999</v>
      </c>
      <c r="AA795" t="s">
        <v>63</v>
      </c>
      <c r="AB795">
        <v>0</v>
      </c>
      <c r="AC795">
        <v>96.94</v>
      </c>
      <c r="AD795">
        <v>400</v>
      </c>
      <c r="AE795">
        <v>395</v>
      </c>
    </row>
    <row r="796" spans="1:31" x14ac:dyDescent="0.25">
      <c r="A796" t="s">
        <v>3841</v>
      </c>
      <c r="B796" t="s">
        <v>3842</v>
      </c>
      <c r="C796" s="1">
        <v>44022</v>
      </c>
      <c r="D796" s="1">
        <v>44624</v>
      </c>
      <c r="E796" t="s">
        <v>66</v>
      </c>
      <c r="F796" t="s">
        <v>147</v>
      </c>
      <c r="G796" t="s">
        <v>35</v>
      </c>
      <c r="H796" t="s">
        <v>148</v>
      </c>
      <c r="I796" t="s">
        <v>3843</v>
      </c>
      <c r="J796" t="s">
        <v>107</v>
      </c>
      <c r="K796" t="s">
        <v>56</v>
      </c>
      <c r="L796" t="s">
        <v>3844</v>
      </c>
      <c r="M796">
        <v>196.13</v>
      </c>
      <c r="N796">
        <v>96</v>
      </c>
      <c r="O796" t="s">
        <v>3845</v>
      </c>
      <c r="P796" t="s">
        <v>110</v>
      </c>
      <c r="Q796" t="s">
        <v>347</v>
      </c>
      <c r="R796" t="s">
        <v>88</v>
      </c>
      <c r="S796" t="s">
        <v>89</v>
      </c>
      <c r="T796" t="s">
        <v>1194</v>
      </c>
      <c r="U796">
        <v>4621</v>
      </c>
      <c r="V796">
        <v>438</v>
      </c>
      <c r="W796">
        <v>4</v>
      </c>
      <c r="X796">
        <v>1790.83</v>
      </c>
      <c r="Y796">
        <v>421.52</v>
      </c>
      <c r="Z796">
        <v>2212.35</v>
      </c>
      <c r="AA796" t="s">
        <v>63</v>
      </c>
      <c r="AB796">
        <v>0</v>
      </c>
      <c r="AC796">
        <v>92.7</v>
      </c>
      <c r="AD796">
        <v>288</v>
      </c>
      <c r="AE796">
        <v>239</v>
      </c>
    </row>
    <row r="797" spans="1:31" x14ac:dyDescent="0.25">
      <c r="A797" t="s">
        <v>3846</v>
      </c>
      <c r="B797" t="s">
        <v>3847</v>
      </c>
      <c r="C797" s="1">
        <v>44486</v>
      </c>
      <c r="D797" s="1">
        <v>44177</v>
      </c>
      <c r="E797" t="s">
        <v>66</v>
      </c>
      <c r="F797" t="s">
        <v>34</v>
      </c>
      <c r="G797" t="s">
        <v>67</v>
      </c>
      <c r="H797" t="s">
        <v>218</v>
      </c>
      <c r="I797" t="s">
        <v>3848</v>
      </c>
      <c r="J797" t="s">
        <v>107</v>
      </c>
      <c r="K797" t="s">
        <v>56</v>
      </c>
      <c r="L797" t="s">
        <v>3849</v>
      </c>
      <c r="M797">
        <v>425.71</v>
      </c>
      <c r="N797">
        <v>71</v>
      </c>
      <c r="O797" t="s">
        <v>159</v>
      </c>
      <c r="P797" t="s">
        <v>86</v>
      </c>
      <c r="Q797" t="s">
        <v>152</v>
      </c>
      <c r="R797" t="s">
        <v>88</v>
      </c>
      <c r="S797" t="s">
        <v>128</v>
      </c>
      <c r="T797" t="s">
        <v>303</v>
      </c>
      <c r="U797">
        <v>4964</v>
      </c>
      <c r="V797">
        <v>475</v>
      </c>
      <c r="W797">
        <v>2</v>
      </c>
      <c r="X797">
        <v>1737.1</v>
      </c>
      <c r="Y797">
        <v>156.82</v>
      </c>
      <c r="Z797">
        <v>1893.92</v>
      </c>
      <c r="AA797" t="s">
        <v>63</v>
      </c>
      <c r="AB797">
        <v>0</v>
      </c>
      <c r="AC797">
        <v>90.07</v>
      </c>
      <c r="AD797">
        <v>355</v>
      </c>
      <c r="AE797">
        <v>381</v>
      </c>
    </row>
    <row r="798" spans="1:31" x14ac:dyDescent="0.25">
      <c r="A798" t="s">
        <v>3850</v>
      </c>
      <c r="B798" t="s">
        <v>3851</v>
      </c>
      <c r="C798" s="1">
        <v>45131</v>
      </c>
      <c r="D798" s="1">
        <v>45432</v>
      </c>
      <c r="E798" t="s">
        <v>66</v>
      </c>
      <c r="F798" t="s">
        <v>51</v>
      </c>
      <c r="G798" t="s">
        <v>115</v>
      </c>
      <c r="H798" t="s">
        <v>80</v>
      </c>
      <c r="I798" t="s">
        <v>3852</v>
      </c>
      <c r="J798" t="s">
        <v>96</v>
      </c>
      <c r="K798" t="s">
        <v>97</v>
      </c>
      <c r="L798" t="s">
        <v>3853</v>
      </c>
      <c r="M798">
        <v>33.69</v>
      </c>
      <c r="N798">
        <v>90</v>
      </c>
      <c r="O798" t="s">
        <v>3468</v>
      </c>
      <c r="P798" t="s">
        <v>59</v>
      </c>
      <c r="Q798" t="s">
        <v>421</v>
      </c>
      <c r="R798" t="s">
        <v>88</v>
      </c>
      <c r="S798" t="s">
        <v>45</v>
      </c>
      <c r="T798" t="s">
        <v>62</v>
      </c>
      <c r="U798">
        <v>1594</v>
      </c>
      <c r="V798">
        <v>375</v>
      </c>
      <c r="W798">
        <v>10</v>
      </c>
      <c r="X798">
        <v>878.84</v>
      </c>
      <c r="Y798">
        <v>26.49</v>
      </c>
      <c r="Z798">
        <v>905.33</v>
      </c>
      <c r="AA798" t="s">
        <v>47</v>
      </c>
      <c r="AB798">
        <v>4</v>
      </c>
      <c r="AC798">
        <v>90.74</v>
      </c>
      <c r="AD798">
        <v>478</v>
      </c>
      <c r="AE798">
        <v>486</v>
      </c>
    </row>
    <row r="799" spans="1:31" x14ac:dyDescent="0.25">
      <c r="A799" t="s">
        <v>3854</v>
      </c>
      <c r="B799" t="s">
        <v>3855</v>
      </c>
      <c r="C799" s="1">
        <v>44664</v>
      </c>
      <c r="D799" s="1">
        <v>45442</v>
      </c>
      <c r="E799" t="s">
        <v>33</v>
      </c>
      <c r="F799" t="s">
        <v>51</v>
      </c>
      <c r="G799" t="s">
        <v>35</v>
      </c>
      <c r="H799" t="s">
        <v>36</v>
      </c>
      <c r="I799" t="s">
        <v>3856</v>
      </c>
      <c r="J799" t="s">
        <v>96</v>
      </c>
      <c r="K799" t="s">
        <v>97</v>
      </c>
      <c r="L799" t="s">
        <v>3857</v>
      </c>
      <c r="M799">
        <v>183.66</v>
      </c>
      <c r="N799">
        <v>83</v>
      </c>
      <c r="O799" t="s">
        <v>1505</v>
      </c>
      <c r="P799" t="s">
        <v>86</v>
      </c>
      <c r="Q799" t="s">
        <v>558</v>
      </c>
      <c r="R799" t="s">
        <v>61</v>
      </c>
      <c r="S799" t="s">
        <v>89</v>
      </c>
      <c r="T799" t="s">
        <v>309</v>
      </c>
      <c r="U799">
        <v>4970</v>
      </c>
      <c r="V799">
        <v>189</v>
      </c>
      <c r="W799">
        <v>23</v>
      </c>
      <c r="X799">
        <v>1902.13</v>
      </c>
      <c r="Y799">
        <v>73.88</v>
      </c>
      <c r="Z799">
        <v>1976.01</v>
      </c>
      <c r="AA799" t="s">
        <v>63</v>
      </c>
      <c r="AB799">
        <v>0</v>
      </c>
      <c r="AC799">
        <v>92.83</v>
      </c>
      <c r="AD799">
        <v>388</v>
      </c>
      <c r="AE799">
        <v>361</v>
      </c>
    </row>
    <row r="800" spans="1:31" x14ac:dyDescent="0.25">
      <c r="A800" t="s">
        <v>3858</v>
      </c>
      <c r="B800" t="s">
        <v>3859</v>
      </c>
      <c r="C800" s="1">
        <v>45619</v>
      </c>
      <c r="D800" s="1">
        <v>45023</v>
      </c>
      <c r="E800" t="s">
        <v>50</v>
      </c>
      <c r="F800" t="s">
        <v>34</v>
      </c>
      <c r="G800" t="s">
        <v>52</v>
      </c>
      <c r="H800" t="s">
        <v>116</v>
      </c>
      <c r="I800" t="s">
        <v>3860</v>
      </c>
      <c r="J800" t="s">
        <v>38</v>
      </c>
      <c r="K800" t="s">
        <v>97</v>
      </c>
      <c r="L800" t="s">
        <v>3861</v>
      </c>
      <c r="M800">
        <v>475.6</v>
      </c>
      <c r="N800">
        <v>14</v>
      </c>
      <c r="O800" t="s">
        <v>2336</v>
      </c>
      <c r="P800" t="s">
        <v>110</v>
      </c>
      <c r="Q800" t="s">
        <v>609</v>
      </c>
      <c r="R800" t="s">
        <v>61</v>
      </c>
      <c r="S800" t="s">
        <v>74</v>
      </c>
      <c r="T800" t="s">
        <v>467</v>
      </c>
      <c r="U800">
        <v>3153</v>
      </c>
      <c r="V800">
        <v>313</v>
      </c>
      <c r="W800">
        <v>21</v>
      </c>
      <c r="X800">
        <v>1317.73</v>
      </c>
      <c r="Y800">
        <v>450.21</v>
      </c>
      <c r="Z800">
        <v>1767.94</v>
      </c>
      <c r="AA800" t="s">
        <v>63</v>
      </c>
      <c r="AB800">
        <v>0</v>
      </c>
      <c r="AC800">
        <v>71.37</v>
      </c>
      <c r="AD800">
        <v>260</v>
      </c>
      <c r="AE800">
        <v>273</v>
      </c>
    </row>
    <row r="801" spans="1:31" x14ac:dyDescent="0.25">
      <c r="A801" t="s">
        <v>3862</v>
      </c>
      <c r="B801" t="s">
        <v>3863</v>
      </c>
      <c r="C801" s="1">
        <v>44171</v>
      </c>
      <c r="D801" s="1">
        <v>45366</v>
      </c>
      <c r="E801" t="s">
        <v>66</v>
      </c>
      <c r="F801" t="s">
        <v>78</v>
      </c>
      <c r="G801" t="s">
        <v>115</v>
      </c>
      <c r="H801" t="s">
        <v>116</v>
      </c>
      <c r="I801" t="s">
        <v>3864</v>
      </c>
      <c r="J801" t="s">
        <v>82</v>
      </c>
      <c r="K801" t="s">
        <v>83</v>
      </c>
      <c r="L801" t="s">
        <v>3865</v>
      </c>
      <c r="M801">
        <v>196.45</v>
      </c>
      <c r="N801">
        <v>85</v>
      </c>
      <c r="O801" t="s">
        <v>564</v>
      </c>
      <c r="P801" t="s">
        <v>59</v>
      </c>
      <c r="Q801" t="s">
        <v>241</v>
      </c>
      <c r="R801" t="s">
        <v>153</v>
      </c>
      <c r="S801" t="s">
        <v>74</v>
      </c>
      <c r="T801" t="s">
        <v>62</v>
      </c>
      <c r="U801">
        <v>2229</v>
      </c>
      <c r="V801">
        <v>216</v>
      </c>
      <c r="W801">
        <v>24</v>
      </c>
      <c r="X801">
        <v>1810.78</v>
      </c>
      <c r="Y801">
        <v>26.8</v>
      </c>
      <c r="Z801">
        <v>1837.58</v>
      </c>
      <c r="AA801" t="s">
        <v>63</v>
      </c>
      <c r="AB801">
        <v>0</v>
      </c>
      <c r="AC801">
        <v>71.61</v>
      </c>
      <c r="AD801">
        <v>427</v>
      </c>
      <c r="AE801">
        <v>452</v>
      </c>
    </row>
    <row r="802" spans="1:31" x14ac:dyDescent="0.25">
      <c r="A802" t="s">
        <v>3866</v>
      </c>
      <c r="B802" t="s">
        <v>3867</v>
      </c>
      <c r="C802" s="1">
        <v>44241</v>
      </c>
      <c r="D802" s="1">
        <v>44962</v>
      </c>
      <c r="E802" t="s">
        <v>50</v>
      </c>
      <c r="F802" t="s">
        <v>78</v>
      </c>
      <c r="G802" t="s">
        <v>79</v>
      </c>
      <c r="H802" t="s">
        <v>148</v>
      </c>
      <c r="I802" t="s">
        <v>3868</v>
      </c>
      <c r="J802" t="s">
        <v>38</v>
      </c>
      <c r="K802" t="s">
        <v>97</v>
      </c>
      <c r="L802" t="s">
        <v>3869</v>
      </c>
      <c r="M802">
        <v>496.49</v>
      </c>
      <c r="N802">
        <v>12</v>
      </c>
      <c r="O802" t="s">
        <v>1766</v>
      </c>
      <c r="P802" t="s">
        <v>110</v>
      </c>
      <c r="Q802" t="s">
        <v>248</v>
      </c>
      <c r="R802" t="s">
        <v>88</v>
      </c>
      <c r="S802" t="s">
        <v>128</v>
      </c>
      <c r="T802" t="s">
        <v>927</v>
      </c>
      <c r="U802">
        <v>1959</v>
      </c>
      <c r="V802">
        <v>90</v>
      </c>
      <c r="W802">
        <v>6</v>
      </c>
      <c r="X802">
        <v>179.15</v>
      </c>
      <c r="Y802">
        <v>36.72</v>
      </c>
      <c r="Z802">
        <v>215.87</v>
      </c>
      <c r="AA802" t="s">
        <v>63</v>
      </c>
      <c r="AB802">
        <v>0</v>
      </c>
      <c r="AC802">
        <v>92.89</v>
      </c>
      <c r="AD802">
        <v>487</v>
      </c>
      <c r="AE802">
        <v>450</v>
      </c>
    </row>
    <row r="803" spans="1:31" x14ac:dyDescent="0.25">
      <c r="A803" t="s">
        <v>3870</v>
      </c>
      <c r="B803" t="s">
        <v>3871</v>
      </c>
      <c r="C803" s="1">
        <v>45480</v>
      </c>
      <c r="D803" s="1">
        <v>44297</v>
      </c>
      <c r="E803" t="s">
        <v>66</v>
      </c>
      <c r="F803" t="s">
        <v>93</v>
      </c>
      <c r="G803" t="s">
        <v>79</v>
      </c>
      <c r="H803" t="s">
        <v>218</v>
      </c>
      <c r="I803" t="s">
        <v>3872</v>
      </c>
      <c r="J803" t="s">
        <v>55</v>
      </c>
      <c r="K803" t="s">
        <v>83</v>
      </c>
      <c r="L803" t="s">
        <v>3873</v>
      </c>
      <c r="M803">
        <v>215.64</v>
      </c>
      <c r="N803">
        <v>62</v>
      </c>
      <c r="O803" t="s">
        <v>2431</v>
      </c>
      <c r="P803" t="s">
        <v>59</v>
      </c>
      <c r="Q803" t="s">
        <v>322</v>
      </c>
      <c r="R803" t="s">
        <v>88</v>
      </c>
      <c r="S803" t="s">
        <v>89</v>
      </c>
      <c r="T803" t="s">
        <v>508</v>
      </c>
      <c r="U803">
        <v>4123</v>
      </c>
      <c r="V803">
        <v>78</v>
      </c>
      <c r="W803">
        <v>5</v>
      </c>
      <c r="X803">
        <v>1573.08</v>
      </c>
      <c r="Y803">
        <v>342.57</v>
      </c>
      <c r="Z803">
        <v>1915.65</v>
      </c>
      <c r="AA803" t="s">
        <v>63</v>
      </c>
      <c r="AB803">
        <v>0</v>
      </c>
      <c r="AC803">
        <v>85.86</v>
      </c>
      <c r="AD803">
        <v>331</v>
      </c>
      <c r="AE803">
        <v>299</v>
      </c>
    </row>
    <row r="804" spans="1:31" x14ac:dyDescent="0.25">
      <c r="A804" t="s">
        <v>3874</v>
      </c>
      <c r="B804" t="s">
        <v>3875</v>
      </c>
      <c r="C804" s="1">
        <v>44447</v>
      </c>
      <c r="D804" s="1">
        <v>45190</v>
      </c>
      <c r="E804" t="s">
        <v>66</v>
      </c>
      <c r="F804" t="s">
        <v>147</v>
      </c>
      <c r="G804" t="s">
        <v>115</v>
      </c>
      <c r="H804" t="s">
        <v>80</v>
      </c>
      <c r="I804" t="s">
        <v>3876</v>
      </c>
      <c r="J804" t="s">
        <v>55</v>
      </c>
      <c r="K804" t="s">
        <v>70</v>
      </c>
      <c r="L804" t="s">
        <v>1387</v>
      </c>
      <c r="M804">
        <v>447.98</v>
      </c>
      <c r="N804">
        <v>41</v>
      </c>
      <c r="O804" t="s">
        <v>427</v>
      </c>
      <c r="P804" t="s">
        <v>59</v>
      </c>
      <c r="Q804" t="s">
        <v>73</v>
      </c>
      <c r="R804" t="s">
        <v>44</v>
      </c>
      <c r="S804" t="s">
        <v>89</v>
      </c>
      <c r="T804" t="s">
        <v>542</v>
      </c>
      <c r="U804">
        <v>2568</v>
      </c>
      <c r="V804">
        <v>445</v>
      </c>
      <c r="W804">
        <v>21</v>
      </c>
      <c r="X804">
        <v>755.18</v>
      </c>
      <c r="Y804">
        <v>107.67</v>
      </c>
      <c r="Z804">
        <v>862.84999999999991</v>
      </c>
      <c r="AA804" t="s">
        <v>63</v>
      </c>
      <c r="AB804">
        <v>0</v>
      </c>
      <c r="AC804">
        <v>80.58</v>
      </c>
      <c r="AD804">
        <v>308</v>
      </c>
      <c r="AE804">
        <v>279</v>
      </c>
    </row>
    <row r="805" spans="1:31" x14ac:dyDescent="0.25">
      <c r="A805" t="s">
        <v>3877</v>
      </c>
      <c r="B805" t="s">
        <v>3878</v>
      </c>
      <c r="C805" s="1">
        <v>45070</v>
      </c>
      <c r="D805" s="1">
        <v>44105</v>
      </c>
      <c r="E805" t="s">
        <v>50</v>
      </c>
      <c r="F805" t="s">
        <v>34</v>
      </c>
      <c r="G805" t="s">
        <v>94</v>
      </c>
      <c r="H805" t="s">
        <v>116</v>
      </c>
      <c r="I805" t="s">
        <v>3879</v>
      </c>
      <c r="J805" t="s">
        <v>107</v>
      </c>
      <c r="K805" t="s">
        <v>70</v>
      </c>
      <c r="L805" t="s">
        <v>3880</v>
      </c>
      <c r="M805">
        <v>139.43</v>
      </c>
      <c r="N805">
        <v>85</v>
      </c>
      <c r="O805" t="s">
        <v>2805</v>
      </c>
      <c r="P805" t="s">
        <v>142</v>
      </c>
      <c r="Q805" t="s">
        <v>214</v>
      </c>
      <c r="R805" t="s">
        <v>44</v>
      </c>
      <c r="S805" t="s">
        <v>101</v>
      </c>
      <c r="T805" t="s">
        <v>235</v>
      </c>
      <c r="U805">
        <v>296</v>
      </c>
      <c r="V805">
        <v>337</v>
      </c>
      <c r="W805">
        <v>24</v>
      </c>
      <c r="X805">
        <v>1503.56</v>
      </c>
      <c r="Y805">
        <v>155.46</v>
      </c>
      <c r="Z805">
        <v>1659.02</v>
      </c>
      <c r="AA805" t="s">
        <v>63</v>
      </c>
      <c r="AB805">
        <v>0</v>
      </c>
      <c r="AC805">
        <v>89.89</v>
      </c>
      <c r="AD805">
        <v>223</v>
      </c>
      <c r="AE805">
        <v>257</v>
      </c>
    </row>
    <row r="806" spans="1:31" x14ac:dyDescent="0.25">
      <c r="A806" t="s">
        <v>3881</v>
      </c>
      <c r="B806" t="s">
        <v>3882</v>
      </c>
      <c r="C806" s="1">
        <v>44090</v>
      </c>
      <c r="D806" s="1">
        <v>44780</v>
      </c>
      <c r="E806" t="s">
        <v>66</v>
      </c>
      <c r="F806" t="s">
        <v>147</v>
      </c>
      <c r="G806" t="s">
        <v>115</v>
      </c>
      <c r="H806" t="s">
        <v>80</v>
      </c>
      <c r="I806" t="s">
        <v>3883</v>
      </c>
      <c r="J806" t="s">
        <v>107</v>
      </c>
      <c r="K806" t="s">
        <v>70</v>
      </c>
      <c r="L806" t="s">
        <v>3884</v>
      </c>
      <c r="M806">
        <v>416.84</v>
      </c>
      <c r="N806">
        <v>86</v>
      </c>
      <c r="O806" t="s">
        <v>2521</v>
      </c>
      <c r="P806" t="s">
        <v>110</v>
      </c>
      <c r="Q806" t="s">
        <v>706</v>
      </c>
      <c r="R806" t="s">
        <v>61</v>
      </c>
      <c r="S806" t="s">
        <v>89</v>
      </c>
      <c r="T806" t="s">
        <v>625</v>
      </c>
      <c r="U806">
        <v>1206</v>
      </c>
      <c r="V806">
        <v>199</v>
      </c>
      <c r="W806">
        <v>21</v>
      </c>
      <c r="X806">
        <v>1770.18</v>
      </c>
      <c r="Y806">
        <v>161.38</v>
      </c>
      <c r="Z806">
        <v>1931.56</v>
      </c>
      <c r="AA806" t="s">
        <v>63</v>
      </c>
      <c r="AB806">
        <v>0</v>
      </c>
      <c r="AC806">
        <v>77.959999999999994</v>
      </c>
      <c r="AD806">
        <v>387</v>
      </c>
      <c r="AE806">
        <v>418</v>
      </c>
    </row>
    <row r="807" spans="1:31" x14ac:dyDescent="0.25">
      <c r="A807" t="s">
        <v>3885</v>
      </c>
      <c r="B807" t="s">
        <v>3886</v>
      </c>
      <c r="C807" s="1">
        <v>44498</v>
      </c>
      <c r="D807" s="1">
        <v>44006</v>
      </c>
      <c r="E807" t="s">
        <v>66</v>
      </c>
      <c r="F807" t="s">
        <v>78</v>
      </c>
      <c r="G807" t="s">
        <v>79</v>
      </c>
      <c r="H807" t="s">
        <v>80</v>
      </c>
      <c r="I807" t="s">
        <v>3887</v>
      </c>
      <c r="J807" t="s">
        <v>107</v>
      </c>
      <c r="K807" t="s">
        <v>83</v>
      </c>
      <c r="L807" t="s">
        <v>357</v>
      </c>
      <c r="M807">
        <v>87.94</v>
      </c>
      <c r="N807">
        <v>59</v>
      </c>
      <c r="O807" t="s">
        <v>1729</v>
      </c>
      <c r="P807" t="s">
        <v>142</v>
      </c>
      <c r="Q807" t="s">
        <v>328</v>
      </c>
      <c r="R807" t="s">
        <v>88</v>
      </c>
      <c r="S807" t="s">
        <v>101</v>
      </c>
      <c r="T807" t="s">
        <v>933</v>
      </c>
      <c r="U807">
        <v>678</v>
      </c>
      <c r="V807">
        <v>271</v>
      </c>
      <c r="W807">
        <v>3</v>
      </c>
      <c r="X807">
        <v>185.96</v>
      </c>
      <c r="Y807">
        <v>379.5</v>
      </c>
      <c r="Z807">
        <v>565.46</v>
      </c>
      <c r="AA807" t="s">
        <v>63</v>
      </c>
      <c r="AB807">
        <v>0</v>
      </c>
      <c r="AC807">
        <v>75.08</v>
      </c>
      <c r="AD807">
        <v>200</v>
      </c>
      <c r="AE807">
        <v>186</v>
      </c>
    </row>
    <row r="808" spans="1:31" x14ac:dyDescent="0.25">
      <c r="A808" t="s">
        <v>3888</v>
      </c>
      <c r="B808" t="s">
        <v>3889</v>
      </c>
      <c r="C808" s="1">
        <v>44992</v>
      </c>
      <c r="D808" s="1">
        <v>44988</v>
      </c>
      <c r="E808" t="s">
        <v>50</v>
      </c>
      <c r="F808" t="s">
        <v>93</v>
      </c>
      <c r="G808" t="s">
        <v>115</v>
      </c>
      <c r="H808" t="s">
        <v>116</v>
      </c>
      <c r="I808" t="s">
        <v>3890</v>
      </c>
      <c r="J808" t="s">
        <v>107</v>
      </c>
      <c r="K808" t="s">
        <v>56</v>
      </c>
      <c r="L808" t="s">
        <v>3891</v>
      </c>
      <c r="M808">
        <v>141.04</v>
      </c>
      <c r="N808">
        <v>73</v>
      </c>
      <c r="O808" t="s">
        <v>1523</v>
      </c>
      <c r="P808" t="s">
        <v>59</v>
      </c>
      <c r="Q808" t="s">
        <v>127</v>
      </c>
      <c r="R808" t="s">
        <v>61</v>
      </c>
      <c r="S808" t="s">
        <v>74</v>
      </c>
      <c r="T808" t="s">
        <v>365</v>
      </c>
      <c r="U808">
        <v>1285</v>
      </c>
      <c r="V808">
        <v>364</v>
      </c>
      <c r="W808">
        <v>9</v>
      </c>
      <c r="X808">
        <v>294.70999999999998</v>
      </c>
      <c r="Y808">
        <v>141.6</v>
      </c>
      <c r="Z808">
        <v>436.30999999999989</v>
      </c>
      <c r="AA808" t="s">
        <v>63</v>
      </c>
      <c r="AB808">
        <v>0</v>
      </c>
      <c r="AC808">
        <v>79.28</v>
      </c>
      <c r="AD808">
        <v>91</v>
      </c>
      <c r="AE808">
        <v>71</v>
      </c>
    </row>
    <row r="809" spans="1:31" x14ac:dyDescent="0.25">
      <c r="A809" t="s">
        <v>3892</v>
      </c>
      <c r="B809" t="s">
        <v>3893</v>
      </c>
      <c r="C809" s="1">
        <v>44315</v>
      </c>
      <c r="D809" s="1">
        <v>44982</v>
      </c>
      <c r="E809" t="s">
        <v>66</v>
      </c>
      <c r="F809" t="s">
        <v>78</v>
      </c>
      <c r="G809" t="s">
        <v>115</v>
      </c>
      <c r="H809" t="s">
        <v>218</v>
      </c>
      <c r="I809" t="s">
        <v>3894</v>
      </c>
      <c r="J809" t="s">
        <v>107</v>
      </c>
      <c r="K809" t="s">
        <v>56</v>
      </c>
      <c r="L809" t="s">
        <v>3895</v>
      </c>
      <c r="M809">
        <v>92.79</v>
      </c>
      <c r="N809">
        <v>52</v>
      </c>
      <c r="O809" t="s">
        <v>3518</v>
      </c>
      <c r="P809" t="s">
        <v>142</v>
      </c>
      <c r="Q809" t="s">
        <v>234</v>
      </c>
      <c r="R809" t="s">
        <v>88</v>
      </c>
      <c r="S809" t="s">
        <v>128</v>
      </c>
      <c r="T809" t="s">
        <v>478</v>
      </c>
      <c r="U809">
        <v>828</v>
      </c>
      <c r="V809">
        <v>221</v>
      </c>
      <c r="W809">
        <v>27</v>
      </c>
      <c r="X809">
        <v>1626</v>
      </c>
      <c r="Y809">
        <v>382.27</v>
      </c>
      <c r="Z809">
        <v>2008.27</v>
      </c>
      <c r="AA809" t="s">
        <v>63</v>
      </c>
      <c r="AB809">
        <v>0</v>
      </c>
      <c r="AC809">
        <v>86.41</v>
      </c>
      <c r="AD809">
        <v>465</v>
      </c>
      <c r="AE809">
        <v>447</v>
      </c>
    </row>
    <row r="810" spans="1:31" x14ac:dyDescent="0.25">
      <c r="A810" t="s">
        <v>3896</v>
      </c>
      <c r="B810" t="s">
        <v>3897</v>
      </c>
      <c r="C810" s="1">
        <v>45376</v>
      </c>
      <c r="D810" s="1">
        <v>45167</v>
      </c>
      <c r="E810" t="s">
        <v>66</v>
      </c>
      <c r="F810" t="s">
        <v>51</v>
      </c>
      <c r="G810" t="s">
        <v>52</v>
      </c>
      <c r="H810" t="s">
        <v>80</v>
      </c>
      <c r="I810" t="s">
        <v>3898</v>
      </c>
      <c r="J810" t="s">
        <v>107</v>
      </c>
      <c r="K810" t="s">
        <v>39</v>
      </c>
      <c r="L810" t="s">
        <v>3899</v>
      </c>
      <c r="M810">
        <v>106.8</v>
      </c>
      <c r="N810">
        <v>16</v>
      </c>
      <c r="O810" t="s">
        <v>109</v>
      </c>
      <c r="P810" t="s">
        <v>42</v>
      </c>
      <c r="Q810" t="s">
        <v>152</v>
      </c>
      <c r="R810" t="s">
        <v>44</v>
      </c>
      <c r="S810" t="s">
        <v>128</v>
      </c>
      <c r="T810" t="s">
        <v>329</v>
      </c>
      <c r="U810">
        <v>2691</v>
      </c>
      <c r="V810">
        <v>400</v>
      </c>
      <c r="W810">
        <v>10</v>
      </c>
      <c r="X810">
        <v>1015.8</v>
      </c>
      <c r="Y810">
        <v>283.45999999999998</v>
      </c>
      <c r="Z810">
        <v>1299.26</v>
      </c>
      <c r="AA810" t="s">
        <v>63</v>
      </c>
      <c r="AB810">
        <v>0</v>
      </c>
      <c r="AC810">
        <v>73.260000000000005</v>
      </c>
      <c r="AD810">
        <v>90</v>
      </c>
      <c r="AE810">
        <v>72</v>
      </c>
    </row>
    <row r="811" spans="1:31" x14ac:dyDescent="0.25">
      <c r="A811" t="s">
        <v>3900</v>
      </c>
      <c r="B811" t="s">
        <v>3901</v>
      </c>
      <c r="C811" s="1">
        <v>45104</v>
      </c>
      <c r="D811" s="1">
        <v>43892</v>
      </c>
      <c r="E811" t="s">
        <v>50</v>
      </c>
      <c r="F811" t="s">
        <v>51</v>
      </c>
      <c r="G811" t="s">
        <v>35</v>
      </c>
      <c r="H811" t="s">
        <v>116</v>
      </c>
      <c r="I811" t="s">
        <v>3902</v>
      </c>
      <c r="J811" t="s">
        <v>55</v>
      </c>
      <c r="K811" t="s">
        <v>56</v>
      </c>
      <c r="L811" t="s">
        <v>3903</v>
      </c>
      <c r="M811">
        <v>82.36</v>
      </c>
      <c r="N811">
        <v>49</v>
      </c>
      <c r="O811" t="s">
        <v>3904</v>
      </c>
      <c r="P811" t="s">
        <v>142</v>
      </c>
      <c r="Q811" t="s">
        <v>73</v>
      </c>
      <c r="R811" t="s">
        <v>44</v>
      </c>
      <c r="S811" t="s">
        <v>128</v>
      </c>
      <c r="T811" t="s">
        <v>75</v>
      </c>
      <c r="U811">
        <v>3144</v>
      </c>
      <c r="V811">
        <v>439</v>
      </c>
      <c r="W811">
        <v>25</v>
      </c>
      <c r="X811">
        <v>1322.12</v>
      </c>
      <c r="Y811">
        <v>435.38</v>
      </c>
      <c r="Z811">
        <v>1757.5</v>
      </c>
      <c r="AA811" t="s">
        <v>63</v>
      </c>
      <c r="AB811">
        <v>0</v>
      </c>
      <c r="AC811">
        <v>93.89</v>
      </c>
      <c r="AD811">
        <v>67</v>
      </c>
      <c r="AE811">
        <v>36</v>
      </c>
    </row>
    <row r="812" spans="1:31" x14ac:dyDescent="0.25">
      <c r="A812" t="s">
        <v>3905</v>
      </c>
      <c r="B812" t="s">
        <v>3906</v>
      </c>
      <c r="C812" s="1">
        <v>45264</v>
      </c>
      <c r="D812" s="1">
        <v>43943</v>
      </c>
      <c r="E812" t="s">
        <v>66</v>
      </c>
      <c r="F812" t="s">
        <v>34</v>
      </c>
      <c r="G812" t="s">
        <v>337</v>
      </c>
      <c r="H812" t="s">
        <v>218</v>
      </c>
      <c r="I812" t="s">
        <v>3907</v>
      </c>
      <c r="J812" t="s">
        <v>38</v>
      </c>
      <c r="K812" t="s">
        <v>97</v>
      </c>
      <c r="L812" t="s">
        <v>3908</v>
      </c>
      <c r="M812">
        <v>495.34</v>
      </c>
      <c r="N812">
        <v>94</v>
      </c>
      <c r="O812" t="s">
        <v>3909</v>
      </c>
      <c r="P812" t="s">
        <v>110</v>
      </c>
      <c r="Q812" t="s">
        <v>73</v>
      </c>
      <c r="R812" t="s">
        <v>153</v>
      </c>
      <c r="S812" t="s">
        <v>74</v>
      </c>
      <c r="T812" t="s">
        <v>508</v>
      </c>
      <c r="U812">
        <v>3192</v>
      </c>
      <c r="V812">
        <v>470</v>
      </c>
      <c r="W812">
        <v>23</v>
      </c>
      <c r="X812">
        <v>1406</v>
      </c>
      <c r="Y812">
        <v>222.95</v>
      </c>
      <c r="Z812">
        <v>1628.95</v>
      </c>
      <c r="AA812" t="s">
        <v>63</v>
      </c>
      <c r="AB812">
        <v>0</v>
      </c>
      <c r="AC812">
        <v>75.739999999999995</v>
      </c>
      <c r="AD812">
        <v>495</v>
      </c>
      <c r="AE812">
        <v>476</v>
      </c>
    </row>
    <row r="813" spans="1:31" x14ac:dyDescent="0.25">
      <c r="A813" t="s">
        <v>3910</v>
      </c>
      <c r="B813" t="s">
        <v>3911</v>
      </c>
      <c r="C813" s="1">
        <v>44650</v>
      </c>
      <c r="D813" s="1">
        <v>44680</v>
      </c>
      <c r="E813" t="s">
        <v>66</v>
      </c>
      <c r="F813" t="s">
        <v>51</v>
      </c>
      <c r="G813" t="s">
        <v>105</v>
      </c>
      <c r="H813" t="s">
        <v>148</v>
      </c>
      <c r="I813" t="s">
        <v>3912</v>
      </c>
      <c r="J813" t="s">
        <v>38</v>
      </c>
      <c r="K813" t="s">
        <v>97</v>
      </c>
      <c r="L813" t="s">
        <v>3913</v>
      </c>
      <c r="M813">
        <v>51.83</v>
      </c>
      <c r="N813">
        <v>70</v>
      </c>
      <c r="O813" t="s">
        <v>3914</v>
      </c>
      <c r="P813" t="s">
        <v>110</v>
      </c>
      <c r="Q813" t="s">
        <v>488</v>
      </c>
      <c r="R813" t="s">
        <v>44</v>
      </c>
      <c r="S813" t="s">
        <v>89</v>
      </c>
      <c r="T813" t="s">
        <v>1023</v>
      </c>
      <c r="U813">
        <v>2811</v>
      </c>
      <c r="V813">
        <v>159</v>
      </c>
      <c r="W813">
        <v>7</v>
      </c>
      <c r="X813">
        <v>1945.16</v>
      </c>
      <c r="Y813">
        <v>497.24</v>
      </c>
      <c r="Z813">
        <v>2442.4</v>
      </c>
      <c r="AA813" t="s">
        <v>63</v>
      </c>
      <c r="AB813">
        <v>0</v>
      </c>
      <c r="AC813">
        <v>98.96</v>
      </c>
      <c r="AD813">
        <v>390</v>
      </c>
      <c r="AE813">
        <v>372</v>
      </c>
    </row>
    <row r="814" spans="1:31" x14ac:dyDescent="0.25">
      <c r="A814" t="s">
        <v>3915</v>
      </c>
      <c r="B814" t="s">
        <v>3916</v>
      </c>
      <c r="C814" s="1">
        <v>44229</v>
      </c>
      <c r="D814" s="1">
        <v>45389</v>
      </c>
      <c r="E814" t="s">
        <v>66</v>
      </c>
      <c r="F814" t="s">
        <v>93</v>
      </c>
      <c r="G814" t="s">
        <v>79</v>
      </c>
      <c r="H814" t="s">
        <v>164</v>
      </c>
      <c r="I814" t="s">
        <v>3917</v>
      </c>
      <c r="J814" t="s">
        <v>38</v>
      </c>
      <c r="K814" t="s">
        <v>56</v>
      </c>
      <c r="L814" t="s">
        <v>3918</v>
      </c>
      <c r="M814">
        <v>244.25</v>
      </c>
      <c r="N814">
        <v>83</v>
      </c>
      <c r="O814" t="s">
        <v>3919</v>
      </c>
      <c r="P814" t="s">
        <v>42</v>
      </c>
      <c r="Q814" t="s">
        <v>706</v>
      </c>
      <c r="R814" t="s">
        <v>153</v>
      </c>
      <c r="S814" t="s">
        <v>74</v>
      </c>
      <c r="T814" t="s">
        <v>203</v>
      </c>
      <c r="U814">
        <v>3908</v>
      </c>
      <c r="V814">
        <v>65</v>
      </c>
      <c r="W814">
        <v>23</v>
      </c>
      <c r="X814">
        <v>1851.92</v>
      </c>
      <c r="Y814">
        <v>467.29</v>
      </c>
      <c r="Z814">
        <v>2319.21</v>
      </c>
      <c r="AA814" t="s">
        <v>63</v>
      </c>
      <c r="AB814">
        <v>0</v>
      </c>
      <c r="AC814">
        <v>86.42</v>
      </c>
      <c r="AD814">
        <v>469</v>
      </c>
      <c r="AE814">
        <v>507</v>
      </c>
    </row>
    <row r="815" spans="1:31" x14ac:dyDescent="0.25">
      <c r="A815" t="s">
        <v>3920</v>
      </c>
      <c r="B815" t="s">
        <v>1131</v>
      </c>
      <c r="C815" s="1">
        <v>45573</v>
      </c>
      <c r="D815" s="1">
        <v>45185</v>
      </c>
      <c r="E815" t="s">
        <v>66</v>
      </c>
      <c r="F815" t="s">
        <v>51</v>
      </c>
      <c r="G815" t="s">
        <v>115</v>
      </c>
      <c r="H815" t="s">
        <v>80</v>
      </c>
      <c r="I815" t="s">
        <v>3921</v>
      </c>
      <c r="J815" t="s">
        <v>107</v>
      </c>
      <c r="K815" t="s">
        <v>97</v>
      </c>
      <c r="L815" t="s">
        <v>3922</v>
      </c>
      <c r="M815">
        <v>20.59</v>
      </c>
      <c r="N815">
        <v>83</v>
      </c>
      <c r="O815" t="s">
        <v>3923</v>
      </c>
      <c r="P815" t="s">
        <v>86</v>
      </c>
      <c r="Q815" t="s">
        <v>248</v>
      </c>
      <c r="R815" t="s">
        <v>153</v>
      </c>
      <c r="S815" t="s">
        <v>89</v>
      </c>
      <c r="T815" t="s">
        <v>176</v>
      </c>
      <c r="U815">
        <v>725</v>
      </c>
      <c r="V815">
        <v>481</v>
      </c>
      <c r="W815">
        <v>28</v>
      </c>
      <c r="X815">
        <v>501.74</v>
      </c>
      <c r="Y815">
        <v>415.58</v>
      </c>
      <c r="Z815">
        <v>917.31999999999994</v>
      </c>
      <c r="AA815" t="s">
        <v>63</v>
      </c>
      <c r="AB815">
        <v>0</v>
      </c>
      <c r="AC815">
        <v>82.79</v>
      </c>
      <c r="AD815">
        <v>72</v>
      </c>
      <c r="AE815">
        <v>98</v>
      </c>
    </row>
    <row r="816" spans="1:31" x14ac:dyDescent="0.25">
      <c r="A816" t="s">
        <v>3924</v>
      </c>
      <c r="B816" t="s">
        <v>3925</v>
      </c>
      <c r="C816" s="1">
        <v>43855</v>
      </c>
      <c r="D816" s="1">
        <v>44208</v>
      </c>
      <c r="E816" t="s">
        <v>66</v>
      </c>
      <c r="F816" t="s">
        <v>34</v>
      </c>
      <c r="G816" t="s">
        <v>105</v>
      </c>
      <c r="H816" t="s">
        <v>68</v>
      </c>
      <c r="I816" t="s">
        <v>3926</v>
      </c>
      <c r="J816" t="s">
        <v>107</v>
      </c>
      <c r="K816" t="s">
        <v>56</v>
      </c>
      <c r="L816" t="s">
        <v>3927</v>
      </c>
      <c r="M816">
        <v>254.64</v>
      </c>
      <c r="N816">
        <v>52</v>
      </c>
      <c r="O816" t="s">
        <v>3928</v>
      </c>
      <c r="P816" t="s">
        <v>59</v>
      </c>
      <c r="Q816" t="s">
        <v>514</v>
      </c>
      <c r="R816" t="s">
        <v>153</v>
      </c>
      <c r="S816" t="s">
        <v>89</v>
      </c>
      <c r="T816" t="s">
        <v>46</v>
      </c>
      <c r="U816">
        <v>1163</v>
      </c>
      <c r="V816">
        <v>474</v>
      </c>
      <c r="W816">
        <v>21</v>
      </c>
      <c r="X816">
        <v>1958.84</v>
      </c>
      <c r="Y816">
        <v>84.92</v>
      </c>
      <c r="Z816">
        <v>2043.76</v>
      </c>
      <c r="AA816" t="s">
        <v>63</v>
      </c>
      <c r="AB816">
        <v>0</v>
      </c>
      <c r="AC816">
        <v>99.12</v>
      </c>
      <c r="AD816">
        <v>165</v>
      </c>
      <c r="AE816">
        <v>186</v>
      </c>
    </row>
    <row r="817" spans="1:31" x14ac:dyDescent="0.25">
      <c r="A817" t="s">
        <v>3929</v>
      </c>
      <c r="B817" t="s">
        <v>3930</v>
      </c>
      <c r="C817" s="1">
        <v>44517</v>
      </c>
      <c r="D817" s="1">
        <v>44401</v>
      </c>
      <c r="E817" t="s">
        <v>66</v>
      </c>
      <c r="F817" t="s">
        <v>93</v>
      </c>
      <c r="G817" t="s">
        <v>115</v>
      </c>
      <c r="H817" t="s">
        <v>53</v>
      </c>
      <c r="I817" t="s">
        <v>3931</v>
      </c>
      <c r="J817" t="s">
        <v>107</v>
      </c>
      <c r="K817" t="s">
        <v>70</v>
      </c>
      <c r="L817" t="s">
        <v>3932</v>
      </c>
      <c r="M817">
        <v>303.64</v>
      </c>
      <c r="N817">
        <v>51</v>
      </c>
      <c r="O817" t="s">
        <v>3933</v>
      </c>
      <c r="P817" t="s">
        <v>59</v>
      </c>
      <c r="Q817" t="s">
        <v>290</v>
      </c>
      <c r="R817" t="s">
        <v>153</v>
      </c>
      <c r="S817" t="s">
        <v>45</v>
      </c>
      <c r="T817" t="s">
        <v>196</v>
      </c>
      <c r="U817">
        <v>2010</v>
      </c>
      <c r="V817">
        <v>200</v>
      </c>
      <c r="W817">
        <v>13</v>
      </c>
      <c r="X817">
        <v>272.11</v>
      </c>
      <c r="Y817">
        <v>446.51</v>
      </c>
      <c r="Z817">
        <v>718.62</v>
      </c>
      <c r="AA817" t="s">
        <v>63</v>
      </c>
      <c r="AB817">
        <v>0</v>
      </c>
      <c r="AC817">
        <v>99.46</v>
      </c>
      <c r="AD817">
        <v>351</v>
      </c>
      <c r="AE817">
        <v>307</v>
      </c>
    </row>
    <row r="818" spans="1:31" x14ac:dyDescent="0.25">
      <c r="A818" t="s">
        <v>3934</v>
      </c>
      <c r="B818" t="s">
        <v>3935</v>
      </c>
      <c r="C818" s="1">
        <v>44175</v>
      </c>
      <c r="D818" s="1">
        <v>44866</v>
      </c>
      <c r="E818" t="s">
        <v>50</v>
      </c>
      <c r="F818" t="s">
        <v>78</v>
      </c>
      <c r="G818" t="s">
        <v>94</v>
      </c>
      <c r="H818" t="s">
        <v>148</v>
      </c>
      <c r="I818" t="s">
        <v>3936</v>
      </c>
      <c r="J818" t="s">
        <v>96</v>
      </c>
      <c r="K818" t="s">
        <v>39</v>
      </c>
      <c r="L818" t="s">
        <v>3937</v>
      </c>
      <c r="M818">
        <v>65.209999999999994</v>
      </c>
      <c r="N818">
        <v>84</v>
      </c>
      <c r="O818" t="s">
        <v>2060</v>
      </c>
      <c r="P818" t="s">
        <v>42</v>
      </c>
      <c r="Q818" t="s">
        <v>120</v>
      </c>
      <c r="R818" t="s">
        <v>153</v>
      </c>
      <c r="S818" t="s">
        <v>45</v>
      </c>
      <c r="T818" t="s">
        <v>183</v>
      </c>
      <c r="U818">
        <v>331</v>
      </c>
      <c r="V818">
        <v>387</v>
      </c>
      <c r="W818">
        <v>8</v>
      </c>
      <c r="X818">
        <v>817.07</v>
      </c>
      <c r="Y818">
        <v>330.69</v>
      </c>
      <c r="Z818">
        <v>1147.76</v>
      </c>
      <c r="AA818" t="s">
        <v>63</v>
      </c>
      <c r="AB818">
        <v>0</v>
      </c>
      <c r="AC818">
        <v>71.290000000000006</v>
      </c>
      <c r="AD818">
        <v>203</v>
      </c>
      <c r="AE818">
        <v>237</v>
      </c>
    </row>
    <row r="819" spans="1:31" x14ac:dyDescent="0.25">
      <c r="A819" t="s">
        <v>3938</v>
      </c>
      <c r="B819" t="s">
        <v>3939</v>
      </c>
      <c r="C819" s="1">
        <v>45356</v>
      </c>
      <c r="D819" s="1">
        <v>44047</v>
      </c>
      <c r="E819" t="s">
        <v>66</v>
      </c>
      <c r="F819" t="s">
        <v>147</v>
      </c>
      <c r="G819" t="s">
        <v>79</v>
      </c>
      <c r="H819" t="s">
        <v>36</v>
      </c>
      <c r="I819" t="s">
        <v>3940</v>
      </c>
      <c r="J819" t="s">
        <v>96</v>
      </c>
      <c r="K819" t="s">
        <v>97</v>
      </c>
      <c r="L819" t="s">
        <v>158</v>
      </c>
      <c r="M819">
        <v>68.13</v>
      </c>
      <c r="N819">
        <v>3</v>
      </c>
      <c r="O819" t="s">
        <v>1282</v>
      </c>
      <c r="P819" t="s">
        <v>42</v>
      </c>
      <c r="Q819" t="s">
        <v>558</v>
      </c>
      <c r="R819" t="s">
        <v>61</v>
      </c>
      <c r="S819" t="s">
        <v>74</v>
      </c>
      <c r="T819" t="s">
        <v>273</v>
      </c>
      <c r="U819">
        <v>2815</v>
      </c>
      <c r="V819">
        <v>384</v>
      </c>
      <c r="W819">
        <v>19</v>
      </c>
      <c r="X819">
        <v>105.04</v>
      </c>
      <c r="Y819">
        <v>144.71</v>
      </c>
      <c r="Z819">
        <v>249.75</v>
      </c>
      <c r="AA819" t="s">
        <v>63</v>
      </c>
      <c r="AB819">
        <v>0</v>
      </c>
      <c r="AC819">
        <v>85.97</v>
      </c>
      <c r="AD819">
        <v>419</v>
      </c>
      <c r="AE819">
        <v>417</v>
      </c>
    </row>
    <row r="820" spans="1:31" x14ac:dyDescent="0.25">
      <c r="A820" t="s">
        <v>3941</v>
      </c>
      <c r="B820" t="s">
        <v>3942</v>
      </c>
      <c r="C820" s="1">
        <v>43890</v>
      </c>
      <c r="D820" s="1">
        <v>44126</v>
      </c>
      <c r="E820" t="s">
        <v>50</v>
      </c>
      <c r="F820" t="s">
        <v>147</v>
      </c>
      <c r="G820" t="s">
        <v>35</v>
      </c>
      <c r="H820" t="s">
        <v>218</v>
      </c>
      <c r="I820" t="s">
        <v>3943</v>
      </c>
      <c r="J820" t="s">
        <v>96</v>
      </c>
      <c r="K820" t="s">
        <v>83</v>
      </c>
      <c r="L820" t="s">
        <v>3944</v>
      </c>
      <c r="M820">
        <v>424.11</v>
      </c>
      <c r="N820">
        <v>24</v>
      </c>
      <c r="O820" t="s">
        <v>1471</v>
      </c>
      <c r="P820" t="s">
        <v>142</v>
      </c>
      <c r="Q820" t="s">
        <v>488</v>
      </c>
      <c r="R820" t="s">
        <v>61</v>
      </c>
      <c r="S820" t="s">
        <v>89</v>
      </c>
      <c r="T820" t="s">
        <v>62</v>
      </c>
      <c r="U820">
        <v>669</v>
      </c>
      <c r="V820">
        <v>336</v>
      </c>
      <c r="W820">
        <v>29</v>
      </c>
      <c r="X820">
        <v>498.52</v>
      </c>
      <c r="Y820">
        <v>79.040000000000006</v>
      </c>
      <c r="Z820">
        <v>577.55999999999995</v>
      </c>
      <c r="AA820" t="s">
        <v>63</v>
      </c>
      <c r="AB820">
        <v>0</v>
      </c>
      <c r="AC820">
        <v>72.58</v>
      </c>
      <c r="AD820">
        <v>464</v>
      </c>
      <c r="AE820">
        <v>441</v>
      </c>
    </row>
    <row r="821" spans="1:31" x14ac:dyDescent="0.25">
      <c r="A821" t="s">
        <v>3945</v>
      </c>
      <c r="B821" t="s">
        <v>3946</v>
      </c>
      <c r="C821" s="1">
        <v>45548</v>
      </c>
      <c r="D821" s="1">
        <v>45396</v>
      </c>
      <c r="E821" t="s">
        <v>50</v>
      </c>
      <c r="F821" t="s">
        <v>93</v>
      </c>
      <c r="G821" t="s">
        <v>337</v>
      </c>
      <c r="H821" t="s">
        <v>164</v>
      </c>
      <c r="I821" t="s">
        <v>3947</v>
      </c>
      <c r="J821" t="s">
        <v>55</v>
      </c>
      <c r="K821" t="s">
        <v>70</v>
      </c>
      <c r="L821" t="s">
        <v>3948</v>
      </c>
      <c r="M821">
        <v>497.02</v>
      </c>
      <c r="N821">
        <v>49</v>
      </c>
      <c r="O821" t="s">
        <v>3949</v>
      </c>
      <c r="P821" t="s">
        <v>86</v>
      </c>
      <c r="Q821" t="s">
        <v>189</v>
      </c>
      <c r="R821" t="s">
        <v>61</v>
      </c>
      <c r="S821" t="s">
        <v>45</v>
      </c>
      <c r="T821" t="s">
        <v>203</v>
      </c>
      <c r="U821">
        <v>105</v>
      </c>
      <c r="V821">
        <v>293</v>
      </c>
      <c r="W821">
        <v>2</v>
      </c>
      <c r="X821">
        <v>1905.3</v>
      </c>
      <c r="Y821">
        <v>415.64</v>
      </c>
      <c r="Z821">
        <v>2320.94</v>
      </c>
      <c r="AA821" t="s">
        <v>63</v>
      </c>
      <c r="AB821">
        <v>0</v>
      </c>
      <c r="AC821">
        <v>84.64</v>
      </c>
      <c r="AD821">
        <v>149</v>
      </c>
      <c r="AE821">
        <v>132</v>
      </c>
    </row>
    <row r="822" spans="1:31" x14ac:dyDescent="0.25">
      <c r="A822" t="s">
        <v>3950</v>
      </c>
      <c r="B822" t="s">
        <v>3951</v>
      </c>
      <c r="C822" s="1">
        <v>43969</v>
      </c>
      <c r="D822" s="1">
        <v>44477</v>
      </c>
      <c r="E822" t="s">
        <v>33</v>
      </c>
      <c r="F822" t="s">
        <v>93</v>
      </c>
      <c r="G822" t="s">
        <v>105</v>
      </c>
      <c r="H822" t="s">
        <v>164</v>
      </c>
      <c r="I822" t="s">
        <v>3952</v>
      </c>
      <c r="J822" t="s">
        <v>107</v>
      </c>
      <c r="K822" t="s">
        <v>83</v>
      </c>
      <c r="L822" t="s">
        <v>3953</v>
      </c>
      <c r="M822">
        <v>207.91</v>
      </c>
      <c r="N822">
        <v>98</v>
      </c>
      <c r="O822" t="s">
        <v>3286</v>
      </c>
      <c r="P822" t="s">
        <v>142</v>
      </c>
      <c r="Q822" t="s">
        <v>488</v>
      </c>
      <c r="R822" t="s">
        <v>61</v>
      </c>
      <c r="S822" t="s">
        <v>101</v>
      </c>
      <c r="T822" t="s">
        <v>112</v>
      </c>
      <c r="U822">
        <v>51</v>
      </c>
      <c r="V822">
        <v>493</v>
      </c>
      <c r="W822">
        <v>4</v>
      </c>
      <c r="X822">
        <v>1207.58</v>
      </c>
      <c r="Y822">
        <v>88.38</v>
      </c>
      <c r="Z822">
        <v>1295.96</v>
      </c>
      <c r="AA822" t="s">
        <v>63</v>
      </c>
      <c r="AB822">
        <v>0</v>
      </c>
      <c r="AC822">
        <v>92.4</v>
      </c>
      <c r="AD822">
        <v>345</v>
      </c>
      <c r="AE822">
        <v>364</v>
      </c>
    </row>
    <row r="823" spans="1:31" x14ac:dyDescent="0.25">
      <c r="A823" t="s">
        <v>3954</v>
      </c>
      <c r="B823" t="s">
        <v>3955</v>
      </c>
      <c r="C823" s="1">
        <v>43873</v>
      </c>
      <c r="D823" s="1">
        <v>44583</v>
      </c>
      <c r="E823" t="s">
        <v>66</v>
      </c>
      <c r="F823" t="s">
        <v>51</v>
      </c>
      <c r="G823" t="s">
        <v>35</v>
      </c>
      <c r="H823" t="s">
        <v>116</v>
      </c>
      <c r="I823" t="s">
        <v>3956</v>
      </c>
      <c r="J823" t="s">
        <v>96</v>
      </c>
      <c r="K823" t="s">
        <v>97</v>
      </c>
      <c r="L823" t="s">
        <v>1909</v>
      </c>
      <c r="M823">
        <v>52.29</v>
      </c>
      <c r="N823">
        <v>52</v>
      </c>
      <c r="O823" t="s">
        <v>3957</v>
      </c>
      <c r="P823" t="s">
        <v>86</v>
      </c>
      <c r="Q823" t="s">
        <v>261</v>
      </c>
      <c r="R823" t="s">
        <v>61</v>
      </c>
      <c r="S823" t="s">
        <v>101</v>
      </c>
      <c r="T823" t="s">
        <v>933</v>
      </c>
      <c r="U823">
        <v>102</v>
      </c>
      <c r="V823">
        <v>346</v>
      </c>
      <c r="W823">
        <v>3</v>
      </c>
      <c r="X823">
        <v>530.97</v>
      </c>
      <c r="Y823">
        <v>78.86</v>
      </c>
      <c r="Z823">
        <v>609.83000000000004</v>
      </c>
      <c r="AA823" t="s">
        <v>63</v>
      </c>
      <c r="AB823">
        <v>0</v>
      </c>
      <c r="AC823">
        <v>92.94</v>
      </c>
      <c r="AD823">
        <v>363</v>
      </c>
      <c r="AE823">
        <v>398</v>
      </c>
    </row>
    <row r="824" spans="1:31" x14ac:dyDescent="0.25">
      <c r="A824" t="s">
        <v>3958</v>
      </c>
      <c r="B824" t="s">
        <v>3959</v>
      </c>
      <c r="C824" s="1">
        <v>45084</v>
      </c>
      <c r="D824" s="1">
        <v>45171</v>
      </c>
      <c r="E824" t="s">
        <v>50</v>
      </c>
      <c r="F824" t="s">
        <v>34</v>
      </c>
      <c r="G824" t="s">
        <v>337</v>
      </c>
      <c r="H824" t="s">
        <v>68</v>
      </c>
      <c r="I824" t="s">
        <v>3960</v>
      </c>
      <c r="J824" t="s">
        <v>55</v>
      </c>
      <c r="K824" t="s">
        <v>70</v>
      </c>
      <c r="L824" t="s">
        <v>3463</v>
      </c>
      <c r="M824">
        <v>165.29</v>
      </c>
      <c r="N824">
        <v>86</v>
      </c>
      <c r="O824" t="s">
        <v>1840</v>
      </c>
      <c r="P824" t="s">
        <v>110</v>
      </c>
      <c r="Q824" t="s">
        <v>175</v>
      </c>
      <c r="R824" t="s">
        <v>88</v>
      </c>
      <c r="S824" t="s">
        <v>74</v>
      </c>
      <c r="T824" t="s">
        <v>203</v>
      </c>
      <c r="U824">
        <v>3622</v>
      </c>
      <c r="V824">
        <v>482</v>
      </c>
      <c r="W824">
        <v>8</v>
      </c>
      <c r="X824">
        <v>1496.64</v>
      </c>
      <c r="Y824">
        <v>212.47</v>
      </c>
      <c r="Z824">
        <v>1709.11</v>
      </c>
      <c r="AA824" t="s">
        <v>63</v>
      </c>
      <c r="AB824">
        <v>0</v>
      </c>
      <c r="AC824">
        <v>72.63</v>
      </c>
      <c r="AD824">
        <v>276</v>
      </c>
      <c r="AE824">
        <v>320</v>
      </c>
    </row>
    <row r="825" spans="1:31" x14ac:dyDescent="0.25">
      <c r="A825" t="s">
        <v>3961</v>
      </c>
      <c r="B825" t="s">
        <v>3962</v>
      </c>
      <c r="C825" s="1">
        <v>45304</v>
      </c>
      <c r="D825" s="1">
        <v>44729</v>
      </c>
      <c r="E825" t="s">
        <v>66</v>
      </c>
      <c r="F825" t="s">
        <v>51</v>
      </c>
      <c r="G825" t="s">
        <v>94</v>
      </c>
      <c r="H825" t="s">
        <v>116</v>
      </c>
      <c r="I825" t="s">
        <v>3963</v>
      </c>
      <c r="J825" t="s">
        <v>96</v>
      </c>
      <c r="K825" t="s">
        <v>97</v>
      </c>
      <c r="L825" t="s">
        <v>3964</v>
      </c>
      <c r="M825">
        <v>469.89</v>
      </c>
      <c r="N825">
        <v>12</v>
      </c>
      <c r="O825" t="s">
        <v>3427</v>
      </c>
      <c r="P825" t="s">
        <v>42</v>
      </c>
      <c r="Q825" t="s">
        <v>371</v>
      </c>
      <c r="R825" t="s">
        <v>153</v>
      </c>
      <c r="S825" t="s">
        <v>128</v>
      </c>
      <c r="T825" t="s">
        <v>542</v>
      </c>
      <c r="U825">
        <v>2288</v>
      </c>
      <c r="V825">
        <v>229</v>
      </c>
      <c r="W825">
        <v>15</v>
      </c>
      <c r="X825">
        <v>1177.3900000000001</v>
      </c>
      <c r="Y825">
        <v>57.53</v>
      </c>
      <c r="Z825">
        <v>1234.92</v>
      </c>
      <c r="AA825" t="s">
        <v>63</v>
      </c>
      <c r="AB825">
        <v>0</v>
      </c>
      <c r="AC825">
        <v>84.88</v>
      </c>
      <c r="AD825">
        <v>94</v>
      </c>
      <c r="AE825">
        <v>102</v>
      </c>
    </row>
    <row r="826" spans="1:31" x14ac:dyDescent="0.25">
      <c r="A826" t="s">
        <v>3965</v>
      </c>
      <c r="B826" t="s">
        <v>3966</v>
      </c>
      <c r="C826" s="1">
        <v>45159</v>
      </c>
      <c r="D826" s="1">
        <v>45537</v>
      </c>
      <c r="E826" t="s">
        <v>33</v>
      </c>
      <c r="F826" t="s">
        <v>51</v>
      </c>
      <c r="G826" t="s">
        <v>79</v>
      </c>
      <c r="H826" t="s">
        <v>53</v>
      </c>
      <c r="I826" t="s">
        <v>3967</v>
      </c>
      <c r="J826" t="s">
        <v>55</v>
      </c>
      <c r="K826" t="s">
        <v>83</v>
      </c>
      <c r="L826" t="s">
        <v>3968</v>
      </c>
      <c r="M826">
        <v>70.23</v>
      </c>
      <c r="N826">
        <v>17</v>
      </c>
      <c r="O826" t="s">
        <v>233</v>
      </c>
      <c r="P826" t="s">
        <v>86</v>
      </c>
      <c r="Q826" t="s">
        <v>168</v>
      </c>
      <c r="R826" t="s">
        <v>44</v>
      </c>
      <c r="S826" t="s">
        <v>128</v>
      </c>
      <c r="T826" t="s">
        <v>242</v>
      </c>
      <c r="U826">
        <v>4072</v>
      </c>
      <c r="V826">
        <v>211</v>
      </c>
      <c r="W826">
        <v>9</v>
      </c>
      <c r="X826">
        <v>454.83</v>
      </c>
      <c r="Y826">
        <v>369.51</v>
      </c>
      <c r="Z826">
        <v>824.33999999999992</v>
      </c>
      <c r="AA826" t="s">
        <v>63</v>
      </c>
      <c r="AB826">
        <v>0</v>
      </c>
      <c r="AC826">
        <v>74.319999999999993</v>
      </c>
      <c r="AD826">
        <v>224</v>
      </c>
      <c r="AE826">
        <v>217</v>
      </c>
    </row>
    <row r="827" spans="1:31" x14ac:dyDescent="0.25">
      <c r="A827" t="s">
        <v>3969</v>
      </c>
      <c r="B827" t="s">
        <v>3970</v>
      </c>
      <c r="C827" s="1">
        <v>44584</v>
      </c>
      <c r="D827" s="1">
        <v>45017</v>
      </c>
      <c r="E827" t="s">
        <v>66</v>
      </c>
      <c r="F827" t="s">
        <v>51</v>
      </c>
      <c r="G827" t="s">
        <v>94</v>
      </c>
      <c r="H827" t="s">
        <v>68</v>
      </c>
      <c r="I827" t="s">
        <v>3971</v>
      </c>
      <c r="J827" t="s">
        <v>107</v>
      </c>
      <c r="K827" t="s">
        <v>70</v>
      </c>
      <c r="L827" t="s">
        <v>3972</v>
      </c>
      <c r="M827">
        <v>417.19</v>
      </c>
      <c r="N827">
        <v>54</v>
      </c>
      <c r="O827" t="s">
        <v>1313</v>
      </c>
      <c r="P827" t="s">
        <v>42</v>
      </c>
      <c r="Q827" t="s">
        <v>706</v>
      </c>
      <c r="R827" t="s">
        <v>153</v>
      </c>
      <c r="S827" t="s">
        <v>101</v>
      </c>
      <c r="T827" t="s">
        <v>249</v>
      </c>
      <c r="U827">
        <v>1674</v>
      </c>
      <c r="V827">
        <v>320</v>
      </c>
      <c r="W827">
        <v>18</v>
      </c>
      <c r="X827">
        <v>761.53</v>
      </c>
      <c r="Y827">
        <v>482.71</v>
      </c>
      <c r="Z827">
        <v>1244.24</v>
      </c>
      <c r="AA827" t="s">
        <v>63</v>
      </c>
      <c r="AB827">
        <v>0</v>
      </c>
      <c r="AC827">
        <v>81.150000000000006</v>
      </c>
      <c r="AD827">
        <v>311</v>
      </c>
      <c r="AE827">
        <v>289</v>
      </c>
    </row>
    <row r="828" spans="1:31" x14ac:dyDescent="0.25">
      <c r="A828" t="s">
        <v>3973</v>
      </c>
      <c r="B828" t="s">
        <v>417</v>
      </c>
      <c r="C828" s="1">
        <v>44164</v>
      </c>
      <c r="D828" s="1">
        <v>45343</v>
      </c>
      <c r="E828" t="s">
        <v>50</v>
      </c>
      <c r="F828" t="s">
        <v>51</v>
      </c>
      <c r="G828" t="s">
        <v>337</v>
      </c>
      <c r="H828" t="s">
        <v>80</v>
      </c>
      <c r="I828" t="s">
        <v>3974</v>
      </c>
      <c r="J828" t="s">
        <v>107</v>
      </c>
      <c r="K828" t="s">
        <v>70</v>
      </c>
      <c r="L828" t="s">
        <v>3975</v>
      </c>
      <c r="M828">
        <v>39.380000000000003</v>
      </c>
      <c r="N828">
        <v>70</v>
      </c>
      <c r="O828" t="s">
        <v>3035</v>
      </c>
      <c r="P828" t="s">
        <v>110</v>
      </c>
      <c r="Q828" t="s">
        <v>182</v>
      </c>
      <c r="R828" t="s">
        <v>61</v>
      </c>
      <c r="S828" t="s">
        <v>89</v>
      </c>
      <c r="T828" t="s">
        <v>933</v>
      </c>
      <c r="U828">
        <v>4265</v>
      </c>
      <c r="V828">
        <v>128</v>
      </c>
      <c r="W828">
        <v>23</v>
      </c>
      <c r="X828">
        <v>1201.31</v>
      </c>
      <c r="Y828">
        <v>311.97000000000003</v>
      </c>
      <c r="Z828">
        <v>1513.28</v>
      </c>
      <c r="AA828" t="s">
        <v>63</v>
      </c>
      <c r="AB828">
        <v>0</v>
      </c>
      <c r="AC828">
        <v>87.03</v>
      </c>
      <c r="AD828">
        <v>407</v>
      </c>
      <c r="AE828">
        <v>358</v>
      </c>
    </row>
    <row r="829" spans="1:31" x14ac:dyDescent="0.25">
      <c r="A829" t="s">
        <v>3976</v>
      </c>
      <c r="B829" t="s">
        <v>1776</v>
      </c>
      <c r="C829" s="1">
        <v>44070</v>
      </c>
      <c r="D829" s="1">
        <v>44443</v>
      </c>
      <c r="E829" t="s">
        <v>66</v>
      </c>
      <c r="F829" t="s">
        <v>51</v>
      </c>
      <c r="G829" t="s">
        <v>79</v>
      </c>
      <c r="H829" t="s">
        <v>148</v>
      </c>
      <c r="I829" t="s">
        <v>3977</v>
      </c>
      <c r="J829" t="s">
        <v>107</v>
      </c>
      <c r="K829" t="s">
        <v>83</v>
      </c>
      <c r="L829" t="s">
        <v>3978</v>
      </c>
      <c r="M829">
        <v>86.36</v>
      </c>
      <c r="N829">
        <v>92</v>
      </c>
      <c r="O829" t="s">
        <v>535</v>
      </c>
      <c r="P829" t="s">
        <v>142</v>
      </c>
      <c r="Q829" t="s">
        <v>700</v>
      </c>
      <c r="R829" t="s">
        <v>153</v>
      </c>
      <c r="S829" t="s">
        <v>45</v>
      </c>
      <c r="T829" t="s">
        <v>372</v>
      </c>
      <c r="U829">
        <v>3247</v>
      </c>
      <c r="V829">
        <v>75</v>
      </c>
      <c r="W829">
        <v>5</v>
      </c>
      <c r="X829">
        <v>1774.73</v>
      </c>
      <c r="Y829">
        <v>199.97</v>
      </c>
      <c r="Z829">
        <v>1974.7</v>
      </c>
      <c r="AA829" t="s">
        <v>63</v>
      </c>
      <c r="AB829">
        <v>0</v>
      </c>
      <c r="AC829">
        <v>78.099999999999994</v>
      </c>
      <c r="AD829">
        <v>364</v>
      </c>
      <c r="AE829">
        <v>314</v>
      </c>
    </row>
    <row r="830" spans="1:31" x14ac:dyDescent="0.25">
      <c r="A830" t="s">
        <v>3979</v>
      </c>
      <c r="B830" t="s">
        <v>3980</v>
      </c>
      <c r="C830" s="1">
        <v>44822</v>
      </c>
      <c r="D830" s="1">
        <v>45074</v>
      </c>
      <c r="E830" t="s">
        <v>66</v>
      </c>
      <c r="F830" t="s">
        <v>34</v>
      </c>
      <c r="G830" t="s">
        <v>94</v>
      </c>
      <c r="H830" t="s">
        <v>80</v>
      </c>
      <c r="I830" t="s">
        <v>3981</v>
      </c>
      <c r="J830" t="s">
        <v>82</v>
      </c>
      <c r="K830" t="s">
        <v>39</v>
      </c>
      <c r="L830" t="s">
        <v>3982</v>
      </c>
      <c r="M830">
        <v>8.02</v>
      </c>
      <c r="N830">
        <v>60</v>
      </c>
      <c r="O830" t="s">
        <v>1359</v>
      </c>
      <c r="P830" t="s">
        <v>110</v>
      </c>
      <c r="Q830" t="s">
        <v>383</v>
      </c>
      <c r="R830" t="s">
        <v>44</v>
      </c>
      <c r="S830" t="s">
        <v>45</v>
      </c>
      <c r="T830" t="s">
        <v>169</v>
      </c>
      <c r="U830">
        <v>3128</v>
      </c>
      <c r="V830">
        <v>137</v>
      </c>
      <c r="W830">
        <v>14</v>
      </c>
      <c r="X830">
        <v>1934.88</v>
      </c>
      <c r="Y830">
        <v>420.1</v>
      </c>
      <c r="Z830">
        <v>2354.98</v>
      </c>
      <c r="AA830" t="s">
        <v>63</v>
      </c>
      <c r="AB830">
        <v>0</v>
      </c>
      <c r="AC830">
        <v>85.61</v>
      </c>
      <c r="AD830">
        <v>173</v>
      </c>
      <c r="AE830">
        <v>181</v>
      </c>
    </row>
    <row r="831" spans="1:31" x14ac:dyDescent="0.25">
      <c r="A831" t="s">
        <v>3983</v>
      </c>
      <c r="B831" t="s">
        <v>3984</v>
      </c>
      <c r="C831" s="1">
        <v>45521</v>
      </c>
      <c r="D831" s="1">
        <v>44124</v>
      </c>
      <c r="E831" t="s">
        <v>66</v>
      </c>
      <c r="F831" t="s">
        <v>147</v>
      </c>
      <c r="G831" t="s">
        <v>115</v>
      </c>
      <c r="H831" t="s">
        <v>148</v>
      </c>
      <c r="I831" t="s">
        <v>3985</v>
      </c>
      <c r="J831" t="s">
        <v>38</v>
      </c>
      <c r="K831" t="s">
        <v>83</v>
      </c>
      <c r="L831" t="s">
        <v>3986</v>
      </c>
      <c r="M831">
        <v>296.45</v>
      </c>
      <c r="N831">
        <v>23</v>
      </c>
      <c r="O831" t="s">
        <v>3987</v>
      </c>
      <c r="P831" t="s">
        <v>110</v>
      </c>
      <c r="Q831" t="s">
        <v>340</v>
      </c>
      <c r="R831" t="s">
        <v>44</v>
      </c>
      <c r="S831" t="s">
        <v>89</v>
      </c>
      <c r="T831" t="s">
        <v>129</v>
      </c>
      <c r="U831">
        <v>3683</v>
      </c>
      <c r="V831">
        <v>218</v>
      </c>
      <c r="W831">
        <v>21</v>
      </c>
      <c r="X831">
        <v>1107.03</v>
      </c>
      <c r="Y831">
        <v>384.46</v>
      </c>
      <c r="Z831">
        <v>1491.49</v>
      </c>
      <c r="AA831" t="s">
        <v>63</v>
      </c>
      <c r="AB831">
        <v>0</v>
      </c>
      <c r="AC831">
        <v>91.38</v>
      </c>
      <c r="AD831">
        <v>206</v>
      </c>
      <c r="AE831">
        <v>170</v>
      </c>
    </row>
    <row r="832" spans="1:31" x14ac:dyDescent="0.25">
      <c r="A832" t="s">
        <v>3988</v>
      </c>
      <c r="B832" t="s">
        <v>3989</v>
      </c>
      <c r="C832" s="1">
        <v>45399</v>
      </c>
      <c r="D832" s="1">
        <v>44498</v>
      </c>
      <c r="E832" t="s">
        <v>33</v>
      </c>
      <c r="F832" t="s">
        <v>51</v>
      </c>
      <c r="G832" t="s">
        <v>105</v>
      </c>
      <c r="H832" t="s">
        <v>68</v>
      </c>
      <c r="I832" t="s">
        <v>3990</v>
      </c>
      <c r="J832" t="s">
        <v>38</v>
      </c>
      <c r="K832" t="s">
        <v>70</v>
      </c>
      <c r="L832" t="s">
        <v>3991</v>
      </c>
      <c r="M832">
        <v>419.85</v>
      </c>
      <c r="N832">
        <v>60</v>
      </c>
      <c r="O832" t="s">
        <v>1658</v>
      </c>
      <c r="P832" t="s">
        <v>59</v>
      </c>
      <c r="Q832" t="s">
        <v>364</v>
      </c>
      <c r="R832" t="s">
        <v>153</v>
      </c>
      <c r="S832" t="s">
        <v>89</v>
      </c>
      <c r="T832" t="s">
        <v>255</v>
      </c>
      <c r="U832">
        <v>1133</v>
      </c>
      <c r="V832">
        <v>247</v>
      </c>
      <c r="W832">
        <v>13</v>
      </c>
      <c r="X832">
        <v>931.22</v>
      </c>
      <c r="Y832">
        <v>63.16</v>
      </c>
      <c r="Z832">
        <v>994.38</v>
      </c>
      <c r="AA832" t="s">
        <v>63</v>
      </c>
      <c r="AB832">
        <v>0</v>
      </c>
      <c r="AC832">
        <v>80.260000000000005</v>
      </c>
      <c r="AD832">
        <v>55</v>
      </c>
      <c r="AE832">
        <v>37</v>
      </c>
    </row>
    <row r="833" spans="1:31" x14ac:dyDescent="0.25">
      <c r="A833" t="s">
        <v>3992</v>
      </c>
      <c r="B833" t="s">
        <v>3993</v>
      </c>
      <c r="C833" s="1">
        <v>44817</v>
      </c>
      <c r="D833" s="1">
        <v>45378</v>
      </c>
      <c r="E833" t="s">
        <v>66</v>
      </c>
      <c r="F833" t="s">
        <v>147</v>
      </c>
      <c r="G833" t="s">
        <v>105</v>
      </c>
      <c r="H833" t="s">
        <v>218</v>
      </c>
      <c r="I833" t="s">
        <v>3994</v>
      </c>
      <c r="J833" t="s">
        <v>107</v>
      </c>
      <c r="K833" t="s">
        <v>97</v>
      </c>
      <c r="L833" t="s">
        <v>3995</v>
      </c>
      <c r="M833">
        <v>301.7</v>
      </c>
      <c r="N833">
        <v>68</v>
      </c>
      <c r="O833" t="s">
        <v>3996</v>
      </c>
      <c r="P833" t="s">
        <v>42</v>
      </c>
      <c r="Q833" t="s">
        <v>189</v>
      </c>
      <c r="R833" t="s">
        <v>88</v>
      </c>
      <c r="S833" t="s">
        <v>74</v>
      </c>
      <c r="T833" t="s">
        <v>222</v>
      </c>
      <c r="U833">
        <v>1206</v>
      </c>
      <c r="V833">
        <v>352</v>
      </c>
      <c r="W833">
        <v>25</v>
      </c>
      <c r="X833">
        <v>537.75</v>
      </c>
      <c r="Y833">
        <v>408.6</v>
      </c>
      <c r="Z833">
        <v>946.35</v>
      </c>
      <c r="AA833" t="s">
        <v>63</v>
      </c>
      <c r="AB833">
        <v>0</v>
      </c>
      <c r="AC833">
        <v>88.79</v>
      </c>
      <c r="AD833">
        <v>203</v>
      </c>
      <c r="AE833">
        <v>206</v>
      </c>
    </row>
    <row r="834" spans="1:31" x14ac:dyDescent="0.25">
      <c r="A834" t="s">
        <v>3997</v>
      </c>
      <c r="B834" t="s">
        <v>3998</v>
      </c>
      <c r="C834" s="1">
        <v>44256</v>
      </c>
      <c r="D834" s="1">
        <v>45029</v>
      </c>
      <c r="E834" t="s">
        <v>66</v>
      </c>
      <c r="F834" t="s">
        <v>34</v>
      </c>
      <c r="G834" t="s">
        <v>52</v>
      </c>
      <c r="H834" t="s">
        <v>53</v>
      </c>
      <c r="I834" t="s">
        <v>3999</v>
      </c>
      <c r="J834" t="s">
        <v>82</v>
      </c>
      <c r="K834" t="s">
        <v>39</v>
      </c>
      <c r="L834" t="s">
        <v>4000</v>
      </c>
      <c r="M834">
        <v>51.22</v>
      </c>
      <c r="N834">
        <v>24</v>
      </c>
      <c r="O834" t="s">
        <v>2191</v>
      </c>
      <c r="P834" t="s">
        <v>59</v>
      </c>
      <c r="Q834" t="s">
        <v>228</v>
      </c>
      <c r="R834" t="s">
        <v>88</v>
      </c>
      <c r="S834" t="s">
        <v>89</v>
      </c>
      <c r="T834" t="s">
        <v>1261</v>
      </c>
      <c r="U834">
        <v>307</v>
      </c>
      <c r="V834">
        <v>165</v>
      </c>
      <c r="W834">
        <v>19</v>
      </c>
      <c r="X834">
        <v>1864.77</v>
      </c>
      <c r="Y834">
        <v>220.82</v>
      </c>
      <c r="Z834">
        <v>2085.59</v>
      </c>
      <c r="AA834" t="s">
        <v>63</v>
      </c>
      <c r="AB834">
        <v>0</v>
      </c>
      <c r="AC834">
        <v>77.36</v>
      </c>
      <c r="AD834">
        <v>88</v>
      </c>
      <c r="AE834">
        <v>122</v>
      </c>
    </row>
    <row r="835" spans="1:31" x14ac:dyDescent="0.25">
      <c r="A835" t="s">
        <v>4001</v>
      </c>
      <c r="B835" t="s">
        <v>4002</v>
      </c>
      <c r="C835" s="1">
        <v>43968</v>
      </c>
      <c r="D835" s="1">
        <v>45110</v>
      </c>
      <c r="E835" t="s">
        <v>66</v>
      </c>
      <c r="F835" t="s">
        <v>34</v>
      </c>
      <c r="G835" t="s">
        <v>67</v>
      </c>
      <c r="H835" t="s">
        <v>116</v>
      </c>
      <c r="I835" t="s">
        <v>4003</v>
      </c>
      <c r="J835" t="s">
        <v>55</v>
      </c>
      <c r="K835" t="s">
        <v>39</v>
      </c>
      <c r="L835" t="s">
        <v>4004</v>
      </c>
      <c r="M835">
        <v>315.79000000000002</v>
      </c>
      <c r="N835">
        <v>49</v>
      </c>
      <c r="O835" t="s">
        <v>2494</v>
      </c>
      <c r="P835" t="s">
        <v>86</v>
      </c>
      <c r="Q835" t="s">
        <v>926</v>
      </c>
      <c r="R835" t="s">
        <v>88</v>
      </c>
      <c r="S835" t="s">
        <v>101</v>
      </c>
      <c r="T835" t="s">
        <v>1339</v>
      </c>
      <c r="U835">
        <v>1690</v>
      </c>
      <c r="V835">
        <v>326</v>
      </c>
      <c r="W835">
        <v>24</v>
      </c>
      <c r="X835">
        <v>649.11</v>
      </c>
      <c r="Y835">
        <v>70.290000000000006</v>
      </c>
      <c r="Z835">
        <v>719.4</v>
      </c>
      <c r="AA835" t="s">
        <v>63</v>
      </c>
      <c r="AB835">
        <v>0</v>
      </c>
      <c r="AC835">
        <v>71.42</v>
      </c>
      <c r="AD835">
        <v>437</v>
      </c>
      <c r="AE835">
        <v>451</v>
      </c>
    </row>
    <row r="836" spans="1:31" x14ac:dyDescent="0.25">
      <c r="A836" t="s">
        <v>4005</v>
      </c>
      <c r="B836" t="s">
        <v>4006</v>
      </c>
      <c r="C836" s="1">
        <v>43877</v>
      </c>
      <c r="D836" s="1">
        <v>44557</v>
      </c>
      <c r="E836" t="s">
        <v>50</v>
      </c>
      <c r="F836" t="s">
        <v>34</v>
      </c>
      <c r="G836" t="s">
        <v>52</v>
      </c>
      <c r="H836" t="s">
        <v>148</v>
      </c>
      <c r="I836" t="s">
        <v>4007</v>
      </c>
      <c r="J836" t="s">
        <v>82</v>
      </c>
      <c r="K836" t="s">
        <v>70</v>
      </c>
      <c r="L836" t="s">
        <v>4008</v>
      </c>
      <c r="M836">
        <v>478.49</v>
      </c>
      <c r="N836">
        <v>67</v>
      </c>
      <c r="O836" t="s">
        <v>1383</v>
      </c>
      <c r="P836" t="s">
        <v>142</v>
      </c>
      <c r="Q836" t="s">
        <v>340</v>
      </c>
      <c r="R836" t="s">
        <v>88</v>
      </c>
      <c r="S836" t="s">
        <v>74</v>
      </c>
      <c r="T836" t="s">
        <v>297</v>
      </c>
      <c r="U836">
        <v>4015</v>
      </c>
      <c r="V836">
        <v>479</v>
      </c>
      <c r="W836">
        <v>2</v>
      </c>
      <c r="X836">
        <v>1755.17</v>
      </c>
      <c r="Y836">
        <v>276.38</v>
      </c>
      <c r="Z836">
        <v>2031.55</v>
      </c>
      <c r="AA836" t="s">
        <v>63</v>
      </c>
      <c r="AB836">
        <v>0</v>
      </c>
      <c r="AC836">
        <v>99.61</v>
      </c>
      <c r="AD836">
        <v>447</v>
      </c>
      <c r="AE836">
        <v>489</v>
      </c>
    </row>
    <row r="837" spans="1:31" x14ac:dyDescent="0.25">
      <c r="A837" t="s">
        <v>4009</v>
      </c>
      <c r="B837" t="s">
        <v>4010</v>
      </c>
      <c r="C837" s="1">
        <v>45603</v>
      </c>
      <c r="D837" s="1">
        <v>44688</v>
      </c>
      <c r="E837" t="s">
        <v>66</v>
      </c>
      <c r="F837" t="s">
        <v>147</v>
      </c>
      <c r="G837" t="s">
        <v>79</v>
      </c>
      <c r="H837" t="s">
        <v>164</v>
      </c>
      <c r="I837" t="s">
        <v>4011</v>
      </c>
      <c r="J837" t="s">
        <v>38</v>
      </c>
      <c r="K837" t="s">
        <v>83</v>
      </c>
      <c r="L837" t="s">
        <v>4012</v>
      </c>
      <c r="M837">
        <v>369.88</v>
      </c>
      <c r="N837">
        <v>19</v>
      </c>
      <c r="O837" t="s">
        <v>2126</v>
      </c>
      <c r="P837" t="s">
        <v>110</v>
      </c>
      <c r="Q837" t="s">
        <v>541</v>
      </c>
      <c r="R837" t="s">
        <v>153</v>
      </c>
      <c r="S837" t="s">
        <v>45</v>
      </c>
      <c r="T837" t="s">
        <v>530</v>
      </c>
      <c r="U837">
        <v>4671</v>
      </c>
      <c r="V837">
        <v>383</v>
      </c>
      <c r="W837">
        <v>2</v>
      </c>
      <c r="X837">
        <v>1971.48</v>
      </c>
      <c r="Y837">
        <v>110.38</v>
      </c>
      <c r="Z837">
        <v>2081.86</v>
      </c>
      <c r="AA837" t="s">
        <v>63</v>
      </c>
      <c r="AB837">
        <v>0</v>
      </c>
      <c r="AC837">
        <v>79.989999999999995</v>
      </c>
      <c r="AD837">
        <v>424</v>
      </c>
      <c r="AE837">
        <v>438</v>
      </c>
    </row>
    <row r="838" spans="1:31" x14ac:dyDescent="0.25">
      <c r="A838" t="s">
        <v>4013</v>
      </c>
      <c r="B838" t="s">
        <v>4014</v>
      </c>
      <c r="C838" s="1">
        <v>44023</v>
      </c>
      <c r="D838" s="1">
        <v>44593</v>
      </c>
      <c r="E838" t="s">
        <v>66</v>
      </c>
      <c r="F838" t="s">
        <v>147</v>
      </c>
      <c r="G838" t="s">
        <v>115</v>
      </c>
      <c r="H838" t="s">
        <v>68</v>
      </c>
      <c r="I838" t="s">
        <v>4015</v>
      </c>
      <c r="J838" t="s">
        <v>55</v>
      </c>
      <c r="K838" t="s">
        <v>56</v>
      </c>
      <c r="L838" t="s">
        <v>3001</v>
      </c>
      <c r="M838">
        <v>168.4</v>
      </c>
      <c r="N838">
        <v>27</v>
      </c>
      <c r="O838" t="s">
        <v>4016</v>
      </c>
      <c r="P838" t="s">
        <v>86</v>
      </c>
      <c r="Q838" t="s">
        <v>541</v>
      </c>
      <c r="R838" t="s">
        <v>88</v>
      </c>
      <c r="S838" t="s">
        <v>101</v>
      </c>
      <c r="T838" t="s">
        <v>249</v>
      </c>
      <c r="U838">
        <v>1016</v>
      </c>
      <c r="V838">
        <v>241</v>
      </c>
      <c r="W838">
        <v>29</v>
      </c>
      <c r="X838">
        <v>1039</v>
      </c>
      <c r="Y838">
        <v>134.07</v>
      </c>
      <c r="Z838">
        <v>1173.07</v>
      </c>
      <c r="AA838" t="s">
        <v>63</v>
      </c>
      <c r="AB838">
        <v>0</v>
      </c>
      <c r="AC838">
        <v>82.38</v>
      </c>
      <c r="AD838">
        <v>391</v>
      </c>
      <c r="AE838">
        <v>399</v>
      </c>
    </row>
    <row r="839" spans="1:31" x14ac:dyDescent="0.25">
      <c r="A839" t="s">
        <v>4017</v>
      </c>
      <c r="B839" t="s">
        <v>4018</v>
      </c>
      <c r="C839" s="1">
        <v>44094</v>
      </c>
      <c r="D839" s="1">
        <v>43983</v>
      </c>
      <c r="E839" t="s">
        <v>66</v>
      </c>
      <c r="F839" t="s">
        <v>78</v>
      </c>
      <c r="G839" t="s">
        <v>52</v>
      </c>
      <c r="H839" t="s">
        <v>116</v>
      </c>
      <c r="I839" t="s">
        <v>4019</v>
      </c>
      <c r="J839" t="s">
        <v>96</v>
      </c>
      <c r="K839" t="s">
        <v>83</v>
      </c>
      <c r="L839" t="s">
        <v>3158</v>
      </c>
      <c r="M839">
        <v>391.4</v>
      </c>
      <c r="N839">
        <v>60</v>
      </c>
      <c r="O839" t="s">
        <v>4020</v>
      </c>
      <c r="P839" t="s">
        <v>59</v>
      </c>
      <c r="Q839" t="s">
        <v>73</v>
      </c>
      <c r="R839" t="s">
        <v>153</v>
      </c>
      <c r="S839" t="s">
        <v>45</v>
      </c>
      <c r="T839" t="s">
        <v>341</v>
      </c>
      <c r="U839">
        <v>1066</v>
      </c>
      <c r="V839">
        <v>84</v>
      </c>
      <c r="W839">
        <v>2</v>
      </c>
      <c r="X839">
        <v>891.28</v>
      </c>
      <c r="Y839">
        <v>293.47000000000003</v>
      </c>
      <c r="Z839">
        <v>1184.75</v>
      </c>
      <c r="AA839" t="s">
        <v>47</v>
      </c>
      <c r="AB839">
        <v>2</v>
      </c>
      <c r="AC839">
        <v>98.25</v>
      </c>
      <c r="AD839">
        <v>198</v>
      </c>
      <c r="AE839">
        <v>169</v>
      </c>
    </row>
    <row r="840" spans="1:31" x14ac:dyDescent="0.25">
      <c r="A840" t="s">
        <v>4021</v>
      </c>
      <c r="B840" t="s">
        <v>4022</v>
      </c>
      <c r="C840" s="1">
        <v>45426</v>
      </c>
      <c r="D840" s="1">
        <v>45273</v>
      </c>
      <c r="E840" t="s">
        <v>50</v>
      </c>
      <c r="F840" t="s">
        <v>147</v>
      </c>
      <c r="G840" t="s">
        <v>105</v>
      </c>
      <c r="H840" t="s">
        <v>36</v>
      </c>
      <c r="I840" t="s">
        <v>4023</v>
      </c>
      <c r="J840" t="s">
        <v>107</v>
      </c>
      <c r="K840" t="s">
        <v>56</v>
      </c>
      <c r="L840" t="s">
        <v>4024</v>
      </c>
      <c r="M840">
        <v>211.49</v>
      </c>
      <c r="N840">
        <v>60</v>
      </c>
      <c r="O840" t="s">
        <v>2701</v>
      </c>
      <c r="P840" t="s">
        <v>142</v>
      </c>
      <c r="Q840" t="s">
        <v>997</v>
      </c>
      <c r="R840" t="s">
        <v>88</v>
      </c>
      <c r="S840" t="s">
        <v>74</v>
      </c>
      <c r="T840" t="s">
        <v>478</v>
      </c>
      <c r="U840">
        <v>755</v>
      </c>
      <c r="V840">
        <v>175</v>
      </c>
      <c r="W840">
        <v>8</v>
      </c>
      <c r="X840">
        <v>1560.51</v>
      </c>
      <c r="Y840">
        <v>154.76</v>
      </c>
      <c r="Z840">
        <v>1715.27</v>
      </c>
      <c r="AA840" t="s">
        <v>63</v>
      </c>
      <c r="AB840">
        <v>0</v>
      </c>
      <c r="AC840">
        <v>74.77</v>
      </c>
      <c r="AD840">
        <v>336</v>
      </c>
      <c r="AE840">
        <v>380</v>
      </c>
    </row>
    <row r="841" spans="1:31" x14ac:dyDescent="0.25">
      <c r="A841" t="s">
        <v>4025</v>
      </c>
      <c r="B841" t="s">
        <v>4026</v>
      </c>
      <c r="C841" s="1">
        <v>45586</v>
      </c>
      <c r="D841" s="1">
        <v>44632</v>
      </c>
      <c r="E841" t="s">
        <v>66</v>
      </c>
      <c r="F841" t="s">
        <v>51</v>
      </c>
      <c r="G841" t="s">
        <v>337</v>
      </c>
      <c r="H841" t="s">
        <v>80</v>
      </c>
      <c r="I841" t="s">
        <v>4027</v>
      </c>
      <c r="J841" t="s">
        <v>82</v>
      </c>
      <c r="K841" t="s">
        <v>97</v>
      </c>
      <c r="L841" t="s">
        <v>4028</v>
      </c>
      <c r="M841">
        <v>109.44</v>
      </c>
      <c r="N841">
        <v>85</v>
      </c>
      <c r="O841" t="s">
        <v>4029</v>
      </c>
      <c r="P841" t="s">
        <v>142</v>
      </c>
      <c r="Q841" t="s">
        <v>488</v>
      </c>
      <c r="R841" t="s">
        <v>153</v>
      </c>
      <c r="S841" t="s">
        <v>74</v>
      </c>
      <c r="T841" t="s">
        <v>136</v>
      </c>
      <c r="U841">
        <v>2577</v>
      </c>
      <c r="V841">
        <v>286</v>
      </c>
      <c r="W841">
        <v>26</v>
      </c>
      <c r="X841">
        <v>1192.78</v>
      </c>
      <c r="Y841">
        <v>371.62</v>
      </c>
      <c r="Z841">
        <v>1564.4</v>
      </c>
      <c r="AA841" t="s">
        <v>63</v>
      </c>
      <c r="AB841">
        <v>0</v>
      </c>
      <c r="AC841">
        <v>86.36</v>
      </c>
      <c r="AD841">
        <v>221</v>
      </c>
      <c r="AE841">
        <v>185</v>
      </c>
    </row>
    <row r="842" spans="1:31" x14ac:dyDescent="0.25">
      <c r="A842" t="s">
        <v>4030</v>
      </c>
      <c r="B842" t="s">
        <v>4031</v>
      </c>
      <c r="C842" s="1">
        <v>45482</v>
      </c>
      <c r="D842" s="1">
        <v>45620</v>
      </c>
      <c r="E842" t="s">
        <v>50</v>
      </c>
      <c r="F842" t="s">
        <v>51</v>
      </c>
      <c r="G842" t="s">
        <v>94</v>
      </c>
      <c r="H842" t="s">
        <v>80</v>
      </c>
      <c r="I842" t="s">
        <v>4032</v>
      </c>
      <c r="J842" t="s">
        <v>96</v>
      </c>
      <c r="K842" t="s">
        <v>39</v>
      </c>
      <c r="L842" t="s">
        <v>2084</v>
      </c>
      <c r="M842">
        <v>301.17</v>
      </c>
      <c r="N842">
        <v>1</v>
      </c>
      <c r="O842" t="s">
        <v>119</v>
      </c>
      <c r="P842" t="s">
        <v>110</v>
      </c>
      <c r="Q842" t="s">
        <v>684</v>
      </c>
      <c r="R842" t="s">
        <v>88</v>
      </c>
      <c r="S842" t="s">
        <v>45</v>
      </c>
      <c r="T842" t="s">
        <v>415</v>
      </c>
      <c r="U842">
        <v>2883</v>
      </c>
      <c r="V842">
        <v>383</v>
      </c>
      <c r="W842">
        <v>25</v>
      </c>
      <c r="X842">
        <v>1406.72</v>
      </c>
      <c r="Y842">
        <v>73.61</v>
      </c>
      <c r="Z842">
        <v>1480.33</v>
      </c>
      <c r="AA842" t="s">
        <v>63</v>
      </c>
      <c r="AB842">
        <v>0</v>
      </c>
      <c r="AC842">
        <v>87.09</v>
      </c>
      <c r="AD842">
        <v>471</v>
      </c>
      <c r="AE842">
        <v>447</v>
      </c>
    </row>
    <row r="843" spans="1:31" x14ac:dyDescent="0.25">
      <c r="A843" t="s">
        <v>4033</v>
      </c>
      <c r="B843" t="s">
        <v>4034</v>
      </c>
      <c r="C843" s="1">
        <v>44860</v>
      </c>
      <c r="D843" s="1">
        <v>44737</v>
      </c>
      <c r="E843" t="s">
        <v>50</v>
      </c>
      <c r="F843" t="s">
        <v>93</v>
      </c>
      <c r="G843" t="s">
        <v>337</v>
      </c>
      <c r="H843" t="s">
        <v>218</v>
      </c>
      <c r="I843" t="s">
        <v>4035</v>
      </c>
      <c r="J843" t="s">
        <v>96</v>
      </c>
      <c r="K843" t="s">
        <v>39</v>
      </c>
      <c r="L843" t="s">
        <v>2785</v>
      </c>
      <c r="M843">
        <v>413.95</v>
      </c>
      <c r="N843">
        <v>82</v>
      </c>
      <c r="O843" t="s">
        <v>4020</v>
      </c>
      <c r="P843" t="s">
        <v>59</v>
      </c>
      <c r="Q843" t="s">
        <v>383</v>
      </c>
      <c r="R843" t="s">
        <v>88</v>
      </c>
      <c r="S843" t="s">
        <v>74</v>
      </c>
      <c r="T843" t="s">
        <v>508</v>
      </c>
      <c r="U843">
        <v>3074</v>
      </c>
      <c r="V843">
        <v>172</v>
      </c>
      <c r="W843">
        <v>10</v>
      </c>
      <c r="X843">
        <v>1104.43</v>
      </c>
      <c r="Y843">
        <v>195.71</v>
      </c>
      <c r="Z843">
        <v>1300.1400000000001</v>
      </c>
      <c r="AA843" t="s">
        <v>63</v>
      </c>
      <c r="AB843">
        <v>0</v>
      </c>
      <c r="AC843">
        <v>77.89</v>
      </c>
      <c r="AD843">
        <v>192</v>
      </c>
      <c r="AE843">
        <v>193</v>
      </c>
    </row>
    <row r="844" spans="1:31" x14ac:dyDescent="0.25">
      <c r="A844" t="s">
        <v>4036</v>
      </c>
      <c r="B844" t="s">
        <v>4037</v>
      </c>
      <c r="C844" s="1">
        <v>44396</v>
      </c>
      <c r="D844" s="1">
        <v>45589</v>
      </c>
      <c r="E844" t="s">
        <v>66</v>
      </c>
      <c r="F844" t="s">
        <v>34</v>
      </c>
      <c r="G844" t="s">
        <v>79</v>
      </c>
      <c r="H844" t="s">
        <v>68</v>
      </c>
      <c r="I844" t="s">
        <v>4038</v>
      </c>
      <c r="J844" t="s">
        <v>38</v>
      </c>
      <c r="K844" t="s">
        <v>97</v>
      </c>
      <c r="L844" t="s">
        <v>4039</v>
      </c>
      <c r="M844">
        <v>480.79</v>
      </c>
      <c r="N844">
        <v>83</v>
      </c>
      <c r="O844" t="s">
        <v>2521</v>
      </c>
      <c r="P844" t="s">
        <v>42</v>
      </c>
      <c r="Q844" t="s">
        <v>609</v>
      </c>
      <c r="R844" t="s">
        <v>153</v>
      </c>
      <c r="S844" t="s">
        <v>128</v>
      </c>
      <c r="T844" t="s">
        <v>1261</v>
      </c>
      <c r="U844">
        <v>4903</v>
      </c>
      <c r="V844">
        <v>420</v>
      </c>
      <c r="W844">
        <v>25</v>
      </c>
      <c r="X844">
        <v>1545.78</v>
      </c>
      <c r="Y844">
        <v>338.35</v>
      </c>
      <c r="Z844">
        <v>1884.13</v>
      </c>
      <c r="AA844" t="s">
        <v>47</v>
      </c>
      <c r="AB844">
        <v>10</v>
      </c>
      <c r="AC844">
        <v>89.06</v>
      </c>
      <c r="AD844">
        <v>414</v>
      </c>
      <c r="AE844">
        <v>393</v>
      </c>
    </row>
    <row r="845" spans="1:31" x14ac:dyDescent="0.25">
      <c r="A845" t="s">
        <v>4040</v>
      </c>
      <c r="B845" t="s">
        <v>4041</v>
      </c>
      <c r="C845" s="1">
        <v>44560</v>
      </c>
      <c r="D845" s="1">
        <v>44257</v>
      </c>
      <c r="E845" t="s">
        <v>66</v>
      </c>
      <c r="F845" t="s">
        <v>147</v>
      </c>
      <c r="G845" t="s">
        <v>79</v>
      </c>
      <c r="H845" t="s">
        <v>53</v>
      </c>
      <c r="I845" t="s">
        <v>4042</v>
      </c>
      <c r="J845" t="s">
        <v>55</v>
      </c>
      <c r="K845" t="s">
        <v>39</v>
      </c>
      <c r="L845" t="s">
        <v>4043</v>
      </c>
      <c r="M845">
        <v>152.81</v>
      </c>
      <c r="N845">
        <v>11</v>
      </c>
      <c r="O845" t="s">
        <v>4044</v>
      </c>
      <c r="P845" t="s">
        <v>59</v>
      </c>
      <c r="Q845" t="s">
        <v>73</v>
      </c>
      <c r="R845" t="s">
        <v>61</v>
      </c>
      <c r="S845" t="s">
        <v>45</v>
      </c>
      <c r="T845" t="s">
        <v>279</v>
      </c>
      <c r="U845">
        <v>1353</v>
      </c>
      <c r="V845">
        <v>370</v>
      </c>
      <c r="W845">
        <v>5</v>
      </c>
      <c r="X845">
        <v>144.84</v>
      </c>
      <c r="Y845">
        <v>366.46</v>
      </c>
      <c r="Z845">
        <v>511.3</v>
      </c>
      <c r="AA845" t="s">
        <v>63</v>
      </c>
      <c r="AB845">
        <v>0</v>
      </c>
      <c r="AC845">
        <v>75.63</v>
      </c>
      <c r="AD845">
        <v>478</v>
      </c>
      <c r="AE845">
        <v>438</v>
      </c>
    </row>
    <row r="846" spans="1:31" x14ac:dyDescent="0.25">
      <c r="A846" t="s">
        <v>4045</v>
      </c>
      <c r="B846" t="s">
        <v>4046</v>
      </c>
      <c r="C846" s="1">
        <v>45425</v>
      </c>
      <c r="D846" s="1">
        <v>43878</v>
      </c>
      <c r="E846" t="s">
        <v>66</v>
      </c>
      <c r="F846" t="s">
        <v>34</v>
      </c>
      <c r="G846" t="s">
        <v>35</v>
      </c>
      <c r="H846" t="s">
        <v>164</v>
      </c>
      <c r="I846" t="s">
        <v>4047</v>
      </c>
      <c r="J846" t="s">
        <v>107</v>
      </c>
      <c r="K846" t="s">
        <v>39</v>
      </c>
      <c r="L846" t="s">
        <v>4048</v>
      </c>
      <c r="M846">
        <v>207.61</v>
      </c>
      <c r="N846">
        <v>10</v>
      </c>
      <c r="O846" t="s">
        <v>4049</v>
      </c>
      <c r="P846" t="s">
        <v>42</v>
      </c>
      <c r="Q846" t="s">
        <v>160</v>
      </c>
      <c r="R846" t="s">
        <v>61</v>
      </c>
      <c r="S846" t="s">
        <v>101</v>
      </c>
      <c r="T846" t="s">
        <v>372</v>
      </c>
      <c r="U846">
        <v>2883</v>
      </c>
      <c r="V846">
        <v>172</v>
      </c>
      <c r="W846">
        <v>20</v>
      </c>
      <c r="X846">
        <v>1085.3499999999999</v>
      </c>
      <c r="Y846">
        <v>407.25</v>
      </c>
      <c r="Z846">
        <v>1492.6</v>
      </c>
      <c r="AA846" t="s">
        <v>63</v>
      </c>
      <c r="AB846">
        <v>0</v>
      </c>
      <c r="AC846">
        <v>85.92</v>
      </c>
      <c r="AD846">
        <v>395</v>
      </c>
      <c r="AE846">
        <v>385</v>
      </c>
    </row>
    <row r="847" spans="1:31" x14ac:dyDescent="0.25">
      <c r="A847" t="s">
        <v>4050</v>
      </c>
      <c r="B847" t="s">
        <v>4051</v>
      </c>
      <c r="C847" s="1">
        <v>44168</v>
      </c>
      <c r="D847" s="1">
        <v>44995</v>
      </c>
      <c r="E847" t="s">
        <v>66</v>
      </c>
      <c r="F847" t="s">
        <v>78</v>
      </c>
      <c r="G847" t="s">
        <v>115</v>
      </c>
      <c r="H847" t="s">
        <v>148</v>
      </c>
      <c r="I847" t="s">
        <v>4052</v>
      </c>
      <c r="J847" t="s">
        <v>38</v>
      </c>
      <c r="K847" t="s">
        <v>39</v>
      </c>
      <c r="L847" t="s">
        <v>4053</v>
      </c>
      <c r="M847">
        <v>478.76</v>
      </c>
      <c r="N847">
        <v>23</v>
      </c>
      <c r="O847" t="s">
        <v>825</v>
      </c>
      <c r="P847" t="s">
        <v>142</v>
      </c>
      <c r="Q847" t="s">
        <v>202</v>
      </c>
      <c r="R847" t="s">
        <v>44</v>
      </c>
      <c r="S847" t="s">
        <v>45</v>
      </c>
      <c r="T847" t="s">
        <v>927</v>
      </c>
      <c r="U847">
        <v>4704</v>
      </c>
      <c r="V847">
        <v>107</v>
      </c>
      <c r="W847">
        <v>6</v>
      </c>
      <c r="X847">
        <v>1244.3900000000001</v>
      </c>
      <c r="Y847">
        <v>222.4</v>
      </c>
      <c r="Z847">
        <v>1466.79</v>
      </c>
      <c r="AA847" t="s">
        <v>63</v>
      </c>
      <c r="AB847">
        <v>0</v>
      </c>
      <c r="AC847">
        <v>81.739999999999995</v>
      </c>
      <c r="AD847">
        <v>261</v>
      </c>
      <c r="AE847">
        <v>216</v>
      </c>
    </row>
    <row r="848" spans="1:31" x14ac:dyDescent="0.25">
      <c r="A848" t="s">
        <v>4054</v>
      </c>
      <c r="B848" t="s">
        <v>4055</v>
      </c>
      <c r="C848" s="1">
        <v>45172</v>
      </c>
      <c r="D848" s="1">
        <v>45170</v>
      </c>
      <c r="E848" t="s">
        <v>66</v>
      </c>
      <c r="F848" t="s">
        <v>34</v>
      </c>
      <c r="G848" t="s">
        <v>67</v>
      </c>
      <c r="H848" t="s">
        <v>53</v>
      </c>
      <c r="I848" t="s">
        <v>4056</v>
      </c>
      <c r="J848" t="s">
        <v>82</v>
      </c>
      <c r="K848" t="s">
        <v>39</v>
      </c>
      <c r="L848" t="s">
        <v>320</v>
      </c>
      <c r="M848">
        <v>257.58999999999997</v>
      </c>
      <c r="N848">
        <v>2</v>
      </c>
      <c r="O848" t="s">
        <v>4057</v>
      </c>
      <c r="P848" t="s">
        <v>42</v>
      </c>
      <c r="Q848" t="s">
        <v>558</v>
      </c>
      <c r="R848" t="s">
        <v>88</v>
      </c>
      <c r="S848" t="s">
        <v>45</v>
      </c>
      <c r="T848" t="s">
        <v>235</v>
      </c>
      <c r="U848">
        <v>4415</v>
      </c>
      <c r="V848">
        <v>316</v>
      </c>
      <c r="W848">
        <v>25</v>
      </c>
      <c r="X848">
        <v>98.78</v>
      </c>
      <c r="Y848">
        <v>414.03</v>
      </c>
      <c r="Z848">
        <v>512.80999999999995</v>
      </c>
      <c r="AA848" t="s">
        <v>63</v>
      </c>
      <c r="AB848">
        <v>0</v>
      </c>
      <c r="AC848">
        <v>92.6</v>
      </c>
      <c r="AD848">
        <v>170</v>
      </c>
      <c r="AE848">
        <v>168</v>
      </c>
    </row>
    <row r="849" spans="1:31" x14ac:dyDescent="0.25">
      <c r="A849" t="s">
        <v>4058</v>
      </c>
      <c r="B849" t="s">
        <v>4059</v>
      </c>
      <c r="C849" s="1">
        <v>45622</v>
      </c>
      <c r="D849" s="1">
        <v>43994</v>
      </c>
      <c r="E849" t="s">
        <v>66</v>
      </c>
      <c r="F849" t="s">
        <v>147</v>
      </c>
      <c r="G849" t="s">
        <v>105</v>
      </c>
      <c r="H849" t="s">
        <v>36</v>
      </c>
      <c r="I849" t="s">
        <v>4060</v>
      </c>
      <c r="J849" t="s">
        <v>38</v>
      </c>
      <c r="K849" t="s">
        <v>70</v>
      </c>
      <c r="L849" t="s">
        <v>2435</v>
      </c>
      <c r="M849">
        <v>375.77</v>
      </c>
      <c r="N849">
        <v>83</v>
      </c>
      <c r="O849" t="s">
        <v>3208</v>
      </c>
      <c r="P849" t="s">
        <v>59</v>
      </c>
      <c r="Q849" t="s">
        <v>152</v>
      </c>
      <c r="R849" t="s">
        <v>44</v>
      </c>
      <c r="S849" t="s">
        <v>45</v>
      </c>
      <c r="T849" t="s">
        <v>46</v>
      </c>
      <c r="U849">
        <v>3032</v>
      </c>
      <c r="V849">
        <v>230</v>
      </c>
      <c r="W849">
        <v>2</v>
      </c>
      <c r="X849">
        <v>979.87</v>
      </c>
      <c r="Y849">
        <v>169.31</v>
      </c>
      <c r="Z849">
        <v>1149.18</v>
      </c>
      <c r="AA849" t="s">
        <v>63</v>
      </c>
      <c r="AB849">
        <v>0</v>
      </c>
      <c r="AC849">
        <v>91.24</v>
      </c>
      <c r="AD849">
        <v>458</v>
      </c>
      <c r="AE849">
        <v>487</v>
      </c>
    </row>
    <row r="850" spans="1:31" x14ac:dyDescent="0.25">
      <c r="A850" t="s">
        <v>4061</v>
      </c>
      <c r="B850" t="s">
        <v>4062</v>
      </c>
      <c r="C850" s="1">
        <v>44715</v>
      </c>
      <c r="D850" s="1">
        <v>44082</v>
      </c>
      <c r="E850" t="s">
        <v>66</v>
      </c>
      <c r="F850" t="s">
        <v>93</v>
      </c>
      <c r="G850" t="s">
        <v>52</v>
      </c>
      <c r="H850" t="s">
        <v>36</v>
      </c>
      <c r="I850" t="s">
        <v>4063</v>
      </c>
      <c r="J850" t="s">
        <v>82</v>
      </c>
      <c r="K850" t="s">
        <v>70</v>
      </c>
      <c r="L850" t="s">
        <v>4064</v>
      </c>
      <c r="M850">
        <v>144.71</v>
      </c>
      <c r="N850">
        <v>29</v>
      </c>
      <c r="O850" t="s">
        <v>3904</v>
      </c>
      <c r="P850" t="s">
        <v>142</v>
      </c>
      <c r="Q850" t="s">
        <v>364</v>
      </c>
      <c r="R850" t="s">
        <v>61</v>
      </c>
      <c r="S850" t="s">
        <v>45</v>
      </c>
      <c r="T850" t="s">
        <v>478</v>
      </c>
      <c r="U850">
        <v>4174</v>
      </c>
      <c r="V850">
        <v>232</v>
      </c>
      <c r="W850">
        <v>26</v>
      </c>
      <c r="X850">
        <v>1203.1099999999999</v>
      </c>
      <c r="Y850">
        <v>285.43</v>
      </c>
      <c r="Z850">
        <v>1488.54</v>
      </c>
      <c r="AA850" t="s">
        <v>63</v>
      </c>
      <c r="AB850">
        <v>0</v>
      </c>
      <c r="AC850">
        <v>72.209999999999994</v>
      </c>
      <c r="AD850">
        <v>415</v>
      </c>
      <c r="AE850">
        <v>417</v>
      </c>
    </row>
    <row r="851" spans="1:31" x14ac:dyDescent="0.25">
      <c r="A851" t="s">
        <v>4065</v>
      </c>
      <c r="B851" t="s">
        <v>4066</v>
      </c>
      <c r="C851" s="1">
        <v>44505</v>
      </c>
      <c r="D851" s="1">
        <v>44503</v>
      </c>
      <c r="E851" t="s">
        <v>50</v>
      </c>
      <c r="F851" t="s">
        <v>147</v>
      </c>
      <c r="G851" t="s">
        <v>35</v>
      </c>
      <c r="H851" t="s">
        <v>148</v>
      </c>
      <c r="I851" t="s">
        <v>4067</v>
      </c>
      <c r="J851" t="s">
        <v>96</v>
      </c>
      <c r="K851" t="s">
        <v>83</v>
      </c>
      <c r="L851" t="s">
        <v>4068</v>
      </c>
      <c r="M851">
        <v>299.73</v>
      </c>
      <c r="N851">
        <v>48</v>
      </c>
      <c r="O851" t="s">
        <v>4069</v>
      </c>
      <c r="P851" t="s">
        <v>42</v>
      </c>
      <c r="Q851" t="s">
        <v>926</v>
      </c>
      <c r="R851" t="s">
        <v>61</v>
      </c>
      <c r="S851" t="s">
        <v>128</v>
      </c>
      <c r="T851" t="s">
        <v>372</v>
      </c>
      <c r="U851">
        <v>4031</v>
      </c>
      <c r="V851">
        <v>371</v>
      </c>
      <c r="W851">
        <v>15</v>
      </c>
      <c r="X851">
        <v>604.16999999999996</v>
      </c>
      <c r="Y851">
        <v>407.53</v>
      </c>
      <c r="Z851">
        <v>1011.7</v>
      </c>
      <c r="AA851" t="s">
        <v>63</v>
      </c>
      <c r="AB851">
        <v>0</v>
      </c>
      <c r="AC851">
        <v>98.78</v>
      </c>
      <c r="AD851">
        <v>294</v>
      </c>
      <c r="AE851">
        <v>294</v>
      </c>
    </row>
    <row r="852" spans="1:31" x14ac:dyDescent="0.25">
      <c r="A852" t="s">
        <v>4070</v>
      </c>
      <c r="B852" t="s">
        <v>4071</v>
      </c>
      <c r="C852" s="1">
        <v>44110</v>
      </c>
      <c r="D852" s="1">
        <v>45133</v>
      </c>
      <c r="E852" t="s">
        <v>66</v>
      </c>
      <c r="F852" t="s">
        <v>51</v>
      </c>
      <c r="G852" t="s">
        <v>94</v>
      </c>
      <c r="H852" t="s">
        <v>53</v>
      </c>
      <c r="I852" t="s">
        <v>4072</v>
      </c>
      <c r="J852" t="s">
        <v>82</v>
      </c>
      <c r="K852" t="s">
        <v>83</v>
      </c>
      <c r="L852" t="s">
        <v>4073</v>
      </c>
      <c r="M852">
        <v>293.08</v>
      </c>
      <c r="N852">
        <v>71</v>
      </c>
      <c r="O852" t="s">
        <v>4074</v>
      </c>
      <c r="P852" t="s">
        <v>86</v>
      </c>
      <c r="Q852" t="s">
        <v>926</v>
      </c>
      <c r="R852" t="s">
        <v>44</v>
      </c>
      <c r="S852" t="s">
        <v>89</v>
      </c>
      <c r="T852" t="s">
        <v>161</v>
      </c>
      <c r="U852">
        <v>3257</v>
      </c>
      <c r="V852">
        <v>51</v>
      </c>
      <c r="W852">
        <v>18</v>
      </c>
      <c r="X852">
        <v>354.93</v>
      </c>
      <c r="Y852">
        <v>423.35</v>
      </c>
      <c r="Z852">
        <v>778.28</v>
      </c>
      <c r="AA852" t="s">
        <v>63</v>
      </c>
      <c r="AB852">
        <v>0</v>
      </c>
      <c r="AC852">
        <v>90.7</v>
      </c>
      <c r="AD852">
        <v>68</v>
      </c>
      <c r="AE852">
        <v>24</v>
      </c>
    </row>
    <row r="853" spans="1:31" x14ac:dyDescent="0.25">
      <c r="A853" t="s">
        <v>4075</v>
      </c>
      <c r="B853" t="s">
        <v>4076</v>
      </c>
      <c r="C853" s="1">
        <v>45207</v>
      </c>
      <c r="D853" s="1">
        <v>45545</v>
      </c>
      <c r="E853" t="s">
        <v>66</v>
      </c>
      <c r="F853" t="s">
        <v>147</v>
      </c>
      <c r="G853" t="s">
        <v>67</v>
      </c>
      <c r="H853" t="s">
        <v>68</v>
      </c>
      <c r="I853" t="s">
        <v>4077</v>
      </c>
      <c r="J853" t="s">
        <v>55</v>
      </c>
      <c r="K853" t="s">
        <v>56</v>
      </c>
      <c r="L853" t="s">
        <v>4078</v>
      </c>
      <c r="M853">
        <v>61.01</v>
      </c>
      <c r="N853">
        <v>90</v>
      </c>
      <c r="O853" t="s">
        <v>1600</v>
      </c>
      <c r="P853" t="s">
        <v>142</v>
      </c>
      <c r="Q853" t="s">
        <v>926</v>
      </c>
      <c r="R853" t="s">
        <v>61</v>
      </c>
      <c r="S853" t="s">
        <v>89</v>
      </c>
      <c r="T853" t="s">
        <v>652</v>
      </c>
      <c r="U853">
        <v>2839</v>
      </c>
      <c r="V853">
        <v>95</v>
      </c>
      <c r="W853">
        <v>22</v>
      </c>
      <c r="X853">
        <v>257.27</v>
      </c>
      <c r="Y853">
        <v>375.2</v>
      </c>
      <c r="Z853">
        <v>632.47</v>
      </c>
      <c r="AA853" t="s">
        <v>63</v>
      </c>
      <c r="AB853">
        <v>0</v>
      </c>
      <c r="AC853">
        <v>93.81</v>
      </c>
      <c r="AD853">
        <v>430</v>
      </c>
      <c r="AE853">
        <v>394</v>
      </c>
    </row>
    <row r="854" spans="1:31" x14ac:dyDescent="0.25">
      <c r="A854" t="s">
        <v>4079</v>
      </c>
      <c r="B854" t="s">
        <v>4080</v>
      </c>
      <c r="C854" s="1">
        <v>45278</v>
      </c>
      <c r="D854" s="1">
        <v>45397</v>
      </c>
      <c r="E854" t="s">
        <v>66</v>
      </c>
      <c r="F854" t="s">
        <v>78</v>
      </c>
      <c r="G854" t="s">
        <v>35</v>
      </c>
      <c r="H854" t="s">
        <v>80</v>
      </c>
      <c r="I854" t="s">
        <v>4081</v>
      </c>
      <c r="J854" t="s">
        <v>107</v>
      </c>
      <c r="K854" t="s">
        <v>70</v>
      </c>
      <c r="L854" t="s">
        <v>4082</v>
      </c>
      <c r="M854">
        <v>311.93</v>
      </c>
      <c r="N854">
        <v>84</v>
      </c>
      <c r="O854" t="s">
        <v>588</v>
      </c>
      <c r="P854" t="s">
        <v>110</v>
      </c>
      <c r="Q854" t="s">
        <v>1277</v>
      </c>
      <c r="R854" t="s">
        <v>88</v>
      </c>
      <c r="S854" t="s">
        <v>89</v>
      </c>
      <c r="T854" t="s">
        <v>721</v>
      </c>
      <c r="U854">
        <v>3611</v>
      </c>
      <c r="V854">
        <v>148</v>
      </c>
      <c r="W854">
        <v>11</v>
      </c>
      <c r="X854">
        <v>1043.8399999999999</v>
      </c>
      <c r="Y854">
        <v>328.95</v>
      </c>
      <c r="Z854">
        <v>1372.79</v>
      </c>
      <c r="AA854" t="s">
        <v>63</v>
      </c>
      <c r="AB854">
        <v>0</v>
      </c>
      <c r="AC854">
        <v>76.88</v>
      </c>
      <c r="AD854">
        <v>444</v>
      </c>
      <c r="AE854">
        <v>456</v>
      </c>
    </row>
    <row r="855" spans="1:31" x14ac:dyDescent="0.25">
      <c r="A855" t="s">
        <v>4083</v>
      </c>
      <c r="B855" t="s">
        <v>4084</v>
      </c>
      <c r="C855" s="1">
        <v>44702</v>
      </c>
      <c r="D855" s="1">
        <v>44958</v>
      </c>
      <c r="E855" t="s">
        <v>66</v>
      </c>
      <c r="F855" t="s">
        <v>93</v>
      </c>
      <c r="G855" t="s">
        <v>115</v>
      </c>
      <c r="H855" t="s">
        <v>53</v>
      </c>
      <c r="I855" t="s">
        <v>4085</v>
      </c>
      <c r="J855" t="s">
        <v>82</v>
      </c>
      <c r="K855" t="s">
        <v>83</v>
      </c>
      <c r="L855" t="s">
        <v>4086</v>
      </c>
      <c r="M855">
        <v>170.88</v>
      </c>
      <c r="N855">
        <v>38</v>
      </c>
      <c r="O855" t="s">
        <v>4087</v>
      </c>
      <c r="P855" t="s">
        <v>59</v>
      </c>
      <c r="Q855" t="s">
        <v>488</v>
      </c>
      <c r="R855" t="s">
        <v>44</v>
      </c>
      <c r="S855" t="s">
        <v>128</v>
      </c>
      <c r="T855" t="s">
        <v>144</v>
      </c>
      <c r="U855">
        <v>1146</v>
      </c>
      <c r="V855">
        <v>165</v>
      </c>
      <c r="W855">
        <v>22</v>
      </c>
      <c r="X855">
        <v>1879.21</v>
      </c>
      <c r="Y855">
        <v>318.58999999999997</v>
      </c>
      <c r="Z855">
        <v>2197.8000000000002</v>
      </c>
      <c r="AA855" t="s">
        <v>47</v>
      </c>
      <c r="AB855">
        <v>6</v>
      </c>
      <c r="AC855">
        <v>83.47</v>
      </c>
      <c r="AD855">
        <v>146</v>
      </c>
      <c r="AE855">
        <v>113</v>
      </c>
    </row>
    <row r="856" spans="1:31" x14ac:dyDescent="0.25">
      <c r="A856" t="s">
        <v>4088</v>
      </c>
      <c r="B856" t="s">
        <v>4089</v>
      </c>
      <c r="C856" s="1">
        <v>44318</v>
      </c>
      <c r="D856" s="1">
        <v>44108</v>
      </c>
      <c r="E856" t="s">
        <v>66</v>
      </c>
      <c r="F856" t="s">
        <v>78</v>
      </c>
      <c r="G856" t="s">
        <v>67</v>
      </c>
      <c r="H856" t="s">
        <v>80</v>
      </c>
      <c r="I856" t="s">
        <v>4090</v>
      </c>
      <c r="J856" t="s">
        <v>38</v>
      </c>
      <c r="K856" t="s">
        <v>70</v>
      </c>
      <c r="L856" t="s">
        <v>4091</v>
      </c>
      <c r="M856">
        <v>282.47000000000003</v>
      </c>
      <c r="N856">
        <v>45</v>
      </c>
      <c r="O856" t="s">
        <v>1595</v>
      </c>
      <c r="P856" t="s">
        <v>42</v>
      </c>
      <c r="Q856" t="s">
        <v>261</v>
      </c>
      <c r="R856" t="s">
        <v>88</v>
      </c>
      <c r="S856" t="s">
        <v>89</v>
      </c>
      <c r="T856" t="s">
        <v>434</v>
      </c>
      <c r="U856">
        <v>1531</v>
      </c>
      <c r="V856">
        <v>154</v>
      </c>
      <c r="W856">
        <v>17</v>
      </c>
      <c r="X856">
        <v>1529.97</v>
      </c>
      <c r="Y856">
        <v>233.56</v>
      </c>
      <c r="Z856">
        <v>1763.53</v>
      </c>
      <c r="AA856" t="s">
        <v>63</v>
      </c>
      <c r="AB856">
        <v>0</v>
      </c>
      <c r="AC856">
        <v>90.78</v>
      </c>
      <c r="AD856">
        <v>96</v>
      </c>
      <c r="AE856">
        <v>83</v>
      </c>
    </row>
    <row r="857" spans="1:31" x14ac:dyDescent="0.25">
      <c r="A857" t="s">
        <v>4092</v>
      </c>
      <c r="B857" t="s">
        <v>4093</v>
      </c>
      <c r="C857" s="1">
        <v>44169</v>
      </c>
      <c r="D857" s="1">
        <v>44354</v>
      </c>
      <c r="E857" t="s">
        <v>66</v>
      </c>
      <c r="F857" t="s">
        <v>78</v>
      </c>
      <c r="G857" t="s">
        <v>105</v>
      </c>
      <c r="H857" t="s">
        <v>218</v>
      </c>
      <c r="I857" t="s">
        <v>4094</v>
      </c>
      <c r="J857" t="s">
        <v>96</v>
      </c>
      <c r="K857" t="s">
        <v>83</v>
      </c>
      <c r="L857" t="s">
        <v>4095</v>
      </c>
      <c r="M857">
        <v>406.69</v>
      </c>
      <c r="N857">
        <v>36</v>
      </c>
      <c r="O857" t="s">
        <v>314</v>
      </c>
      <c r="P857" t="s">
        <v>142</v>
      </c>
      <c r="Q857" t="s">
        <v>202</v>
      </c>
      <c r="R857" t="s">
        <v>44</v>
      </c>
      <c r="S857" t="s">
        <v>128</v>
      </c>
      <c r="T857" t="s">
        <v>478</v>
      </c>
      <c r="U857">
        <v>1181</v>
      </c>
      <c r="V857">
        <v>401</v>
      </c>
      <c r="W857">
        <v>11</v>
      </c>
      <c r="X857">
        <v>1869.3</v>
      </c>
      <c r="Y857">
        <v>411.7</v>
      </c>
      <c r="Z857">
        <v>2281</v>
      </c>
      <c r="AA857" t="s">
        <v>63</v>
      </c>
      <c r="AB857">
        <v>0</v>
      </c>
      <c r="AC857">
        <v>87.3</v>
      </c>
      <c r="AD857">
        <v>107</v>
      </c>
      <c r="AE857">
        <v>124</v>
      </c>
    </row>
    <row r="858" spans="1:31" x14ac:dyDescent="0.25">
      <c r="A858" t="s">
        <v>4096</v>
      </c>
      <c r="B858" t="s">
        <v>4097</v>
      </c>
      <c r="C858" s="1">
        <v>44194</v>
      </c>
      <c r="D858" s="1">
        <v>45653</v>
      </c>
      <c r="E858" t="s">
        <v>66</v>
      </c>
      <c r="F858" t="s">
        <v>78</v>
      </c>
      <c r="G858" t="s">
        <v>79</v>
      </c>
      <c r="H858" t="s">
        <v>148</v>
      </c>
      <c r="I858" t="s">
        <v>4098</v>
      </c>
      <c r="J858" t="s">
        <v>96</v>
      </c>
      <c r="K858" t="s">
        <v>56</v>
      </c>
      <c r="L858" t="s">
        <v>4099</v>
      </c>
      <c r="M858">
        <v>290.57</v>
      </c>
      <c r="N858">
        <v>25</v>
      </c>
      <c r="O858" t="s">
        <v>1658</v>
      </c>
      <c r="P858" t="s">
        <v>110</v>
      </c>
      <c r="Q858" t="s">
        <v>234</v>
      </c>
      <c r="R858" t="s">
        <v>153</v>
      </c>
      <c r="S858" t="s">
        <v>89</v>
      </c>
      <c r="T858" t="s">
        <v>279</v>
      </c>
      <c r="U858">
        <v>69</v>
      </c>
      <c r="V858">
        <v>246</v>
      </c>
      <c r="W858">
        <v>28</v>
      </c>
      <c r="X858">
        <v>1106.44</v>
      </c>
      <c r="Y858">
        <v>48.48</v>
      </c>
      <c r="Z858">
        <v>1154.92</v>
      </c>
      <c r="AA858" t="s">
        <v>63</v>
      </c>
      <c r="AB858">
        <v>0</v>
      </c>
      <c r="AC858">
        <v>86.13</v>
      </c>
      <c r="AD858">
        <v>452</v>
      </c>
      <c r="AE858">
        <v>432</v>
      </c>
    </row>
    <row r="859" spans="1:31" x14ac:dyDescent="0.25">
      <c r="A859" t="s">
        <v>4100</v>
      </c>
      <c r="B859" t="s">
        <v>4101</v>
      </c>
      <c r="C859" s="1">
        <v>44566</v>
      </c>
      <c r="D859" s="1">
        <v>44841</v>
      </c>
      <c r="E859" t="s">
        <v>50</v>
      </c>
      <c r="F859" t="s">
        <v>34</v>
      </c>
      <c r="G859" t="s">
        <v>79</v>
      </c>
      <c r="H859" t="s">
        <v>164</v>
      </c>
      <c r="I859" t="s">
        <v>4102</v>
      </c>
      <c r="J859" t="s">
        <v>55</v>
      </c>
      <c r="K859" t="s">
        <v>70</v>
      </c>
      <c r="L859" t="s">
        <v>4103</v>
      </c>
      <c r="M859">
        <v>474.24</v>
      </c>
      <c r="N859">
        <v>36</v>
      </c>
      <c r="O859" t="s">
        <v>1173</v>
      </c>
      <c r="P859" t="s">
        <v>42</v>
      </c>
      <c r="Q859" t="s">
        <v>1277</v>
      </c>
      <c r="R859" t="s">
        <v>61</v>
      </c>
      <c r="S859" t="s">
        <v>74</v>
      </c>
      <c r="T859" t="s">
        <v>673</v>
      </c>
      <c r="U859">
        <v>2263</v>
      </c>
      <c r="V859">
        <v>416</v>
      </c>
      <c r="W859">
        <v>16</v>
      </c>
      <c r="X859">
        <v>1672.96</v>
      </c>
      <c r="Y859">
        <v>393.79</v>
      </c>
      <c r="Z859">
        <v>2066.75</v>
      </c>
      <c r="AA859" t="s">
        <v>63</v>
      </c>
      <c r="AB859">
        <v>0</v>
      </c>
      <c r="AC859">
        <v>82.57</v>
      </c>
      <c r="AD859">
        <v>216</v>
      </c>
      <c r="AE859">
        <v>238</v>
      </c>
    </row>
    <row r="860" spans="1:31" x14ac:dyDescent="0.25">
      <c r="A860" t="s">
        <v>4104</v>
      </c>
      <c r="B860" t="s">
        <v>4105</v>
      </c>
      <c r="C860" s="1">
        <v>44504</v>
      </c>
      <c r="D860" s="1">
        <v>44572</v>
      </c>
      <c r="E860" t="s">
        <v>66</v>
      </c>
      <c r="F860" t="s">
        <v>147</v>
      </c>
      <c r="G860" t="s">
        <v>94</v>
      </c>
      <c r="H860" t="s">
        <v>80</v>
      </c>
      <c r="I860" t="s">
        <v>4106</v>
      </c>
      <c r="J860" t="s">
        <v>96</v>
      </c>
      <c r="K860" t="s">
        <v>70</v>
      </c>
      <c r="L860" t="s">
        <v>4107</v>
      </c>
      <c r="M860">
        <v>493.74</v>
      </c>
      <c r="N860">
        <v>76</v>
      </c>
      <c r="O860" t="s">
        <v>996</v>
      </c>
      <c r="P860" t="s">
        <v>59</v>
      </c>
      <c r="Q860" t="s">
        <v>152</v>
      </c>
      <c r="R860" t="s">
        <v>44</v>
      </c>
      <c r="S860" t="s">
        <v>89</v>
      </c>
      <c r="T860" t="s">
        <v>721</v>
      </c>
      <c r="U860">
        <v>529</v>
      </c>
      <c r="V860">
        <v>107</v>
      </c>
      <c r="W860">
        <v>1</v>
      </c>
      <c r="X860">
        <v>1563.58</v>
      </c>
      <c r="Y860">
        <v>289.45</v>
      </c>
      <c r="Z860">
        <v>1853.03</v>
      </c>
      <c r="AA860" t="s">
        <v>63</v>
      </c>
      <c r="AB860">
        <v>0</v>
      </c>
      <c r="AC860">
        <v>89.59</v>
      </c>
      <c r="AD860">
        <v>131</v>
      </c>
      <c r="AE860">
        <v>139</v>
      </c>
    </row>
    <row r="861" spans="1:31" x14ac:dyDescent="0.25">
      <c r="A861" t="s">
        <v>4108</v>
      </c>
      <c r="B861" t="s">
        <v>4109</v>
      </c>
      <c r="C861" s="1">
        <v>44480</v>
      </c>
      <c r="D861" s="1">
        <v>44778</v>
      </c>
      <c r="E861" t="s">
        <v>66</v>
      </c>
      <c r="F861" t="s">
        <v>93</v>
      </c>
      <c r="G861" t="s">
        <v>105</v>
      </c>
      <c r="H861" t="s">
        <v>164</v>
      </c>
      <c r="I861" t="s">
        <v>4110</v>
      </c>
      <c r="J861" t="s">
        <v>38</v>
      </c>
      <c r="K861" t="s">
        <v>56</v>
      </c>
      <c r="L861" t="s">
        <v>387</v>
      </c>
      <c r="M861">
        <v>210.39</v>
      </c>
      <c r="N861">
        <v>42</v>
      </c>
      <c r="O861" t="s">
        <v>1986</v>
      </c>
      <c r="P861" t="s">
        <v>110</v>
      </c>
      <c r="Q861" t="s">
        <v>347</v>
      </c>
      <c r="R861" t="s">
        <v>44</v>
      </c>
      <c r="S861" t="s">
        <v>45</v>
      </c>
      <c r="T861" t="s">
        <v>559</v>
      </c>
      <c r="U861">
        <v>1718</v>
      </c>
      <c r="V861">
        <v>334</v>
      </c>
      <c r="W861">
        <v>21</v>
      </c>
      <c r="X861">
        <v>696.05</v>
      </c>
      <c r="Y861">
        <v>123.19</v>
      </c>
      <c r="Z861">
        <v>819.24</v>
      </c>
      <c r="AA861" t="s">
        <v>63</v>
      </c>
      <c r="AB861">
        <v>0</v>
      </c>
      <c r="AC861">
        <v>96.06</v>
      </c>
      <c r="AD861">
        <v>119</v>
      </c>
      <c r="AE861">
        <v>84</v>
      </c>
    </row>
    <row r="862" spans="1:31" x14ac:dyDescent="0.25">
      <c r="A862" t="s">
        <v>4111</v>
      </c>
      <c r="B862" t="s">
        <v>4112</v>
      </c>
      <c r="C862" s="1">
        <v>45138</v>
      </c>
      <c r="D862" s="1">
        <v>44995</v>
      </c>
      <c r="E862" t="s">
        <v>66</v>
      </c>
      <c r="F862" t="s">
        <v>51</v>
      </c>
      <c r="G862" t="s">
        <v>115</v>
      </c>
      <c r="H862" t="s">
        <v>53</v>
      </c>
      <c r="I862" t="s">
        <v>4113</v>
      </c>
      <c r="J862" t="s">
        <v>96</v>
      </c>
      <c r="K862" t="s">
        <v>83</v>
      </c>
      <c r="L862" t="s">
        <v>4114</v>
      </c>
      <c r="M862">
        <v>274.24</v>
      </c>
      <c r="N862">
        <v>53</v>
      </c>
      <c r="O862" t="s">
        <v>630</v>
      </c>
      <c r="P862" t="s">
        <v>59</v>
      </c>
      <c r="Q862" t="s">
        <v>261</v>
      </c>
      <c r="R862" t="s">
        <v>44</v>
      </c>
      <c r="S862" t="s">
        <v>101</v>
      </c>
      <c r="T862" t="s">
        <v>46</v>
      </c>
      <c r="U862">
        <v>1953</v>
      </c>
      <c r="V862">
        <v>243</v>
      </c>
      <c r="W862">
        <v>28</v>
      </c>
      <c r="X862">
        <v>178.35</v>
      </c>
      <c r="Y862">
        <v>305.45999999999998</v>
      </c>
      <c r="Z862">
        <v>483.80999999999989</v>
      </c>
      <c r="AA862" t="s">
        <v>63</v>
      </c>
      <c r="AB862">
        <v>0</v>
      </c>
      <c r="AC862">
        <v>72.28</v>
      </c>
      <c r="AD862">
        <v>167</v>
      </c>
      <c r="AE862">
        <v>195</v>
      </c>
    </row>
    <row r="863" spans="1:31" x14ac:dyDescent="0.25">
      <c r="A863" t="s">
        <v>4115</v>
      </c>
      <c r="B863" t="s">
        <v>4116</v>
      </c>
      <c r="C863" s="1">
        <v>43940</v>
      </c>
      <c r="D863" s="1">
        <v>45474</v>
      </c>
      <c r="E863" t="s">
        <v>66</v>
      </c>
      <c r="F863" t="s">
        <v>78</v>
      </c>
      <c r="G863" t="s">
        <v>105</v>
      </c>
      <c r="H863" t="s">
        <v>164</v>
      </c>
      <c r="I863" t="s">
        <v>4117</v>
      </c>
      <c r="J863" t="s">
        <v>38</v>
      </c>
      <c r="K863" t="s">
        <v>97</v>
      </c>
      <c r="L863" t="s">
        <v>4118</v>
      </c>
      <c r="M863">
        <v>123.09</v>
      </c>
      <c r="N863">
        <v>10</v>
      </c>
      <c r="O863" t="s">
        <v>4119</v>
      </c>
      <c r="P863" t="s">
        <v>59</v>
      </c>
      <c r="Q863" t="s">
        <v>160</v>
      </c>
      <c r="R863" t="s">
        <v>44</v>
      </c>
      <c r="S863" t="s">
        <v>128</v>
      </c>
      <c r="T863" t="s">
        <v>559</v>
      </c>
      <c r="U863">
        <v>1476</v>
      </c>
      <c r="V863">
        <v>165</v>
      </c>
      <c r="W863">
        <v>24</v>
      </c>
      <c r="X863">
        <v>187.19</v>
      </c>
      <c r="Y863">
        <v>458.45</v>
      </c>
      <c r="Z863">
        <v>645.64</v>
      </c>
      <c r="AA863" t="s">
        <v>63</v>
      </c>
      <c r="AB863">
        <v>0</v>
      </c>
      <c r="AC863">
        <v>85.68</v>
      </c>
      <c r="AD863">
        <v>235</v>
      </c>
      <c r="AE863">
        <v>276</v>
      </c>
    </row>
    <row r="864" spans="1:31" x14ac:dyDescent="0.25">
      <c r="A864" t="s">
        <v>4120</v>
      </c>
      <c r="B864" t="s">
        <v>4121</v>
      </c>
      <c r="C864" s="1">
        <v>45249</v>
      </c>
      <c r="D864" s="1">
        <v>45303</v>
      </c>
      <c r="E864" t="s">
        <v>66</v>
      </c>
      <c r="F864" t="s">
        <v>93</v>
      </c>
      <c r="G864" t="s">
        <v>79</v>
      </c>
      <c r="H864" t="s">
        <v>68</v>
      </c>
      <c r="I864" t="s">
        <v>4122</v>
      </c>
      <c r="J864" t="s">
        <v>96</v>
      </c>
      <c r="K864" t="s">
        <v>83</v>
      </c>
      <c r="L864" t="s">
        <v>4123</v>
      </c>
      <c r="M864">
        <v>445.22</v>
      </c>
      <c r="N864">
        <v>74</v>
      </c>
      <c r="O864" t="s">
        <v>1364</v>
      </c>
      <c r="P864" t="s">
        <v>142</v>
      </c>
      <c r="Q864" t="s">
        <v>609</v>
      </c>
      <c r="R864" t="s">
        <v>88</v>
      </c>
      <c r="S864" t="s">
        <v>74</v>
      </c>
      <c r="T864" t="s">
        <v>242</v>
      </c>
      <c r="U864">
        <v>2964</v>
      </c>
      <c r="V864">
        <v>396</v>
      </c>
      <c r="W864">
        <v>9</v>
      </c>
      <c r="X864">
        <v>590.41999999999996</v>
      </c>
      <c r="Y864">
        <v>452.76</v>
      </c>
      <c r="Z864">
        <v>1043.18</v>
      </c>
      <c r="AA864" t="s">
        <v>63</v>
      </c>
      <c r="AB864">
        <v>0</v>
      </c>
      <c r="AC864">
        <v>98.28</v>
      </c>
      <c r="AD864">
        <v>407</v>
      </c>
      <c r="AE864">
        <v>429</v>
      </c>
    </row>
    <row r="865" spans="1:31" x14ac:dyDescent="0.25">
      <c r="A865" t="s">
        <v>4124</v>
      </c>
      <c r="B865" t="s">
        <v>4125</v>
      </c>
      <c r="C865" s="1">
        <v>44273</v>
      </c>
      <c r="D865" s="1">
        <v>45485</v>
      </c>
      <c r="E865" t="s">
        <v>66</v>
      </c>
      <c r="F865" t="s">
        <v>34</v>
      </c>
      <c r="G865" t="s">
        <v>105</v>
      </c>
      <c r="H865" t="s">
        <v>164</v>
      </c>
      <c r="I865" t="s">
        <v>4126</v>
      </c>
      <c r="J865" t="s">
        <v>96</v>
      </c>
      <c r="K865" t="s">
        <v>56</v>
      </c>
      <c r="L865" t="s">
        <v>2470</v>
      </c>
      <c r="M865">
        <v>343.23</v>
      </c>
      <c r="N865">
        <v>84</v>
      </c>
      <c r="O865" t="s">
        <v>4127</v>
      </c>
      <c r="P865" t="s">
        <v>86</v>
      </c>
      <c r="Q865" t="s">
        <v>127</v>
      </c>
      <c r="R865" t="s">
        <v>44</v>
      </c>
      <c r="S865" t="s">
        <v>45</v>
      </c>
      <c r="T865" t="s">
        <v>144</v>
      </c>
      <c r="U865">
        <v>400</v>
      </c>
      <c r="V865">
        <v>68</v>
      </c>
      <c r="W865">
        <v>7</v>
      </c>
      <c r="X865">
        <v>1669.2</v>
      </c>
      <c r="Y865">
        <v>57.29</v>
      </c>
      <c r="Z865">
        <v>1726.49</v>
      </c>
      <c r="AA865" t="s">
        <v>63</v>
      </c>
      <c r="AB865">
        <v>0</v>
      </c>
      <c r="AC865">
        <v>83.77</v>
      </c>
      <c r="AD865">
        <v>249</v>
      </c>
      <c r="AE865">
        <v>244</v>
      </c>
    </row>
    <row r="866" spans="1:31" x14ac:dyDescent="0.25">
      <c r="A866" t="s">
        <v>4128</v>
      </c>
      <c r="B866" t="s">
        <v>4129</v>
      </c>
      <c r="C866" s="1">
        <v>44670</v>
      </c>
      <c r="D866" s="1">
        <v>44218</v>
      </c>
      <c r="E866" t="s">
        <v>66</v>
      </c>
      <c r="F866" t="s">
        <v>51</v>
      </c>
      <c r="G866" t="s">
        <v>105</v>
      </c>
      <c r="H866" t="s">
        <v>218</v>
      </c>
      <c r="I866" t="s">
        <v>4130</v>
      </c>
      <c r="J866" t="s">
        <v>96</v>
      </c>
      <c r="K866" t="s">
        <v>56</v>
      </c>
      <c r="L866" t="s">
        <v>4131</v>
      </c>
      <c r="M866">
        <v>176</v>
      </c>
      <c r="N866">
        <v>43</v>
      </c>
      <c r="O866" t="s">
        <v>1571</v>
      </c>
      <c r="P866" t="s">
        <v>142</v>
      </c>
      <c r="Q866" t="s">
        <v>706</v>
      </c>
      <c r="R866" t="s">
        <v>153</v>
      </c>
      <c r="S866" t="s">
        <v>101</v>
      </c>
      <c r="T866" t="s">
        <v>309</v>
      </c>
      <c r="U866">
        <v>997</v>
      </c>
      <c r="V866">
        <v>415</v>
      </c>
      <c r="W866">
        <v>22</v>
      </c>
      <c r="X866">
        <v>63</v>
      </c>
      <c r="Y866">
        <v>480.54</v>
      </c>
      <c r="Z866">
        <v>543.54</v>
      </c>
      <c r="AA866" t="s">
        <v>63</v>
      </c>
      <c r="AB866">
        <v>0</v>
      </c>
      <c r="AC866">
        <v>81.83</v>
      </c>
      <c r="AD866">
        <v>231</v>
      </c>
      <c r="AE866">
        <v>199</v>
      </c>
    </row>
    <row r="867" spans="1:31" x14ac:dyDescent="0.25">
      <c r="A867" t="s">
        <v>4132</v>
      </c>
      <c r="B867" t="s">
        <v>4133</v>
      </c>
      <c r="C867" s="1">
        <v>44354</v>
      </c>
      <c r="D867" s="1">
        <v>44566</v>
      </c>
      <c r="E867" t="s">
        <v>66</v>
      </c>
      <c r="F867" t="s">
        <v>51</v>
      </c>
      <c r="G867" t="s">
        <v>115</v>
      </c>
      <c r="H867" t="s">
        <v>80</v>
      </c>
      <c r="I867" t="s">
        <v>4134</v>
      </c>
      <c r="J867" t="s">
        <v>38</v>
      </c>
      <c r="K867" t="s">
        <v>39</v>
      </c>
      <c r="L867" t="s">
        <v>4135</v>
      </c>
      <c r="M867">
        <v>296.56</v>
      </c>
      <c r="N867">
        <v>2</v>
      </c>
      <c r="O867" t="s">
        <v>4136</v>
      </c>
      <c r="P867" t="s">
        <v>142</v>
      </c>
      <c r="Q867" t="s">
        <v>428</v>
      </c>
      <c r="R867" t="s">
        <v>88</v>
      </c>
      <c r="S867" t="s">
        <v>74</v>
      </c>
      <c r="T867" t="s">
        <v>444</v>
      </c>
      <c r="U867">
        <v>1937</v>
      </c>
      <c r="V867">
        <v>442</v>
      </c>
      <c r="W867">
        <v>3</v>
      </c>
      <c r="X867">
        <v>124.06</v>
      </c>
      <c r="Y867">
        <v>192.58</v>
      </c>
      <c r="Z867">
        <v>316.64</v>
      </c>
      <c r="AA867" t="s">
        <v>63</v>
      </c>
      <c r="AB867">
        <v>0</v>
      </c>
      <c r="AC867">
        <v>92.35</v>
      </c>
      <c r="AD867">
        <v>430</v>
      </c>
      <c r="AE867">
        <v>458</v>
      </c>
    </row>
    <row r="868" spans="1:31" x14ac:dyDescent="0.25">
      <c r="A868" t="s">
        <v>4137</v>
      </c>
      <c r="B868" t="s">
        <v>4138</v>
      </c>
      <c r="C868" s="1">
        <v>45142</v>
      </c>
      <c r="D868" s="1">
        <v>43901</v>
      </c>
      <c r="E868" t="s">
        <v>50</v>
      </c>
      <c r="F868" t="s">
        <v>93</v>
      </c>
      <c r="G868" t="s">
        <v>79</v>
      </c>
      <c r="H868" t="s">
        <v>116</v>
      </c>
      <c r="I868" t="s">
        <v>4139</v>
      </c>
      <c r="J868" t="s">
        <v>107</v>
      </c>
      <c r="K868" t="s">
        <v>97</v>
      </c>
      <c r="L868" t="s">
        <v>4140</v>
      </c>
      <c r="M868">
        <v>61.8</v>
      </c>
      <c r="N868">
        <v>71</v>
      </c>
      <c r="O868" t="s">
        <v>1227</v>
      </c>
      <c r="P868" t="s">
        <v>86</v>
      </c>
      <c r="Q868" t="s">
        <v>87</v>
      </c>
      <c r="R868" t="s">
        <v>153</v>
      </c>
      <c r="S868" t="s">
        <v>45</v>
      </c>
      <c r="T868" t="s">
        <v>303</v>
      </c>
      <c r="U868">
        <v>4673</v>
      </c>
      <c r="V868">
        <v>262</v>
      </c>
      <c r="W868">
        <v>22</v>
      </c>
      <c r="X868">
        <v>422.04</v>
      </c>
      <c r="Y868">
        <v>398.01</v>
      </c>
      <c r="Z868">
        <v>820.05</v>
      </c>
      <c r="AA868" t="s">
        <v>63</v>
      </c>
      <c r="AB868">
        <v>0</v>
      </c>
      <c r="AC868">
        <v>85.16</v>
      </c>
      <c r="AD868">
        <v>367</v>
      </c>
      <c r="AE868">
        <v>350</v>
      </c>
    </row>
    <row r="869" spans="1:31" x14ac:dyDescent="0.25">
      <c r="A869" t="s">
        <v>4141</v>
      </c>
      <c r="B869" t="s">
        <v>4142</v>
      </c>
      <c r="C869" s="1">
        <v>45252</v>
      </c>
      <c r="D869" s="1">
        <v>44313</v>
      </c>
      <c r="E869" t="s">
        <v>50</v>
      </c>
      <c r="F869" t="s">
        <v>147</v>
      </c>
      <c r="G869" t="s">
        <v>79</v>
      </c>
      <c r="H869" t="s">
        <v>80</v>
      </c>
      <c r="I869" t="s">
        <v>4143</v>
      </c>
      <c r="J869" t="s">
        <v>82</v>
      </c>
      <c r="K869" t="s">
        <v>83</v>
      </c>
      <c r="L869" t="s">
        <v>4144</v>
      </c>
      <c r="M869">
        <v>51.16</v>
      </c>
      <c r="N869">
        <v>19</v>
      </c>
      <c r="O869" t="s">
        <v>1542</v>
      </c>
      <c r="P869" t="s">
        <v>110</v>
      </c>
      <c r="Q869" t="s">
        <v>364</v>
      </c>
      <c r="R869" t="s">
        <v>88</v>
      </c>
      <c r="S869" t="s">
        <v>89</v>
      </c>
      <c r="T869" t="s">
        <v>102</v>
      </c>
      <c r="U869">
        <v>1380</v>
      </c>
      <c r="V869">
        <v>315</v>
      </c>
      <c r="W869">
        <v>25</v>
      </c>
      <c r="X869">
        <v>718.99</v>
      </c>
      <c r="Y869">
        <v>142.13999999999999</v>
      </c>
      <c r="Z869">
        <v>861.13</v>
      </c>
      <c r="AA869" t="s">
        <v>63</v>
      </c>
      <c r="AB869">
        <v>0</v>
      </c>
      <c r="AC869">
        <v>88.18</v>
      </c>
      <c r="AD869">
        <v>197</v>
      </c>
      <c r="AE869">
        <v>223</v>
      </c>
    </row>
    <row r="870" spans="1:31" x14ac:dyDescent="0.25">
      <c r="A870" t="s">
        <v>4145</v>
      </c>
      <c r="B870" t="s">
        <v>4146</v>
      </c>
      <c r="C870" s="1">
        <v>45451</v>
      </c>
      <c r="D870" s="1">
        <v>44422</v>
      </c>
      <c r="E870" t="s">
        <v>33</v>
      </c>
      <c r="F870" t="s">
        <v>51</v>
      </c>
      <c r="G870" t="s">
        <v>105</v>
      </c>
      <c r="H870" t="s">
        <v>218</v>
      </c>
      <c r="I870" t="s">
        <v>4147</v>
      </c>
      <c r="J870" t="s">
        <v>55</v>
      </c>
      <c r="K870" t="s">
        <v>83</v>
      </c>
      <c r="L870" t="s">
        <v>4148</v>
      </c>
      <c r="M870">
        <v>333.33</v>
      </c>
      <c r="N870">
        <v>3</v>
      </c>
      <c r="O870" t="s">
        <v>2462</v>
      </c>
      <c r="P870" t="s">
        <v>142</v>
      </c>
      <c r="Q870" t="s">
        <v>135</v>
      </c>
      <c r="R870" t="s">
        <v>44</v>
      </c>
      <c r="S870" t="s">
        <v>74</v>
      </c>
      <c r="T870" t="s">
        <v>721</v>
      </c>
      <c r="U870">
        <v>4529</v>
      </c>
      <c r="V870">
        <v>175</v>
      </c>
      <c r="W870">
        <v>3</v>
      </c>
      <c r="X870">
        <v>1828.64</v>
      </c>
      <c r="Y870">
        <v>372.05</v>
      </c>
      <c r="Z870">
        <v>2200.69</v>
      </c>
      <c r="AA870" t="s">
        <v>63</v>
      </c>
      <c r="AB870">
        <v>0</v>
      </c>
      <c r="AC870">
        <v>96.12</v>
      </c>
      <c r="AD870">
        <v>474</v>
      </c>
      <c r="AE870">
        <v>520</v>
      </c>
    </row>
    <row r="871" spans="1:31" x14ac:dyDescent="0.25">
      <c r="A871" t="s">
        <v>4149</v>
      </c>
      <c r="B871" t="s">
        <v>4150</v>
      </c>
      <c r="C871" s="1">
        <v>44875</v>
      </c>
      <c r="D871" s="1">
        <v>44999</v>
      </c>
      <c r="E871" t="s">
        <v>50</v>
      </c>
      <c r="F871" t="s">
        <v>147</v>
      </c>
      <c r="G871" t="s">
        <v>105</v>
      </c>
      <c r="H871" t="s">
        <v>68</v>
      </c>
      <c r="I871" t="s">
        <v>4151</v>
      </c>
      <c r="J871" t="s">
        <v>107</v>
      </c>
      <c r="K871" t="s">
        <v>56</v>
      </c>
      <c r="L871" t="s">
        <v>4152</v>
      </c>
      <c r="M871">
        <v>188.72</v>
      </c>
      <c r="N871">
        <v>72</v>
      </c>
      <c r="O871" t="s">
        <v>2013</v>
      </c>
      <c r="P871" t="s">
        <v>110</v>
      </c>
      <c r="Q871" t="s">
        <v>160</v>
      </c>
      <c r="R871" t="s">
        <v>61</v>
      </c>
      <c r="S871" t="s">
        <v>74</v>
      </c>
      <c r="T871" t="s">
        <v>190</v>
      </c>
      <c r="U871">
        <v>4506</v>
      </c>
      <c r="V871">
        <v>110</v>
      </c>
      <c r="W871">
        <v>14</v>
      </c>
      <c r="X871">
        <v>866.7</v>
      </c>
      <c r="Y871">
        <v>442.82</v>
      </c>
      <c r="Z871">
        <v>1309.52</v>
      </c>
      <c r="AA871" t="s">
        <v>63</v>
      </c>
      <c r="AB871">
        <v>0</v>
      </c>
      <c r="AC871">
        <v>94.64</v>
      </c>
      <c r="AD871">
        <v>385</v>
      </c>
      <c r="AE871">
        <v>349</v>
      </c>
    </row>
    <row r="872" spans="1:31" x14ac:dyDescent="0.25">
      <c r="A872" t="s">
        <v>4153</v>
      </c>
      <c r="B872" t="s">
        <v>4154</v>
      </c>
      <c r="C872" s="1">
        <v>44729</v>
      </c>
      <c r="D872" s="1">
        <v>44420</v>
      </c>
      <c r="E872" t="s">
        <v>66</v>
      </c>
      <c r="F872" t="s">
        <v>34</v>
      </c>
      <c r="G872" t="s">
        <v>337</v>
      </c>
      <c r="H872" t="s">
        <v>36</v>
      </c>
      <c r="I872" t="s">
        <v>4155</v>
      </c>
      <c r="J872" t="s">
        <v>82</v>
      </c>
      <c r="K872" t="s">
        <v>83</v>
      </c>
      <c r="L872" t="s">
        <v>4156</v>
      </c>
      <c r="M872">
        <v>202.77</v>
      </c>
      <c r="N872">
        <v>6</v>
      </c>
      <c r="O872" t="s">
        <v>4157</v>
      </c>
      <c r="P872" t="s">
        <v>42</v>
      </c>
      <c r="Q872" t="s">
        <v>455</v>
      </c>
      <c r="R872" t="s">
        <v>88</v>
      </c>
      <c r="S872" t="s">
        <v>74</v>
      </c>
      <c r="T872" t="s">
        <v>353</v>
      </c>
      <c r="U872">
        <v>1865</v>
      </c>
      <c r="V872">
        <v>184</v>
      </c>
      <c r="W872">
        <v>10</v>
      </c>
      <c r="X872">
        <v>1438.31</v>
      </c>
      <c r="Y872">
        <v>167.3</v>
      </c>
      <c r="Z872">
        <v>1605.61</v>
      </c>
      <c r="AA872" t="s">
        <v>63</v>
      </c>
      <c r="AB872">
        <v>0</v>
      </c>
      <c r="AC872">
        <v>80.88</v>
      </c>
      <c r="AD872">
        <v>373</v>
      </c>
      <c r="AE872">
        <v>364</v>
      </c>
    </row>
    <row r="873" spans="1:31" x14ac:dyDescent="0.25">
      <c r="A873" t="s">
        <v>4158</v>
      </c>
      <c r="B873" t="s">
        <v>4159</v>
      </c>
      <c r="C873" s="1">
        <v>44006</v>
      </c>
      <c r="D873" s="1">
        <v>44640</v>
      </c>
      <c r="E873" t="s">
        <v>66</v>
      </c>
      <c r="F873" t="s">
        <v>34</v>
      </c>
      <c r="G873" t="s">
        <v>94</v>
      </c>
      <c r="H873" t="s">
        <v>80</v>
      </c>
      <c r="I873" t="s">
        <v>4160</v>
      </c>
      <c r="J873" t="s">
        <v>96</v>
      </c>
      <c r="K873" t="s">
        <v>39</v>
      </c>
      <c r="L873" t="s">
        <v>947</v>
      </c>
      <c r="M873">
        <v>43.76</v>
      </c>
      <c r="N873">
        <v>81</v>
      </c>
      <c r="O873" t="s">
        <v>289</v>
      </c>
      <c r="P873" t="s">
        <v>42</v>
      </c>
      <c r="Q873" t="s">
        <v>488</v>
      </c>
      <c r="R873" t="s">
        <v>44</v>
      </c>
      <c r="S873" t="s">
        <v>45</v>
      </c>
      <c r="T873" t="s">
        <v>444</v>
      </c>
      <c r="U873">
        <v>282</v>
      </c>
      <c r="V873">
        <v>235</v>
      </c>
      <c r="W873">
        <v>26</v>
      </c>
      <c r="X873">
        <v>435.84</v>
      </c>
      <c r="Y873">
        <v>492.85</v>
      </c>
      <c r="Z873">
        <v>928.69</v>
      </c>
      <c r="AA873" t="s">
        <v>63</v>
      </c>
      <c r="AB873">
        <v>0</v>
      </c>
      <c r="AC873">
        <v>89.41</v>
      </c>
      <c r="AD873">
        <v>53</v>
      </c>
      <c r="AE873">
        <v>41</v>
      </c>
    </row>
    <row r="874" spans="1:31" x14ac:dyDescent="0.25">
      <c r="A874" t="s">
        <v>4161</v>
      </c>
      <c r="B874" t="s">
        <v>4162</v>
      </c>
      <c r="C874" s="1">
        <v>45318</v>
      </c>
      <c r="D874" s="1">
        <v>44581</v>
      </c>
      <c r="E874" t="s">
        <v>50</v>
      </c>
      <c r="F874" t="s">
        <v>34</v>
      </c>
      <c r="G874" t="s">
        <v>94</v>
      </c>
      <c r="H874" t="s">
        <v>148</v>
      </c>
      <c r="I874" t="s">
        <v>4163</v>
      </c>
      <c r="J874" t="s">
        <v>38</v>
      </c>
      <c r="K874" t="s">
        <v>56</v>
      </c>
      <c r="L874" t="s">
        <v>4164</v>
      </c>
      <c r="M874">
        <v>419.28</v>
      </c>
      <c r="N874">
        <v>92</v>
      </c>
      <c r="O874" t="s">
        <v>705</v>
      </c>
      <c r="P874" t="s">
        <v>42</v>
      </c>
      <c r="Q874" t="s">
        <v>514</v>
      </c>
      <c r="R874" t="s">
        <v>88</v>
      </c>
      <c r="S874" t="s">
        <v>101</v>
      </c>
      <c r="T874" t="s">
        <v>90</v>
      </c>
      <c r="U874">
        <v>4620</v>
      </c>
      <c r="V874">
        <v>389</v>
      </c>
      <c r="W874">
        <v>9</v>
      </c>
      <c r="X874">
        <v>324.97000000000003</v>
      </c>
      <c r="Y874">
        <v>24.55</v>
      </c>
      <c r="Z874">
        <v>349.52</v>
      </c>
      <c r="AA874" t="s">
        <v>63</v>
      </c>
      <c r="AB874">
        <v>0</v>
      </c>
      <c r="AC874">
        <v>75.89</v>
      </c>
      <c r="AD874">
        <v>489</v>
      </c>
      <c r="AE874">
        <v>451</v>
      </c>
    </row>
    <row r="875" spans="1:31" x14ac:dyDescent="0.25">
      <c r="A875" t="s">
        <v>4165</v>
      </c>
      <c r="B875" t="s">
        <v>4166</v>
      </c>
      <c r="C875" s="1">
        <v>44620</v>
      </c>
      <c r="D875" s="1">
        <v>45174</v>
      </c>
      <c r="E875" t="s">
        <v>50</v>
      </c>
      <c r="F875" t="s">
        <v>51</v>
      </c>
      <c r="G875" t="s">
        <v>105</v>
      </c>
      <c r="H875" t="s">
        <v>53</v>
      </c>
      <c r="I875" t="s">
        <v>4167</v>
      </c>
      <c r="J875" t="s">
        <v>96</v>
      </c>
      <c r="K875" t="s">
        <v>70</v>
      </c>
      <c r="L875" t="s">
        <v>4168</v>
      </c>
      <c r="M875">
        <v>344.53</v>
      </c>
      <c r="N875">
        <v>8</v>
      </c>
      <c r="O875" t="s">
        <v>4169</v>
      </c>
      <c r="P875" t="s">
        <v>86</v>
      </c>
      <c r="Q875" t="s">
        <v>315</v>
      </c>
      <c r="R875" t="s">
        <v>153</v>
      </c>
      <c r="S875" t="s">
        <v>89</v>
      </c>
      <c r="T875" t="s">
        <v>530</v>
      </c>
      <c r="U875">
        <v>4352</v>
      </c>
      <c r="V875">
        <v>484</v>
      </c>
      <c r="W875">
        <v>3</v>
      </c>
      <c r="X875">
        <v>403.43</v>
      </c>
      <c r="Y875">
        <v>107.55</v>
      </c>
      <c r="Z875">
        <v>510.98</v>
      </c>
      <c r="AA875" t="s">
        <v>63</v>
      </c>
      <c r="AB875">
        <v>0</v>
      </c>
      <c r="AC875">
        <v>94.09</v>
      </c>
      <c r="AD875">
        <v>183</v>
      </c>
      <c r="AE875">
        <v>134</v>
      </c>
    </row>
    <row r="876" spans="1:31" x14ac:dyDescent="0.25">
      <c r="A876" t="s">
        <v>4170</v>
      </c>
      <c r="B876" t="s">
        <v>4171</v>
      </c>
      <c r="C876" s="1">
        <v>44447</v>
      </c>
      <c r="D876" s="1">
        <v>43849</v>
      </c>
      <c r="E876" t="s">
        <v>50</v>
      </c>
      <c r="F876" t="s">
        <v>93</v>
      </c>
      <c r="G876" t="s">
        <v>105</v>
      </c>
      <c r="H876" t="s">
        <v>164</v>
      </c>
      <c r="I876" t="s">
        <v>4172</v>
      </c>
      <c r="J876" t="s">
        <v>55</v>
      </c>
      <c r="K876" t="s">
        <v>70</v>
      </c>
      <c r="L876" t="s">
        <v>4173</v>
      </c>
      <c r="M876">
        <v>90.05</v>
      </c>
      <c r="N876">
        <v>94</v>
      </c>
      <c r="O876" t="s">
        <v>3030</v>
      </c>
      <c r="P876" t="s">
        <v>86</v>
      </c>
      <c r="Q876" t="s">
        <v>428</v>
      </c>
      <c r="R876" t="s">
        <v>88</v>
      </c>
      <c r="S876" t="s">
        <v>89</v>
      </c>
      <c r="T876" t="s">
        <v>46</v>
      </c>
      <c r="U876">
        <v>3168</v>
      </c>
      <c r="V876">
        <v>303</v>
      </c>
      <c r="W876">
        <v>11</v>
      </c>
      <c r="X876">
        <v>1254.2</v>
      </c>
      <c r="Y876">
        <v>384.87</v>
      </c>
      <c r="Z876">
        <v>1639.07</v>
      </c>
      <c r="AA876" t="s">
        <v>47</v>
      </c>
      <c r="AB876">
        <v>14</v>
      </c>
      <c r="AC876">
        <v>72.47</v>
      </c>
      <c r="AD876">
        <v>63</v>
      </c>
      <c r="AE876">
        <v>31</v>
      </c>
    </row>
    <row r="877" spans="1:31" x14ac:dyDescent="0.25">
      <c r="A877" t="s">
        <v>4174</v>
      </c>
      <c r="B877" t="s">
        <v>4175</v>
      </c>
      <c r="C877" s="1">
        <v>44970</v>
      </c>
      <c r="D877" s="1">
        <v>45567</v>
      </c>
      <c r="E877" t="s">
        <v>66</v>
      </c>
      <c r="F877" t="s">
        <v>78</v>
      </c>
      <c r="G877" t="s">
        <v>337</v>
      </c>
      <c r="H877" t="s">
        <v>36</v>
      </c>
      <c r="I877" t="s">
        <v>4176</v>
      </c>
      <c r="J877" t="s">
        <v>55</v>
      </c>
      <c r="K877" t="s">
        <v>39</v>
      </c>
      <c r="L877" t="s">
        <v>892</v>
      </c>
      <c r="M877">
        <v>289.19</v>
      </c>
      <c r="N877">
        <v>85</v>
      </c>
      <c r="O877" t="s">
        <v>4177</v>
      </c>
      <c r="P877" t="s">
        <v>142</v>
      </c>
      <c r="Q877" t="s">
        <v>248</v>
      </c>
      <c r="R877" t="s">
        <v>61</v>
      </c>
      <c r="S877" t="s">
        <v>101</v>
      </c>
      <c r="T877" t="s">
        <v>434</v>
      </c>
      <c r="U877">
        <v>3406</v>
      </c>
      <c r="V877">
        <v>107</v>
      </c>
      <c r="W877">
        <v>23</v>
      </c>
      <c r="X877">
        <v>1958.23</v>
      </c>
      <c r="Y877">
        <v>241.1</v>
      </c>
      <c r="Z877">
        <v>2199.33</v>
      </c>
      <c r="AA877" t="s">
        <v>63</v>
      </c>
      <c r="AB877">
        <v>0</v>
      </c>
      <c r="AC877">
        <v>98.34</v>
      </c>
      <c r="AD877">
        <v>407</v>
      </c>
      <c r="AE877">
        <v>363</v>
      </c>
    </row>
    <row r="878" spans="1:31" x14ac:dyDescent="0.25">
      <c r="A878" t="s">
        <v>4178</v>
      </c>
      <c r="B878" t="s">
        <v>4179</v>
      </c>
      <c r="C878" s="1">
        <v>45327</v>
      </c>
      <c r="D878" s="1">
        <v>45295</v>
      </c>
      <c r="E878" t="s">
        <v>50</v>
      </c>
      <c r="F878" t="s">
        <v>147</v>
      </c>
      <c r="G878" t="s">
        <v>94</v>
      </c>
      <c r="H878" t="s">
        <v>116</v>
      </c>
      <c r="I878" t="s">
        <v>4180</v>
      </c>
      <c r="J878" t="s">
        <v>107</v>
      </c>
      <c r="K878" t="s">
        <v>39</v>
      </c>
      <c r="L878" t="s">
        <v>4181</v>
      </c>
      <c r="M878">
        <v>387.24</v>
      </c>
      <c r="N878">
        <v>51</v>
      </c>
      <c r="O878" t="s">
        <v>1466</v>
      </c>
      <c r="P878" t="s">
        <v>42</v>
      </c>
      <c r="Q878" t="s">
        <v>143</v>
      </c>
      <c r="R878" t="s">
        <v>88</v>
      </c>
      <c r="S878" t="s">
        <v>89</v>
      </c>
      <c r="T878" t="s">
        <v>183</v>
      </c>
      <c r="U878">
        <v>848</v>
      </c>
      <c r="V878">
        <v>395</v>
      </c>
      <c r="W878">
        <v>24</v>
      </c>
      <c r="X878">
        <v>467.02</v>
      </c>
      <c r="Y878">
        <v>38.92</v>
      </c>
      <c r="Z878">
        <v>505.94</v>
      </c>
      <c r="AA878" t="s">
        <v>63</v>
      </c>
      <c r="AB878">
        <v>0</v>
      </c>
      <c r="AC878">
        <v>73.12</v>
      </c>
      <c r="AD878">
        <v>202</v>
      </c>
      <c r="AE878">
        <v>244</v>
      </c>
    </row>
    <row r="879" spans="1:31" x14ac:dyDescent="0.25">
      <c r="A879" t="s">
        <v>4182</v>
      </c>
      <c r="B879" t="s">
        <v>1253</v>
      </c>
      <c r="C879" s="1">
        <v>44214</v>
      </c>
      <c r="D879" s="1">
        <v>44313</v>
      </c>
      <c r="E879" t="s">
        <v>66</v>
      </c>
      <c r="F879" t="s">
        <v>51</v>
      </c>
      <c r="G879" t="s">
        <v>35</v>
      </c>
      <c r="H879" t="s">
        <v>116</v>
      </c>
      <c r="I879" t="s">
        <v>4183</v>
      </c>
      <c r="J879" t="s">
        <v>107</v>
      </c>
      <c r="K879" t="s">
        <v>97</v>
      </c>
      <c r="L879" t="s">
        <v>4184</v>
      </c>
      <c r="M879">
        <v>446.04</v>
      </c>
      <c r="N879">
        <v>36</v>
      </c>
      <c r="O879" t="s">
        <v>2781</v>
      </c>
      <c r="P879" t="s">
        <v>86</v>
      </c>
      <c r="Q879" t="s">
        <v>428</v>
      </c>
      <c r="R879" t="s">
        <v>153</v>
      </c>
      <c r="S879" t="s">
        <v>128</v>
      </c>
      <c r="T879" t="s">
        <v>329</v>
      </c>
      <c r="U879">
        <v>4298</v>
      </c>
      <c r="V879">
        <v>85</v>
      </c>
      <c r="W879">
        <v>2</v>
      </c>
      <c r="X879">
        <v>136.57</v>
      </c>
      <c r="Y879">
        <v>398.54</v>
      </c>
      <c r="Z879">
        <v>535.11</v>
      </c>
      <c r="AA879" t="s">
        <v>63</v>
      </c>
      <c r="AB879">
        <v>0</v>
      </c>
      <c r="AC879">
        <v>89.72</v>
      </c>
      <c r="AD879">
        <v>366</v>
      </c>
      <c r="AE879">
        <v>393</v>
      </c>
    </row>
    <row r="880" spans="1:31" x14ac:dyDescent="0.25">
      <c r="A880" t="s">
        <v>4185</v>
      </c>
      <c r="B880" t="s">
        <v>4186</v>
      </c>
      <c r="C880" s="1">
        <v>43889</v>
      </c>
      <c r="D880" s="1">
        <v>44973</v>
      </c>
      <c r="E880" t="s">
        <v>66</v>
      </c>
      <c r="F880" t="s">
        <v>78</v>
      </c>
      <c r="G880" t="s">
        <v>67</v>
      </c>
      <c r="H880" t="s">
        <v>80</v>
      </c>
      <c r="I880" t="s">
        <v>4187</v>
      </c>
      <c r="J880" t="s">
        <v>38</v>
      </c>
      <c r="K880" t="s">
        <v>39</v>
      </c>
      <c r="L880" t="s">
        <v>4188</v>
      </c>
      <c r="M880">
        <v>182.97</v>
      </c>
      <c r="N880">
        <v>82</v>
      </c>
      <c r="O880" t="s">
        <v>1752</v>
      </c>
      <c r="P880" t="s">
        <v>86</v>
      </c>
      <c r="Q880" t="s">
        <v>700</v>
      </c>
      <c r="R880" t="s">
        <v>44</v>
      </c>
      <c r="S880" t="s">
        <v>101</v>
      </c>
      <c r="T880" t="s">
        <v>183</v>
      </c>
      <c r="U880">
        <v>1719</v>
      </c>
      <c r="V880">
        <v>273</v>
      </c>
      <c r="W880">
        <v>4</v>
      </c>
      <c r="X880">
        <v>1428.4</v>
      </c>
      <c r="Y880">
        <v>362.46</v>
      </c>
      <c r="Z880">
        <v>1790.86</v>
      </c>
      <c r="AA880" t="s">
        <v>63</v>
      </c>
      <c r="AB880">
        <v>0</v>
      </c>
      <c r="AC880">
        <v>90.59</v>
      </c>
      <c r="AD880">
        <v>74</v>
      </c>
      <c r="AE880">
        <v>52</v>
      </c>
    </row>
    <row r="881" spans="1:31" x14ac:dyDescent="0.25">
      <c r="A881" t="s">
        <v>4189</v>
      </c>
      <c r="B881" t="s">
        <v>4190</v>
      </c>
      <c r="C881" s="1">
        <v>44505</v>
      </c>
      <c r="D881" s="1">
        <v>44105</v>
      </c>
      <c r="E881" t="s">
        <v>66</v>
      </c>
      <c r="F881" t="s">
        <v>147</v>
      </c>
      <c r="G881" t="s">
        <v>105</v>
      </c>
      <c r="H881" t="s">
        <v>218</v>
      </c>
      <c r="I881" t="s">
        <v>4191</v>
      </c>
      <c r="J881" t="s">
        <v>107</v>
      </c>
      <c r="K881" t="s">
        <v>83</v>
      </c>
      <c r="L881" t="s">
        <v>4192</v>
      </c>
      <c r="M881">
        <v>108.94</v>
      </c>
      <c r="N881">
        <v>72</v>
      </c>
      <c r="O881" t="s">
        <v>4193</v>
      </c>
      <c r="P881" t="s">
        <v>86</v>
      </c>
      <c r="Q881" t="s">
        <v>127</v>
      </c>
      <c r="R881" t="s">
        <v>153</v>
      </c>
      <c r="S881" t="s">
        <v>101</v>
      </c>
      <c r="T881" t="s">
        <v>46</v>
      </c>
      <c r="U881">
        <v>1923</v>
      </c>
      <c r="V881">
        <v>488</v>
      </c>
      <c r="W881">
        <v>21</v>
      </c>
      <c r="X881">
        <v>1190.4000000000001</v>
      </c>
      <c r="Y881">
        <v>372.56</v>
      </c>
      <c r="Z881">
        <v>1562.96</v>
      </c>
      <c r="AA881" t="s">
        <v>63</v>
      </c>
      <c r="AB881">
        <v>0</v>
      </c>
      <c r="AC881">
        <v>94.18</v>
      </c>
      <c r="AD881">
        <v>278</v>
      </c>
      <c r="AE881">
        <v>242</v>
      </c>
    </row>
    <row r="882" spans="1:31" x14ac:dyDescent="0.25">
      <c r="A882" t="s">
        <v>4194</v>
      </c>
      <c r="B882" t="s">
        <v>3353</v>
      </c>
      <c r="C882" s="1">
        <v>45485</v>
      </c>
      <c r="D882" s="1">
        <v>44988</v>
      </c>
      <c r="E882" t="s">
        <v>50</v>
      </c>
      <c r="F882" t="s">
        <v>34</v>
      </c>
      <c r="G882" t="s">
        <v>79</v>
      </c>
      <c r="H882" t="s">
        <v>80</v>
      </c>
      <c r="I882" t="s">
        <v>4195</v>
      </c>
      <c r="J882" t="s">
        <v>55</v>
      </c>
      <c r="K882" t="s">
        <v>70</v>
      </c>
      <c r="L882" t="s">
        <v>4196</v>
      </c>
      <c r="M882">
        <v>374.22</v>
      </c>
      <c r="N882">
        <v>76</v>
      </c>
      <c r="O882" t="s">
        <v>2875</v>
      </c>
      <c r="P882" t="s">
        <v>142</v>
      </c>
      <c r="Q882" t="s">
        <v>529</v>
      </c>
      <c r="R882" t="s">
        <v>88</v>
      </c>
      <c r="S882" t="s">
        <v>45</v>
      </c>
      <c r="T882" t="s">
        <v>737</v>
      </c>
      <c r="U882">
        <v>3223</v>
      </c>
      <c r="V882">
        <v>95</v>
      </c>
      <c r="W882">
        <v>4</v>
      </c>
      <c r="X882">
        <v>1232.02</v>
      </c>
      <c r="Y882">
        <v>174.77</v>
      </c>
      <c r="Z882">
        <v>1406.79</v>
      </c>
      <c r="AA882" t="s">
        <v>47</v>
      </c>
      <c r="AB882">
        <v>14</v>
      </c>
      <c r="AC882">
        <v>83.83</v>
      </c>
      <c r="AD882">
        <v>476</v>
      </c>
      <c r="AE882">
        <v>495</v>
      </c>
    </row>
    <row r="883" spans="1:31" x14ac:dyDescent="0.25">
      <c r="A883" t="s">
        <v>4197</v>
      </c>
      <c r="B883" t="s">
        <v>4198</v>
      </c>
      <c r="C883" s="1">
        <v>44332</v>
      </c>
      <c r="D883" s="1">
        <v>44842</v>
      </c>
      <c r="E883" t="s">
        <v>50</v>
      </c>
      <c r="F883" t="s">
        <v>93</v>
      </c>
      <c r="G883" t="s">
        <v>105</v>
      </c>
      <c r="H883" t="s">
        <v>80</v>
      </c>
      <c r="I883" t="s">
        <v>4199</v>
      </c>
      <c r="J883" t="s">
        <v>82</v>
      </c>
      <c r="K883" t="s">
        <v>56</v>
      </c>
      <c r="L883" t="s">
        <v>4200</v>
      </c>
      <c r="M883">
        <v>496.3</v>
      </c>
      <c r="N883">
        <v>23</v>
      </c>
      <c r="O883" t="s">
        <v>1590</v>
      </c>
      <c r="P883" t="s">
        <v>142</v>
      </c>
      <c r="Q883" t="s">
        <v>404</v>
      </c>
      <c r="R883" t="s">
        <v>61</v>
      </c>
      <c r="S883" t="s">
        <v>128</v>
      </c>
      <c r="T883" t="s">
        <v>169</v>
      </c>
      <c r="U883">
        <v>2190</v>
      </c>
      <c r="V883">
        <v>72</v>
      </c>
      <c r="W883">
        <v>4</v>
      </c>
      <c r="X883">
        <v>267.63</v>
      </c>
      <c r="Y883">
        <v>268.79000000000002</v>
      </c>
      <c r="Z883">
        <v>536.42000000000007</v>
      </c>
      <c r="AA883" t="s">
        <v>63</v>
      </c>
      <c r="AB883">
        <v>0</v>
      </c>
      <c r="AC883">
        <v>94.59</v>
      </c>
      <c r="AD883">
        <v>413</v>
      </c>
      <c r="AE883">
        <v>446</v>
      </c>
    </row>
    <row r="884" spans="1:31" x14ac:dyDescent="0.25">
      <c r="A884" t="s">
        <v>4201</v>
      </c>
      <c r="B884" t="s">
        <v>4202</v>
      </c>
      <c r="C884" s="1">
        <v>44019</v>
      </c>
      <c r="D884" s="1">
        <v>45530</v>
      </c>
      <c r="E884" t="s">
        <v>50</v>
      </c>
      <c r="F884" t="s">
        <v>78</v>
      </c>
      <c r="G884" t="s">
        <v>337</v>
      </c>
      <c r="H884" t="s">
        <v>53</v>
      </c>
      <c r="I884" t="s">
        <v>4203</v>
      </c>
      <c r="J884" t="s">
        <v>82</v>
      </c>
      <c r="K884" t="s">
        <v>39</v>
      </c>
      <c r="L884" t="s">
        <v>4204</v>
      </c>
      <c r="M884">
        <v>36.24</v>
      </c>
      <c r="N884">
        <v>64</v>
      </c>
      <c r="O884" t="s">
        <v>614</v>
      </c>
      <c r="P884" t="s">
        <v>110</v>
      </c>
      <c r="Q884" t="s">
        <v>182</v>
      </c>
      <c r="R884" t="s">
        <v>88</v>
      </c>
      <c r="S884" t="s">
        <v>128</v>
      </c>
      <c r="T884" t="s">
        <v>1261</v>
      </c>
      <c r="U884">
        <v>2213</v>
      </c>
      <c r="V884">
        <v>411</v>
      </c>
      <c r="W884">
        <v>26</v>
      </c>
      <c r="X884">
        <v>109.92</v>
      </c>
      <c r="Y884">
        <v>41.8</v>
      </c>
      <c r="Z884">
        <v>151.72</v>
      </c>
      <c r="AA884" t="s">
        <v>63</v>
      </c>
      <c r="AB884">
        <v>0</v>
      </c>
      <c r="AC884">
        <v>83.89</v>
      </c>
      <c r="AD884">
        <v>481</v>
      </c>
      <c r="AE884">
        <v>528</v>
      </c>
    </row>
    <row r="885" spans="1:31" x14ac:dyDescent="0.25">
      <c r="A885" t="s">
        <v>4205</v>
      </c>
      <c r="B885" t="s">
        <v>4206</v>
      </c>
      <c r="C885" s="1">
        <v>44424</v>
      </c>
      <c r="D885" s="1">
        <v>44642</v>
      </c>
      <c r="E885" t="s">
        <v>66</v>
      </c>
      <c r="F885" t="s">
        <v>51</v>
      </c>
      <c r="G885" t="s">
        <v>337</v>
      </c>
      <c r="H885" t="s">
        <v>148</v>
      </c>
      <c r="I885" t="s">
        <v>4207</v>
      </c>
      <c r="J885" t="s">
        <v>38</v>
      </c>
      <c r="K885" t="s">
        <v>70</v>
      </c>
      <c r="L885" t="s">
        <v>4208</v>
      </c>
      <c r="M885">
        <v>129.79</v>
      </c>
      <c r="N885">
        <v>23</v>
      </c>
      <c r="O885" t="s">
        <v>1623</v>
      </c>
      <c r="P885" t="s">
        <v>110</v>
      </c>
      <c r="Q885" t="s">
        <v>347</v>
      </c>
      <c r="R885" t="s">
        <v>153</v>
      </c>
      <c r="S885" t="s">
        <v>74</v>
      </c>
      <c r="T885" t="s">
        <v>316</v>
      </c>
      <c r="U885">
        <v>3825</v>
      </c>
      <c r="V885">
        <v>183</v>
      </c>
      <c r="W885">
        <v>1</v>
      </c>
      <c r="X885">
        <v>166.23</v>
      </c>
      <c r="Y885">
        <v>263.66000000000003</v>
      </c>
      <c r="Z885">
        <v>429.89</v>
      </c>
      <c r="AA885" t="s">
        <v>63</v>
      </c>
      <c r="AB885">
        <v>0</v>
      </c>
      <c r="AC885">
        <v>86.49</v>
      </c>
      <c r="AD885">
        <v>433</v>
      </c>
      <c r="AE885">
        <v>420</v>
      </c>
    </row>
    <row r="886" spans="1:31" x14ac:dyDescent="0.25">
      <c r="A886" t="s">
        <v>4209</v>
      </c>
      <c r="B886" t="s">
        <v>4210</v>
      </c>
      <c r="C886" s="1">
        <v>45220</v>
      </c>
      <c r="D886" s="1">
        <v>45146</v>
      </c>
      <c r="E886" t="s">
        <v>33</v>
      </c>
      <c r="F886" t="s">
        <v>34</v>
      </c>
      <c r="G886" t="s">
        <v>35</v>
      </c>
      <c r="H886" t="s">
        <v>218</v>
      </c>
      <c r="I886" t="s">
        <v>4211</v>
      </c>
      <c r="J886" t="s">
        <v>96</v>
      </c>
      <c r="K886" t="s">
        <v>39</v>
      </c>
      <c r="L886" t="s">
        <v>4212</v>
      </c>
      <c r="M886">
        <v>273.74</v>
      </c>
      <c r="N886">
        <v>66</v>
      </c>
      <c r="O886" t="s">
        <v>4169</v>
      </c>
      <c r="P886" t="s">
        <v>59</v>
      </c>
      <c r="Q886" t="s">
        <v>261</v>
      </c>
      <c r="R886" t="s">
        <v>44</v>
      </c>
      <c r="S886" t="s">
        <v>101</v>
      </c>
      <c r="T886" t="s">
        <v>75</v>
      </c>
      <c r="U886">
        <v>1188</v>
      </c>
      <c r="V886">
        <v>346</v>
      </c>
      <c r="W886">
        <v>6</v>
      </c>
      <c r="X886">
        <v>396.08</v>
      </c>
      <c r="Y886">
        <v>436.08</v>
      </c>
      <c r="Z886">
        <v>832.16</v>
      </c>
      <c r="AA886" t="s">
        <v>63</v>
      </c>
      <c r="AB886">
        <v>0</v>
      </c>
      <c r="AC886">
        <v>98.2</v>
      </c>
      <c r="AD886">
        <v>245</v>
      </c>
      <c r="AE886">
        <v>285</v>
      </c>
    </row>
    <row r="887" spans="1:31" x14ac:dyDescent="0.25">
      <c r="A887" t="s">
        <v>4213</v>
      </c>
      <c r="B887" t="s">
        <v>4214</v>
      </c>
      <c r="C887" s="1">
        <v>45185</v>
      </c>
      <c r="D887" s="1">
        <v>43953</v>
      </c>
      <c r="E887" t="s">
        <v>50</v>
      </c>
      <c r="F887" t="s">
        <v>78</v>
      </c>
      <c r="G887" t="s">
        <v>79</v>
      </c>
      <c r="H887" t="s">
        <v>148</v>
      </c>
      <c r="I887" t="s">
        <v>4215</v>
      </c>
      <c r="J887" t="s">
        <v>107</v>
      </c>
      <c r="K887" t="s">
        <v>83</v>
      </c>
      <c r="L887" t="s">
        <v>3361</v>
      </c>
      <c r="M887">
        <v>55.76</v>
      </c>
      <c r="N887">
        <v>16</v>
      </c>
      <c r="O887" t="s">
        <v>839</v>
      </c>
      <c r="P887" t="s">
        <v>86</v>
      </c>
      <c r="Q887" t="s">
        <v>322</v>
      </c>
      <c r="R887" t="s">
        <v>44</v>
      </c>
      <c r="S887" t="s">
        <v>101</v>
      </c>
      <c r="T887" t="s">
        <v>652</v>
      </c>
      <c r="U887">
        <v>1461</v>
      </c>
      <c r="V887">
        <v>62</v>
      </c>
      <c r="W887">
        <v>15</v>
      </c>
      <c r="X887">
        <v>1315.19</v>
      </c>
      <c r="Y887">
        <v>182.28</v>
      </c>
      <c r="Z887">
        <v>1497.47</v>
      </c>
      <c r="AA887" t="s">
        <v>63</v>
      </c>
      <c r="AB887">
        <v>0</v>
      </c>
      <c r="AC887">
        <v>95.99</v>
      </c>
      <c r="AD887">
        <v>298</v>
      </c>
      <c r="AE887">
        <v>323</v>
      </c>
    </row>
    <row r="888" spans="1:31" x14ac:dyDescent="0.25">
      <c r="A888" t="s">
        <v>4216</v>
      </c>
      <c r="B888" t="s">
        <v>4217</v>
      </c>
      <c r="C888" s="1">
        <v>44660</v>
      </c>
      <c r="D888" s="1">
        <v>45639</v>
      </c>
      <c r="E888" t="s">
        <v>50</v>
      </c>
      <c r="F888" t="s">
        <v>51</v>
      </c>
      <c r="G888" t="s">
        <v>67</v>
      </c>
      <c r="H888" t="s">
        <v>148</v>
      </c>
      <c r="I888" t="s">
        <v>4218</v>
      </c>
      <c r="J888" t="s">
        <v>55</v>
      </c>
      <c r="K888" t="s">
        <v>70</v>
      </c>
      <c r="L888" t="s">
        <v>4219</v>
      </c>
      <c r="M888">
        <v>167.3</v>
      </c>
      <c r="N888">
        <v>52</v>
      </c>
      <c r="O888" t="s">
        <v>1427</v>
      </c>
      <c r="P888" t="s">
        <v>42</v>
      </c>
      <c r="Q888" t="s">
        <v>364</v>
      </c>
      <c r="R888" t="s">
        <v>153</v>
      </c>
      <c r="S888" t="s">
        <v>74</v>
      </c>
      <c r="T888" t="s">
        <v>652</v>
      </c>
      <c r="U888">
        <v>1800</v>
      </c>
      <c r="V888">
        <v>143</v>
      </c>
      <c r="W888">
        <v>29</v>
      </c>
      <c r="X888">
        <v>95.4</v>
      </c>
      <c r="Y888">
        <v>196.07</v>
      </c>
      <c r="Z888">
        <v>291.47000000000003</v>
      </c>
      <c r="AA888" t="s">
        <v>63</v>
      </c>
      <c r="AB888">
        <v>0</v>
      </c>
      <c r="AC888">
        <v>96.63</v>
      </c>
      <c r="AD888">
        <v>94</v>
      </c>
      <c r="AE888">
        <v>79</v>
      </c>
    </row>
    <row r="889" spans="1:31" x14ac:dyDescent="0.25">
      <c r="A889" t="s">
        <v>4220</v>
      </c>
      <c r="B889" t="s">
        <v>4221</v>
      </c>
      <c r="C889" s="1">
        <v>45624</v>
      </c>
      <c r="D889" s="1">
        <v>45426</v>
      </c>
      <c r="E889" t="s">
        <v>66</v>
      </c>
      <c r="F889" t="s">
        <v>78</v>
      </c>
      <c r="G889" t="s">
        <v>79</v>
      </c>
      <c r="H889" t="s">
        <v>218</v>
      </c>
      <c r="I889" t="s">
        <v>4222</v>
      </c>
      <c r="J889" t="s">
        <v>38</v>
      </c>
      <c r="K889" t="s">
        <v>70</v>
      </c>
      <c r="L889" t="s">
        <v>4223</v>
      </c>
      <c r="M889">
        <v>30.4</v>
      </c>
      <c r="N889">
        <v>46</v>
      </c>
      <c r="O889" t="s">
        <v>4224</v>
      </c>
      <c r="P889" t="s">
        <v>86</v>
      </c>
      <c r="Q889" t="s">
        <v>700</v>
      </c>
      <c r="R889" t="s">
        <v>88</v>
      </c>
      <c r="S889" t="s">
        <v>89</v>
      </c>
      <c r="T889" t="s">
        <v>62</v>
      </c>
      <c r="U889">
        <v>2981</v>
      </c>
      <c r="V889">
        <v>291</v>
      </c>
      <c r="W889">
        <v>1</v>
      </c>
      <c r="X889">
        <v>1899.42</v>
      </c>
      <c r="Y889">
        <v>342.32</v>
      </c>
      <c r="Z889">
        <v>2241.7399999999998</v>
      </c>
      <c r="AA889" t="s">
        <v>63</v>
      </c>
      <c r="AB889">
        <v>0</v>
      </c>
      <c r="AC889">
        <v>86.6</v>
      </c>
      <c r="AD889">
        <v>190</v>
      </c>
      <c r="AE889">
        <v>190</v>
      </c>
    </row>
    <row r="890" spans="1:31" x14ac:dyDescent="0.25">
      <c r="A890" t="s">
        <v>4225</v>
      </c>
      <c r="B890" t="s">
        <v>4226</v>
      </c>
      <c r="C890" s="1">
        <v>44907</v>
      </c>
      <c r="D890" s="1">
        <v>44234</v>
      </c>
      <c r="E890" t="s">
        <v>66</v>
      </c>
      <c r="F890" t="s">
        <v>147</v>
      </c>
      <c r="G890" t="s">
        <v>35</v>
      </c>
      <c r="H890" t="s">
        <v>164</v>
      </c>
      <c r="I890" t="s">
        <v>4227</v>
      </c>
      <c r="J890" t="s">
        <v>82</v>
      </c>
      <c r="K890" t="s">
        <v>70</v>
      </c>
      <c r="L890" t="s">
        <v>4228</v>
      </c>
      <c r="M890">
        <v>284.3</v>
      </c>
      <c r="N890">
        <v>9</v>
      </c>
      <c r="O890" t="s">
        <v>540</v>
      </c>
      <c r="P890" t="s">
        <v>42</v>
      </c>
      <c r="Q890" t="s">
        <v>87</v>
      </c>
      <c r="R890" t="s">
        <v>44</v>
      </c>
      <c r="S890" t="s">
        <v>128</v>
      </c>
      <c r="T890" t="s">
        <v>415</v>
      </c>
      <c r="U890">
        <v>1850</v>
      </c>
      <c r="V890">
        <v>69</v>
      </c>
      <c r="W890">
        <v>23</v>
      </c>
      <c r="X890">
        <v>1299.18</v>
      </c>
      <c r="Y890">
        <v>169.7</v>
      </c>
      <c r="Z890">
        <v>1468.88</v>
      </c>
      <c r="AA890" t="s">
        <v>63</v>
      </c>
      <c r="AB890">
        <v>0</v>
      </c>
      <c r="AC890">
        <v>89.36</v>
      </c>
      <c r="AD890">
        <v>212</v>
      </c>
      <c r="AE890">
        <v>253</v>
      </c>
    </row>
    <row r="891" spans="1:31" x14ac:dyDescent="0.25">
      <c r="A891" t="s">
        <v>4229</v>
      </c>
      <c r="B891" t="s">
        <v>4230</v>
      </c>
      <c r="C891" s="1">
        <v>45140</v>
      </c>
      <c r="D891" s="1">
        <v>45119</v>
      </c>
      <c r="E891" t="s">
        <v>66</v>
      </c>
      <c r="F891" t="s">
        <v>51</v>
      </c>
      <c r="G891" t="s">
        <v>115</v>
      </c>
      <c r="H891" t="s">
        <v>218</v>
      </c>
      <c r="I891" t="s">
        <v>4231</v>
      </c>
      <c r="J891" t="s">
        <v>82</v>
      </c>
      <c r="K891" t="s">
        <v>39</v>
      </c>
      <c r="L891" t="s">
        <v>4232</v>
      </c>
      <c r="M891">
        <v>151.66999999999999</v>
      </c>
      <c r="N891">
        <v>82</v>
      </c>
      <c r="O891" t="s">
        <v>4233</v>
      </c>
      <c r="P891" t="s">
        <v>142</v>
      </c>
      <c r="Q891" t="s">
        <v>73</v>
      </c>
      <c r="R891" t="s">
        <v>88</v>
      </c>
      <c r="S891" t="s">
        <v>128</v>
      </c>
      <c r="T891" t="s">
        <v>434</v>
      </c>
      <c r="U891">
        <v>2828</v>
      </c>
      <c r="V891">
        <v>492</v>
      </c>
      <c r="W891">
        <v>8</v>
      </c>
      <c r="X891">
        <v>695.89</v>
      </c>
      <c r="Y891">
        <v>210.76</v>
      </c>
      <c r="Z891">
        <v>906.65</v>
      </c>
      <c r="AA891" t="s">
        <v>63</v>
      </c>
      <c r="AB891">
        <v>0</v>
      </c>
      <c r="AC891">
        <v>85.59</v>
      </c>
      <c r="AD891">
        <v>306</v>
      </c>
      <c r="AE891">
        <v>316</v>
      </c>
    </row>
    <row r="892" spans="1:31" x14ac:dyDescent="0.25">
      <c r="A892" t="s">
        <v>4234</v>
      </c>
      <c r="B892" t="s">
        <v>4235</v>
      </c>
      <c r="C892" s="1">
        <v>45379</v>
      </c>
      <c r="D892" s="1">
        <v>44494</v>
      </c>
      <c r="E892" t="s">
        <v>66</v>
      </c>
      <c r="F892" t="s">
        <v>34</v>
      </c>
      <c r="G892" t="s">
        <v>337</v>
      </c>
      <c r="H892" t="s">
        <v>218</v>
      </c>
      <c r="I892" t="s">
        <v>4236</v>
      </c>
      <c r="J892" t="s">
        <v>96</v>
      </c>
      <c r="K892" t="s">
        <v>56</v>
      </c>
      <c r="L892" t="s">
        <v>4237</v>
      </c>
      <c r="M892">
        <v>404.41</v>
      </c>
      <c r="N892">
        <v>91</v>
      </c>
      <c r="O892" t="s">
        <v>4238</v>
      </c>
      <c r="P892" t="s">
        <v>110</v>
      </c>
      <c r="Q892" t="s">
        <v>558</v>
      </c>
      <c r="R892" t="s">
        <v>44</v>
      </c>
      <c r="S892" t="s">
        <v>45</v>
      </c>
      <c r="T892" t="s">
        <v>255</v>
      </c>
      <c r="U892">
        <v>3621</v>
      </c>
      <c r="V892">
        <v>364</v>
      </c>
      <c r="W892">
        <v>10</v>
      </c>
      <c r="X892">
        <v>662.77</v>
      </c>
      <c r="Y892">
        <v>402.51</v>
      </c>
      <c r="Z892">
        <v>1065.28</v>
      </c>
      <c r="AA892" t="s">
        <v>63</v>
      </c>
      <c r="AB892">
        <v>0</v>
      </c>
      <c r="AC892">
        <v>98.67</v>
      </c>
      <c r="AD892">
        <v>351</v>
      </c>
      <c r="AE892">
        <v>392</v>
      </c>
    </row>
    <row r="893" spans="1:31" x14ac:dyDescent="0.25">
      <c r="A893" t="s">
        <v>4239</v>
      </c>
      <c r="B893" t="s">
        <v>4240</v>
      </c>
      <c r="C893" s="1">
        <v>45388</v>
      </c>
      <c r="D893" s="1">
        <v>45389</v>
      </c>
      <c r="E893" t="s">
        <v>50</v>
      </c>
      <c r="F893" t="s">
        <v>147</v>
      </c>
      <c r="G893" t="s">
        <v>35</v>
      </c>
      <c r="H893" t="s">
        <v>148</v>
      </c>
      <c r="I893" t="s">
        <v>4241</v>
      </c>
      <c r="J893" t="s">
        <v>96</v>
      </c>
      <c r="K893" t="s">
        <v>70</v>
      </c>
      <c r="L893" t="s">
        <v>4242</v>
      </c>
      <c r="M893">
        <v>253.08</v>
      </c>
      <c r="N893">
        <v>36</v>
      </c>
      <c r="O893" t="s">
        <v>4157</v>
      </c>
      <c r="P893" t="s">
        <v>110</v>
      </c>
      <c r="Q893" t="s">
        <v>926</v>
      </c>
      <c r="R893" t="s">
        <v>44</v>
      </c>
      <c r="S893" t="s">
        <v>74</v>
      </c>
      <c r="T893" t="s">
        <v>927</v>
      </c>
      <c r="U893">
        <v>2855</v>
      </c>
      <c r="V893">
        <v>393</v>
      </c>
      <c r="W893">
        <v>22</v>
      </c>
      <c r="X893">
        <v>200.42</v>
      </c>
      <c r="Y893">
        <v>265.24</v>
      </c>
      <c r="Z893">
        <v>465.66</v>
      </c>
      <c r="AA893" t="s">
        <v>63</v>
      </c>
      <c r="AB893">
        <v>0</v>
      </c>
      <c r="AC893">
        <v>86.96</v>
      </c>
      <c r="AD893">
        <v>432</v>
      </c>
      <c r="AE893">
        <v>467</v>
      </c>
    </row>
    <row r="894" spans="1:31" x14ac:dyDescent="0.25">
      <c r="A894" t="s">
        <v>4243</v>
      </c>
      <c r="B894" t="s">
        <v>4244</v>
      </c>
      <c r="C894" s="1">
        <v>44940</v>
      </c>
      <c r="D894" s="1">
        <v>44969</v>
      </c>
      <c r="E894" t="s">
        <v>66</v>
      </c>
      <c r="F894" t="s">
        <v>51</v>
      </c>
      <c r="G894" t="s">
        <v>52</v>
      </c>
      <c r="H894" t="s">
        <v>68</v>
      </c>
      <c r="I894" t="s">
        <v>4245</v>
      </c>
      <c r="J894" t="s">
        <v>55</v>
      </c>
      <c r="K894" t="s">
        <v>56</v>
      </c>
      <c r="L894" t="s">
        <v>4246</v>
      </c>
      <c r="M894">
        <v>413.48</v>
      </c>
      <c r="N894">
        <v>24</v>
      </c>
      <c r="O894" t="s">
        <v>2576</v>
      </c>
      <c r="P894" t="s">
        <v>142</v>
      </c>
      <c r="Q894" t="s">
        <v>168</v>
      </c>
      <c r="R894" t="s">
        <v>61</v>
      </c>
      <c r="S894" t="s">
        <v>45</v>
      </c>
      <c r="T894" t="s">
        <v>129</v>
      </c>
      <c r="U894">
        <v>756</v>
      </c>
      <c r="V894">
        <v>276</v>
      </c>
      <c r="W894">
        <v>8</v>
      </c>
      <c r="X894">
        <v>1965.51</v>
      </c>
      <c r="Y894">
        <v>285.73</v>
      </c>
      <c r="Z894">
        <v>2251.2399999999998</v>
      </c>
      <c r="AA894" t="s">
        <v>63</v>
      </c>
      <c r="AB894">
        <v>0</v>
      </c>
      <c r="AC894">
        <v>86.18</v>
      </c>
      <c r="AD894">
        <v>79</v>
      </c>
      <c r="AE894">
        <v>35</v>
      </c>
    </row>
    <row r="895" spans="1:31" x14ac:dyDescent="0.25">
      <c r="A895" t="s">
        <v>4247</v>
      </c>
      <c r="B895" t="s">
        <v>4248</v>
      </c>
      <c r="C895" s="1">
        <v>44836</v>
      </c>
      <c r="D895" s="1">
        <v>44202</v>
      </c>
      <c r="E895" t="s">
        <v>66</v>
      </c>
      <c r="F895" t="s">
        <v>51</v>
      </c>
      <c r="G895" t="s">
        <v>115</v>
      </c>
      <c r="H895" t="s">
        <v>116</v>
      </c>
      <c r="I895" t="s">
        <v>4249</v>
      </c>
      <c r="J895" t="s">
        <v>38</v>
      </c>
      <c r="K895" t="s">
        <v>56</v>
      </c>
      <c r="L895" t="s">
        <v>4250</v>
      </c>
      <c r="M895">
        <v>327.02</v>
      </c>
      <c r="N895">
        <v>39</v>
      </c>
      <c r="O895" t="s">
        <v>1276</v>
      </c>
      <c r="P895" t="s">
        <v>86</v>
      </c>
      <c r="Q895" t="s">
        <v>214</v>
      </c>
      <c r="R895" t="s">
        <v>44</v>
      </c>
      <c r="S895" t="s">
        <v>101</v>
      </c>
      <c r="T895" t="s">
        <v>169</v>
      </c>
      <c r="U895">
        <v>4974</v>
      </c>
      <c r="V895">
        <v>208</v>
      </c>
      <c r="W895">
        <v>9</v>
      </c>
      <c r="X895">
        <v>1280.0999999999999</v>
      </c>
      <c r="Y895">
        <v>18.329999999999998</v>
      </c>
      <c r="Z895">
        <v>1298.43</v>
      </c>
      <c r="AA895" t="s">
        <v>63</v>
      </c>
      <c r="AB895">
        <v>0</v>
      </c>
      <c r="AC895">
        <v>86.32</v>
      </c>
      <c r="AD895">
        <v>346</v>
      </c>
      <c r="AE895">
        <v>324</v>
      </c>
    </row>
    <row r="896" spans="1:31" x14ac:dyDescent="0.25">
      <c r="A896" t="s">
        <v>4251</v>
      </c>
      <c r="B896" t="s">
        <v>4252</v>
      </c>
      <c r="C896" s="1">
        <v>43839</v>
      </c>
      <c r="D896" s="1">
        <v>45169</v>
      </c>
      <c r="E896" t="s">
        <v>66</v>
      </c>
      <c r="F896" t="s">
        <v>78</v>
      </c>
      <c r="G896" t="s">
        <v>79</v>
      </c>
      <c r="H896" t="s">
        <v>148</v>
      </c>
      <c r="I896" t="s">
        <v>4253</v>
      </c>
      <c r="J896" t="s">
        <v>82</v>
      </c>
      <c r="K896" t="s">
        <v>97</v>
      </c>
      <c r="L896" t="s">
        <v>4254</v>
      </c>
      <c r="M896">
        <v>256.17</v>
      </c>
      <c r="N896">
        <v>22</v>
      </c>
      <c r="O896" t="s">
        <v>1766</v>
      </c>
      <c r="P896" t="s">
        <v>42</v>
      </c>
      <c r="Q896" t="s">
        <v>609</v>
      </c>
      <c r="R896" t="s">
        <v>44</v>
      </c>
      <c r="S896" t="s">
        <v>89</v>
      </c>
      <c r="T896" t="s">
        <v>183</v>
      </c>
      <c r="U896">
        <v>3012</v>
      </c>
      <c r="V896">
        <v>322</v>
      </c>
      <c r="W896">
        <v>25</v>
      </c>
      <c r="X896">
        <v>73.37</v>
      </c>
      <c r="Y896">
        <v>490.49</v>
      </c>
      <c r="Z896">
        <v>563.86</v>
      </c>
      <c r="AA896" t="s">
        <v>63</v>
      </c>
      <c r="AB896">
        <v>0</v>
      </c>
      <c r="AC896">
        <v>72.28</v>
      </c>
      <c r="AD896">
        <v>300</v>
      </c>
      <c r="AE896">
        <v>299</v>
      </c>
    </row>
    <row r="897" spans="1:31" x14ac:dyDescent="0.25">
      <c r="A897" t="s">
        <v>4255</v>
      </c>
      <c r="B897" t="s">
        <v>4256</v>
      </c>
      <c r="C897" s="1">
        <v>45504</v>
      </c>
      <c r="D897" s="1">
        <v>44644</v>
      </c>
      <c r="E897" t="s">
        <v>50</v>
      </c>
      <c r="F897" t="s">
        <v>51</v>
      </c>
      <c r="G897" t="s">
        <v>105</v>
      </c>
      <c r="H897" t="s">
        <v>80</v>
      </c>
      <c r="I897" t="s">
        <v>4257</v>
      </c>
      <c r="J897" t="s">
        <v>96</v>
      </c>
      <c r="K897" t="s">
        <v>83</v>
      </c>
      <c r="L897" t="s">
        <v>4258</v>
      </c>
      <c r="M897">
        <v>338.58</v>
      </c>
      <c r="N897">
        <v>55</v>
      </c>
      <c r="O897" t="s">
        <v>4259</v>
      </c>
      <c r="P897" t="s">
        <v>86</v>
      </c>
      <c r="Q897" t="s">
        <v>87</v>
      </c>
      <c r="R897" t="s">
        <v>88</v>
      </c>
      <c r="S897" t="s">
        <v>101</v>
      </c>
      <c r="T897" t="s">
        <v>291</v>
      </c>
      <c r="U897">
        <v>111</v>
      </c>
      <c r="V897">
        <v>295</v>
      </c>
      <c r="W897">
        <v>21</v>
      </c>
      <c r="X897">
        <v>1918.15</v>
      </c>
      <c r="Y897">
        <v>94.89</v>
      </c>
      <c r="Z897">
        <v>2013.04</v>
      </c>
      <c r="AA897" t="s">
        <v>63</v>
      </c>
      <c r="AB897">
        <v>0</v>
      </c>
      <c r="AC897">
        <v>77.430000000000007</v>
      </c>
      <c r="AD897">
        <v>338</v>
      </c>
      <c r="AE897">
        <v>298</v>
      </c>
    </row>
    <row r="898" spans="1:31" x14ac:dyDescent="0.25">
      <c r="A898" t="s">
        <v>4260</v>
      </c>
      <c r="B898" t="s">
        <v>4261</v>
      </c>
      <c r="C898" s="1">
        <v>44503</v>
      </c>
      <c r="D898" s="1">
        <v>44039</v>
      </c>
      <c r="E898" t="s">
        <v>66</v>
      </c>
      <c r="F898" t="s">
        <v>93</v>
      </c>
      <c r="G898" t="s">
        <v>67</v>
      </c>
      <c r="H898" t="s">
        <v>116</v>
      </c>
      <c r="I898" t="s">
        <v>4262</v>
      </c>
      <c r="J898" t="s">
        <v>96</v>
      </c>
      <c r="K898" t="s">
        <v>56</v>
      </c>
      <c r="L898" t="s">
        <v>4263</v>
      </c>
      <c r="M898">
        <v>432.23</v>
      </c>
      <c r="N898">
        <v>19</v>
      </c>
      <c r="O898" t="s">
        <v>4264</v>
      </c>
      <c r="P898" t="s">
        <v>86</v>
      </c>
      <c r="Q898" t="s">
        <v>700</v>
      </c>
      <c r="R898" t="s">
        <v>88</v>
      </c>
      <c r="S898" t="s">
        <v>45</v>
      </c>
      <c r="T898" t="s">
        <v>721</v>
      </c>
      <c r="U898">
        <v>3749</v>
      </c>
      <c r="V898">
        <v>430</v>
      </c>
      <c r="W898">
        <v>22</v>
      </c>
      <c r="X898">
        <v>1935.66</v>
      </c>
      <c r="Y898">
        <v>440.16</v>
      </c>
      <c r="Z898">
        <v>2375.8200000000002</v>
      </c>
      <c r="AA898" t="s">
        <v>63</v>
      </c>
      <c r="AB898">
        <v>0</v>
      </c>
      <c r="AC898">
        <v>83.13</v>
      </c>
      <c r="AD898">
        <v>201</v>
      </c>
      <c r="AE898">
        <v>194</v>
      </c>
    </row>
    <row r="899" spans="1:31" x14ac:dyDescent="0.25">
      <c r="A899" t="s">
        <v>4265</v>
      </c>
      <c r="B899" t="s">
        <v>4266</v>
      </c>
      <c r="C899" s="1">
        <v>45307</v>
      </c>
      <c r="D899" s="1">
        <v>44745</v>
      </c>
      <c r="E899" t="s">
        <v>66</v>
      </c>
      <c r="F899" t="s">
        <v>34</v>
      </c>
      <c r="G899" t="s">
        <v>79</v>
      </c>
      <c r="H899" t="s">
        <v>53</v>
      </c>
      <c r="I899" t="s">
        <v>4267</v>
      </c>
      <c r="J899" t="s">
        <v>55</v>
      </c>
      <c r="K899" t="s">
        <v>83</v>
      </c>
      <c r="L899" t="s">
        <v>4268</v>
      </c>
      <c r="M899">
        <v>119.9</v>
      </c>
      <c r="N899">
        <v>55</v>
      </c>
      <c r="O899" t="s">
        <v>1658</v>
      </c>
      <c r="P899" t="s">
        <v>142</v>
      </c>
      <c r="Q899" t="s">
        <v>364</v>
      </c>
      <c r="R899" t="s">
        <v>61</v>
      </c>
      <c r="S899" t="s">
        <v>74</v>
      </c>
      <c r="T899" t="s">
        <v>196</v>
      </c>
      <c r="U899">
        <v>1386</v>
      </c>
      <c r="V899">
        <v>263</v>
      </c>
      <c r="W899">
        <v>1</v>
      </c>
      <c r="X899">
        <v>846.75</v>
      </c>
      <c r="Y899">
        <v>480.18</v>
      </c>
      <c r="Z899">
        <v>1326.93</v>
      </c>
      <c r="AA899" t="s">
        <v>63</v>
      </c>
      <c r="AB899">
        <v>0</v>
      </c>
      <c r="AC899">
        <v>77.400000000000006</v>
      </c>
      <c r="AD899">
        <v>210</v>
      </c>
      <c r="AE899">
        <v>233</v>
      </c>
    </row>
    <row r="900" spans="1:31" x14ac:dyDescent="0.25">
      <c r="A900" t="s">
        <v>4269</v>
      </c>
      <c r="B900" t="s">
        <v>4270</v>
      </c>
      <c r="C900" s="1">
        <v>44050</v>
      </c>
      <c r="D900" s="1">
        <v>45345</v>
      </c>
      <c r="E900" t="s">
        <v>66</v>
      </c>
      <c r="F900" t="s">
        <v>51</v>
      </c>
      <c r="G900" t="s">
        <v>105</v>
      </c>
      <c r="H900" t="s">
        <v>36</v>
      </c>
      <c r="I900" t="s">
        <v>4271</v>
      </c>
      <c r="J900" t="s">
        <v>38</v>
      </c>
      <c r="K900" t="s">
        <v>97</v>
      </c>
      <c r="L900" t="s">
        <v>4272</v>
      </c>
      <c r="M900">
        <v>25.82</v>
      </c>
      <c r="N900">
        <v>17</v>
      </c>
      <c r="O900" t="s">
        <v>4273</v>
      </c>
      <c r="P900" t="s">
        <v>142</v>
      </c>
      <c r="Q900" t="s">
        <v>529</v>
      </c>
      <c r="R900" t="s">
        <v>88</v>
      </c>
      <c r="S900" t="s">
        <v>45</v>
      </c>
      <c r="T900" t="s">
        <v>203</v>
      </c>
      <c r="U900">
        <v>3811</v>
      </c>
      <c r="V900">
        <v>259</v>
      </c>
      <c r="W900">
        <v>25</v>
      </c>
      <c r="X900">
        <v>1263.24</v>
      </c>
      <c r="Y900">
        <v>325.43</v>
      </c>
      <c r="Z900">
        <v>1588.67</v>
      </c>
      <c r="AA900" t="s">
        <v>63</v>
      </c>
      <c r="AB900">
        <v>0</v>
      </c>
      <c r="AC900">
        <v>99.03</v>
      </c>
      <c r="AD900">
        <v>432</v>
      </c>
      <c r="AE900">
        <v>437</v>
      </c>
    </row>
    <row r="901" spans="1:31" x14ac:dyDescent="0.25">
      <c r="A901" t="s">
        <v>4274</v>
      </c>
      <c r="B901" t="s">
        <v>2841</v>
      </c>
      <c r="C901" s="1">
        <v>44524</v>
      </c>
      <c r="D901" s="1">
        <v>44893</v>
      </c>
      <c r="E901" t="s">
        <v>50</v>
      </c>
      <c r="F901" t="s">
        <v>51</v>
      </c>
      <c r="G901" t="s">
        <v>79</v>
      </c>
      <c r="H901" t="s">
        <v>53</v>
      </c>
      <c r="I901" t="s">
        <v>4275</v>
      </c>
      <c r="J901" t="s">
        <v>107</v>
      </c>
      <c r="K901" t="s">
        <v>39</v>
      </c>
      <c r="L901" t="s">
        <v>4276</v>
      </c>
      <c r="M901">
        <v>16.8</v>
      </c>
      <c r="N901">
        <v>56</v>
      </c>
      <c r="O901" t="s">
        <v>4277</v>
      </c>
      <c r="P901" t="s">
        <v>110</v>
      </c>
      <c r="Q901" t="s">
        <v>455</v>
      </c>
      <c r="R901" t="s">
        <v>153</v>
      </c>
      <c r="S901" t="s">
        <v>128</v>
      </c>
      <c r="T901" t="s">
        <v>249</v>
      </c>
      <c r="U901">
        <v>715</v>
      </c>
      <c r="V901">
        <v>260</v>
      </c>
      <c r="W901">
        <v>5</v>
      </c>
      <c r="X901">
        <v>58.34</v>
      </c>
      <c r="Y901">
        <v>90.53</v>
      </c>
      <c r="Z901">
        <v>148.87</v>
      </c>
      <c r="AA901" t="s">
        <v>63</v>
      </c>
      <c r="AB901">
        <v>0</v>
      </c>
      <c r="AC901">
        <v>77.44</v>
      </c>
      <c r="AD901">
        <v>165</v>
      </c>
      <c r="AE901">
        <v>160</v>
      </c>
    </row>
    <row r="902" spans="1:31" x14ac:dyDescent="0.25">
      <c r="A902" t="s">
        <v>4278</v>
      </c>
      <c r="B902" t="s">
        <v>4279</v>
      </c>
      <c r="C902" s="1">
        <v>43923</v>
      </c>
      <c r="D902" s="1">
        <v>45396</v>
      </c>
      <c r="E902" t="s">
        <v>66</v>
      </c>
      <c r="F902" t="s">
        <v>51</v>
      </c>
      <c r="G902" t="s">
        <v>67</v>
      </c>
      <c r="H902" t="s">
        <v>36</v>
      </c>
      <c r="I902" t="s">
        <v>4280</v>
      </c>
      <c r="J902" t="s">
        <v>107</v>
      </c>
      <c r="K902" t="s">
        <v>70</v>
      </c>
      <c r="L902" t="s">
        <v>4281</v>
      </c>
      <c r="M902">
        <v>218.43</v>
      </c>
      <c r="N902">
        <v>3</v>
      </c>
      <c r="O902" t="s">
        <v>4282</v>
      </c>
      <c r="P902" t="s">
        <v>86</v>
      </c>
      <c r="Q902" t="s">
        <v>127</v>
      </c>
      <c r="R902" t="s">
        <v>88</v>
      </c>
      <c r="S902" t="s">
        <v>89</v>
      </c>
      <c r="T902" t="s">
        <v>46</v>
      </c>
      <c r="U902">
        <v>2096</v>
      </c>
      <c r="V902">
        <v>245</v>
      </c>
      <c r="W902">
        <v>27</v>
      </c>
      <c r="X902">
        <v>1979.64</v>
      </c>
      <c r="Y902">
        <v>325.19</v>
      </c>
      <c r="Z902">
        <v>2304.83</v>
      </c>
      <c r="AA902" t="s">
        <v>63</v>
      </c>
      <c r="AB902">
        <v>0</v>
      </c>
      <c r="AC902">
        <v>86.09</v>
      </c>
      <c r="AD902">
        <v>227</v>
      </c>
      <c r="AE902">
        <v>233</v>
      </c>
    </row>
    <row r="903" spans="1:31" x14ac:dyDescent="0.25">
      <c r="A903" t="s">
        <v>4283</v>
      </c>
      <c r="B903" t="s">
        <v>4284</v>
      </c>
      <c r="C903" s="1">
        <v>43866</v>
      </c>
      <c r="D903" s="1">
        <v>44840</v>
      </c>
      <c r="E903" t="s">
        <v>66</v>
      </c>
      <c r="F903" t="s">
        <v>147</v>
      </c>
      <c r="G903" t="s">
        <v>115</v>
      </c>
      <c r="H903" t="s">
        <v>218</v>
      </c>
      <c r="I903" t="s">
        <v>4285</v>
      </c>
      <c r="J903" t="s">
        <v>82</v>
      </c>
      <c r="K903" t="s">
        <v>83</v>
      </c>
      <c r="L903" t="s">
        <v>4286</v>
      </c>
      <c r="M903">
        <v>322.01</v>
      </c>
      <c r="N903">
        <v>68</v>
      </c>
      <c r="O903" t="s">
        <v>2160</v>
      </c>
      <c r="P903" t="s">
        <v>86</v>
      </c>
      <c r="Q903" t="s">
        <v>684</v>
      </c>
      <c r="R903" t="s">
        <v>44</v>
      </c>
      <c r="S903" t="s">
        <v>128</v>
      </c>
      <c r="T903" t="s">
        <v>422</v>
      </c>
      <c r="U903">
        <v>4470</v>
      </c>
      <c r="V903">
        <v>296</v>
      </c>
      <c r="W903">
        <v>10</v>
      </c>
      <c r="X903">
        <v>1328.44</v>
      </c>
      <c r="Y903">
        <v>481.56</v>
      </c>
      <c r="Z903">
        <v>1810</v>
      </c>
      <c r="AA903" t="s">
        <v>63</v>
      </c>
      <c r="AB903">
        <v>0</v>
      </c>
      <c r="AC903">
        <v>70.56</v>
      </c>
      <c r="AD903">
        <v>407</v>
      </c>
      <c r="AE903">
        <v>423</v>
      </c>
    </row>
    <row r="904" spans="1:31" x14ac:dyDescent="0.25">
      <c r="A904" t="s">
        <v>4287</v>
      </c>
      <c r="B904" t="s">
        <v>763</v>
      </c>
      <c r="C904" s="1">
        <v>44122</v>
      </c>
      <c r="D904" s="1">
        <v>44466</v>
      </c>
      <c r="E904" t="s">
        <v>50</v>
      </c>
      <c r="F904" t="s">
        <v>93</v>
      </c>
      <c r="G904" t="s">
        <v>52</v>
      </c>
      <c r="H904" t="s">
        <v>36</v>
      </c>
      <c r="I904" t="s">
        <v>4288</v>
      </c>
      <c r="J904" t="s">
        <v>96</v>
      </c>
      <c r="K904" t="s">
        <v>39</v>
      </c>
      <c r="L904" t="s">
        <v>4289</v>
      </c>
      <c r="M904">
        <v>241.91</v>
      </c>
      <c r="N904">
        <v>4</v>
      </c>
      <c r="O904" t="s">
        <v>4290</v>
      </c>
      <c r="P904" t="s">
        <v>110</v>
      </c>
      <c r="Q904" t="s">
        <v>234</v>
      </c>
      <c r="R904" t="s">
        <v>61</v>
      </c>
      <c r="S904" t="s">
        <v>101</v>
      </c>
      <c r="T904" t="s">
        <v>90</v>
      </c>
      <c r="U904">
        <v>4449</v>
      </c>
      <c r="V904">
        <v>260</v>
      </c>
      <c r="W904">
        <v>20</v>
      </c>
      <c r="X904">
        <v>1017.33</v>
      </c>
      <c r="Y904">
        <v>269.29000000000002</v>
      </c>
      <c r="Z904">
        <v>1286.6199999999999</v>
      </c>
      <c r="AA904" t="s">
        <v>63</v>
      </c>
      <c r="AB904">
        <v>0</v>
      </c>
      <c r="AC904">
        <v>76.12</v>
      </c>
      <c r="AD904">
        <v>349</v>
      </c>
      <c r="AE904">
        <v>328</v>
      </c>
    </row>
    <row r="905" spans="1:31" x14ac:dyDescent="0.25">
      <c r="A905" t="s">
        <v>4291</v>
      </c>
      <c r="B905" t="s">
        <v>4292</v>
      </c>
      <c r="C905" s="1">
        <v>43856</v>
      </c>
      <c r="D905" s="1">
        <v>43859</v>
      </c>
      <c r="E905" t="s">
        <v>66</v>
      </c>
      <c r="F905" t="s">
        <v>51</v>
      </c>
      <c r="G905" t="s">
        <v>35</v>
      </c>
      <c r="H905" t="s">
        <v>148</v>
      </c>
      <c r="I905" t="s">
        <v>4293</v>
      </c>
      <c r="J905" t="s">
        <v>38</v>
      </c>
      <c r="K905" t="s">
        <v>39</v>
      </c>
      <c r="L905" t="s">
        <v>4294</v>
      </c>
      <c r="M905">
        <v>206.31</v>
      </c>
      <c r="N905">
        <v>14</v>
      </c>
      <c r="O905" t="s">
        <v>1163</v>
      </c>
      <c r="P905" t="s">
        <v>59</v>
      </c>
      <c r="Q905" t="s">
        <v>421</v>
      </c>
      <c r="R905" t="s">
        <v>88</v>
      </c>
      <c r="S905" t="s">
        <v>101</v>
      </c>
      <c r="T905" t="s">
        <v>559</v>
      </c>
      <c r="U905">
        <v>4507</v>
      </c>
      <c r="V905">
        <v>156</v>
      </c>
      <c r="W905">
        <v>3</v>
      </c>
      <c r="X905">
        <v>1805.2</v>
      </c>
      <c r="Y905">
        <v>444.96</v>
      </c>
      <c r="Z905">
        <v>2250.16</v>
      </c>
      <c r="AA905" t="s">
        <v>63</v>
      </c>
      <c r="AB905">
        <v>0</v>
      </c>
      <c r="AC905">
        <v>93.04</v>
      </c>
      <c r="AD905">
        <v>93</v>
      </c>
      <c r="AE905">
        <v>67</v>
      </c>
    </row>
    <row r="906" spans="1:31" x14ac:dyDescent="0.25">
      <c r="A906" t="s">
        <v>4295</v>
      </c>
      <c r="B906" t="s">
        <v>4296</v>
      </c>
      <c r="C906" s="1">
        <v>44046</v>
      </c>
      <c r="D906" s="1">
        <v>45535</v>
      </c>
      <c r="E906" t="s">
        <v>50</v>
      </c>
      <c r="F906" t="s">
        <v>78</v>
      </c>
      <c r="G906" t="s">
        <v>79</v>
      </c>
      <c r="H906" t="s">
        <v>116</v>
      </c>
      <c r="I906" t="s">
        <v>4297</v>
      </c>
      <c r="J906" t="s">
        <v>82</v>
      </c>
      <c r="K906" t="s">
        <v>39</v>
      </c>
      <c r="L906" t="s">
        <v>4298</v>
      </c>
      <c r="M906">
        <v>337.89</v>
      </c>
      <c r="N906">
        <v>44</v>
      </c>
      <c r="O906" t="s">
        <v>4299</v>
      </c>
      <c r="P906" t="s">
        <v>59</v>
      </c>
      <c r="Q906" t="s">
        <v>234</v>
      </c>
      <c r="R906" t="s">
        <v>44</v>
      </c>
      <c r="S906" t="s">
        <v>128</v>
      </c>
      <c r="T906" t="s">
        <v>815</v>
      </c>
      <c r="U906">
        <v>3143</v>
      </c>
      <c r="V906">
        <v>104</v>
      </c>
      <c r="W906">
        <v>16</v>
      </c>
      <c r="X906">
        <v>1807.54</v>
      </c>
      <c r="Y906">
        <v>140.4</v>
      </c>
      <c r="Z906">
        <v>1947.94</v>
      </c>
      <c r="AA906" t="s">
        <v>47</v>
      </c>
      <c r="AB906">
        <v>4</v>
      </c>
      <c r="AC906">
        <v>92.55</v>
      </c>
      <c r="AD906">
        <v>230</v>
      </c>
      <c r="AE906">
        <v>210</v>
      </c>
    </row>
    <row r="907" spans="1:31" x14ac:dyDescent="0.25">
      <c r="A907" t="s">
        <v>4300</v>
      </c>
      <c r="B907" t="s">
        <v>4301</v>
      </c>
      <c r="C907" s="1">
        <v>44988</v>
      </c>
      <c r="D907" s="1">
        <v>45201</v>
      </c>
      <c r="E907" t="s">
        <v>50</v>
      </c>
      <c r="F907" t="s">
        <v>51</v>
      </c>
      <c r="G907" t="s">
        <v>105</v>
      </c>
      <c r="H907" t="s">
        <v>80</v>
      </c>
      <c r="I907" t="s">
        <v>4302</v>
      </c>
      <c r="J907" t="s">
        <v>82</v>
      </c>
      <c r="K907" t="s">
        <v>70</v>
      </c>
      <c r="L907" t="s">
        <v>4303</v>
      </c>
      <c r="M907">
        <v>142.07</v>
      </c>
      <c r="N907">
        <v>58</v>
      </c>
      <c r="O907" t="s">
        <v>4304</v>
      </c>
      <c r="P907" t="s">
        <v>142</v>
      </c>
      <c r="Q907" t="s">
        <v>143</v>
      </c>
      <c r="R907" t="s">
        <v>88</v>
      </c>
      <c r="S907" t="s">
        <v>128</v>
      </c>
      <c r="T907" t="s">
        <v>190</v>
      </c>
      <c r="U907">
        <v>4504</v>
      </c>
      <c r="V907">
        <v>434</v>
      </c>
      <c r="W907">
        <v>3</v>
      </c>
      <c r="X907">
        <v>375.65</v>
      </c>
      <c r="Y907">
        <v>339.13</v>
      </c>
      <c r="Z907">
        <v>714.78</v>
      </c>
      <c r="AA907" t="s">
        <v>63</v>
      </c>
      <c r="AB907">
        <v>0</v>
      </c>
      <c r="AC907">
        <v>72.290000000000006</v>
      </c>
      <c r="AD907">
        <v>403</v>
      </c>
      <c r="AE907">
        <v>400</v>
      </c>
    </row>
    <row r="908" spans="1:31" x14ac:dyDescent="0.25">
      <c r="A908" t="s">
        <v>4305</v>
      </c>
      <c r="B908" t="s">
        <v>4306</v>
      </c>
      <c r="C908" s="1">
        <v>44215</v>
      </c>
      <c r="D908" s="1">
        <v>45353</v>
      </c>
      <c r="E908" t="s">
        <v>66</v>
      </c>
      <c r="F908" t="s">
        <v>51</v>
      </c>
      <c r="G908" t="s">
        <v>35</v>
      </c>
      <c r="H908" t="s">
        <v>68</v>
      </c>
      <c r="I908" t="s">
        <v>4307</v>
      </c>
      <c r="J908" t="s">
        <v>82</v>
      </c>
      <c r="K908" t="s">
        <v>56</v>
      </c>
      <c r="L908" t="s">
        <v>4308</v>
      </c>
      <c r="M908">
        <v>333.42</v>
      </c>
      <c r="N908">
        <v>37</v>
      </c>
      <c r="O908" t="s">
        <v>3597</v>
      </c>
      <c r="P908" t="s">
        <v>110</v>
      </c>
      <c r="Q908" t="s">
        <v>529</v>
      </c>
      <c r="R908" t="s">
        <v>44</v>
      </c>
      <c r="S908" t="s">
        <v>45</v>
      </c>
      <c r="T908" t="s">
        <v>303</v>
      </c>
      <c r="U908">
        <v>3139</v>
      </c>
      <c r="V908">
        <v>259</v>
      </c>
      <c r="W908">
        <v>23</v>
      </c>
      <c r="X908">
        <v>742.45</v>
      </c>
      <c r="Y908">
        <v>433.51</v>
      </c>
      <c r="Z908">
        <v>1175.96</v>
      </c>
      <c r="AA908" t="s">
        <v>63</v>
      </c>
      <c r="AB908">
        <v>0</v>
      </c>
      <c r="AC908">
        <v>94.29</v>
      </c>
      <c r="AD908">
        <v>425</v>
      </c>
      <c r="AE908">
        <v>474</v>
      </c>
    </row>
    <row r="909" spans="1:31" x14ac:dyDescent="0.25">
      <c r="A909" t="s">
        <v>4309</v>
      </c>
      <c r="B909" t="s">
        <v>4310</v>
      </c>
      <c r="C909" s="1">
        <v>45642</v>
      </c>
      <c r="D909" s="1">
        <v>44783</v>
      </c>
      <c r="E909" t="s">
        <v>66</v>
      </c>
      <c r="F909" t="s">
        <v>34</v>
      </c>
      <c r="G909" t="s">
        <v>52</v>
      </c>
      <c r="H909" t="s">
        <v>36</v>
      </c>
      <c r="I909" t="s">
        <v>4311</v>
      </c>
      <c r="J909" t="s">
        <v>82</v>
      </c>
      <c r="K909" t="s">
        <v>83</v>
      </c>
      <c r="L909" t="s">
        <v>4312</v>
      </c>
      <c r="M909">
        <v>343.32</v>
      </c>
      <c r="N909">
        <v>79</v>
      </c>
      <c r="O909" t="s">
        <v>4313</v>
      </c>
      <c r="P909" t="s">
        <v>86</v>
      </c>
      <c r="Q909" t="s">
        <v>234</v>
      </c>
      <c r="R909" t="s">
        <v>153</v>
      </c>
      <c r="S909" t="s">
        <v>74</v>
      </c>
      <c r="T909" t="s">
        <v>444</v>
      </c>
      <c r="U909">
        <v>268</v>
      </c>
      <c r="V909">
        <v>499</v>
      </c>
      <c r="W909">
        <v>14</v>
      </c>
      <c r="X909">
        <v>1946.76</v>
      </c>
      <c r="Y909">
        <v>98.01</v>
      </c>
      <c r="Z909">
        <v>2044.77</v>
      </c>
      <c r="AA909" t="s">
        <v>63</v>
      </c>
      <c r="AB909">
        <v>0</v>
      </c>
      <c r="AC909">
        <v>95.78</v>
      </c>
      <c r="AD909">
        <v>172</v>
      </c>
      <c r="AE909">
        <v>133</v>
      </c>
    </row>
    <row r="910" spans="1:31" x14ac:dyDescent="0.25">
      <c r="A910" t="s">
        <v>4314</v>
      </c>
      <c r="B910" t="s">
        <v>4315</v>
      </c>
      <c r="C910" s="1">
        <v>45385</v>
      </c>
      <c r="D910" s="1">
        <v>44324</v>
      </c>
      <c r="E910" t="s">
        <v>66</v>
      </c>
      <c r="F910" t="s">
        <v>51</v>
      </c>
      <c r="G910" t="s">
        <v>337</v>
      </c>
      <c r="H910" t="s">
        <v>80</v>
      </c>
      <c r="I910" t="s">
        <v>4316</v>
      </c>
      <c r="J910" t="s">
        <v>38</v>
      </c>
      <c r="K910" t="s">
        <v>97</v>
      </c>
      <c r="L910" t="s">
        <v>4317</v>
      </c>
      <c r="M910">
        <v>145.97999999999999</v>
      </c>
      <c r="N910">
        <v>19</v>
      </c>
      <c r="O910" t="s">
        <v>3495</v>
      </c>
      <c r="P910" t="s">
        <v>110</v>
      </c>
      <c r="Q910" t="s">
        <v>87</v>
      </c>
      <c r="R910" t="s">
        <v>153</v>
      </c>
      <c r="S910" t="s">
        <v>89</v>
      </c>
      <c r="T910" t="s">
        <v>273</v>
      </c>
      <c r="U910">
        <v>1125</v>
      </c>
      <c r="V910">
        <v>116</v>
      </c>
      <c r="W910">
        <v>14</v>
      </c>
      <c r="X910">
        <v>970.65</v>
      </c>
      <c r="Y910">
        <v>291.51</v>
      </c>
      <c r="Z910">
        <v>1262.1600000000001</v>
      </c>
      <c r="AA910" t="s">
        <v>63</v>
      </c>
      <c r="AB910">
        <v>0</v>
      </c>
      <c r="AC910">
        <v>99.25</v>
      </c>
      <c r="AD910">
        <v>486</v>
      </c>
      <c r="AE910">
        <v>511</v>
      </c>
    </row>
    <row r="911" spans="1:31" x14ac:dyDescent="0.25">
      <c r="A911" t="s">
        <v>4318</v>
      </c>
      <c r="B911" t="s">
        <v>4319</v>
      </c>
      <c r="C911" s="1">
        <v>44901</v>
      </c>
      <c r="D911" s="1">
        <v>45456</v>
      </c>
      <c r="E911" t="s">
        <v>66</v>
      </c>
      <c r="F911" t="s">
        <v>147</v>
      </c>
      <c r="G911" t="s">
        <v>115</v>
      </c>
      <c r="H911" t="s">
        <v>218</v>
      </c>
      <c r="I911" t="s">
        <v>4320</v>
      </c>
      <c r="J911" t="s">
        <v>82</v>
      </c>
      <c r="K911" t="s">
        <v>70</v>
      </c>
      <c r="L911" t="s">
        <v>4321</v>
      </c>
      <c r="M911">
        <v>376.04</v>
      </c>
      <c r="N911">
        <v>81</v>
      </c>
      <c r="O911" t="s">
        <v>4322</v>
      </c>
      <c r="P911" t="s">
        <v>42</v>
      </c>
      <c r="Q911" t="s">
        <v>404</v>
      </c>
      <c r="R911" t="s">
        <v>61</v>
      </c>
      <c r="S911" t="s">
        <v>128</v>
      </c>
      <c r="T911" t="s">
        <v>129</v>
      </c>
      <c r="U911">
        <v>1394</v>
      </c>
      <c r="V911">
        <v>175</v>
      </c>
      <c r="W911">
        <v>11</v>
      </c>
      <c r="X911">
        <v>1291.1600000000001</v>
      </c>
      <c r="Y911">
        <v>198.07</v>
      </c>
      <c r="Z911">
        <v>1489.23</v>
      </c>
      <c r="AA911" t="s">
        <v>63</v>
      </c>
      <c r="AB911">
        <v>0</v>
      </c>
      <c r="AC911">
        <v>91.48</v>
      </c>
      <c r="AD911">
        <v>248</v>
      </c>
      <c r="AE911">
        <v>268</v>
      </c>
    </row>
    <row r="912" spans="1:31" x14ac:dyDescent="0.25">
      <c r="A912" t="s">
        <v>4323</v>
      </c>
      <c r="B912" t="s">
        <v>4324</v>
      </c>
      <c r="C912" s="1">
        <v>43968</v>
      </c>
      <c r="D912" s="1">
        <v>45255</v>
      </c>
      <c r="E912" t="s">
        <v>66</v>
      </c>
      <c r="F912" t="s">
        <v>51</v>
      </c>
      <c r="G912" t="s">
        <v>105</v>
      </c>
      <c r="H912" t="s">
        <v>68</v>
      </c>
      <c r="I912" t="s">
        <v>4325</v>
      </c>
      <c r="J912" t="s">
        <v>82</v>
      </c>
      <c r="K912" t="s">
        <v>83</v>
      </c>
      <c r="L912" t="s">
        <v>4326</v>
      </c>
      <c r="M912">
        <v>488.49</v>
      </c>
      <c r="N912">
        <v>94</v>
      </c>
      <c r="O912" t="s">
        <v>4327</v>
      </c>
      <c r="P912" t="s">
        <v>86</v>
      </c>
      <c r="Q912" t="s">
        <v>234</v>
      </c>
      <c r="R912" t="s">
        <v>153</v>
      </c>
      <c r="S912" t="s">
        <v>89</v>
      </c>
      <c r="T912" t="s">
        <v>90</v>
      </c>
      <c r="U912">
        <v>4599</v>
      </c>
      <c r="V912">
        <v>299</v>
      </c>
      <c r="W912">
        <v>5</v>
      </c>
      <c r="X912">
        <v>982.85</v>
      </c>
      <c r="Y912">
        <v>388.46</v>
      </c>
      <c r="Z912">
        <v>1371.31</v>
      </c>
      <c r="AA912" t="s">
        <v>63</v>
      </c>
      <c r="AB912">
        <v>0</v>
      </c>
      <c r="AC912">
        <v>83.01</v>
      </c>
      <c r="AD912">
        <v>224</v>
      </c>
      <c r="AE912">
        <v>263</v>
      </c>
    </row>
    <row r="913" spans="1:31" x14ac:dyDescent="0.25">
      <c r="A913" t="s">
        <v>4328</v>
      </c>
      <c r="B913" t="s">
        <v>4329</v>
      </c>
      <c r="C913" s="1">
        <v>44762</v>
      </c>
      <c r="D913" s="1">
        <v>45153</v>
      </c>
      <c r="E913" t="s">
        <v>66</v>
      </c>
      <c r="F913" t="s">
        <v>34</v>
      </c>
      <c r="G913" t="s">
        <v>35</v>
      </c>
      <c r="H913" t="s">
        <v>53</v>
      </c>
      <c r="I913" t="s">
        <v>3659</v>
      </c>
      <c r="J913" t="s">
        <v>38</v>
      </c>
      <c r="K913" t="s">
        <v>70</v>
      </c>
      <c r="L913" t="s">
        <v>4330</v>
      </c>
      <c r="M913">
        <v>318.87</v>
      </c>
      <c r="N913">
        <v>25</v>
      </c>
      <c r="O913" t="s">
        <v>1896</v>
      </c>
      <c r="P913" t="s">
        <v>110</v>
      </c>
      <c r="Q913" t="s">
        <v>182</v>
      </c>
      <c r="R913" t="s">
        <v>61</v>
      </c>
      <c r="S913" t="s">
        <v>128</v>
      </c>
      <c r="T913" t="s">
        <v>1339</v>
      </c>
      <c r="U913">
        <v>4876</v>
      </c>
      <c r="V913">
        <v>484</v>
      </c>
      <c r="W913">
        <v>13</v>
      </c>
      <c r="X913">
        <v>1373.13</v>
      </c>
      <c r="Y913">
        <v>98.48</v>
      </c>
      <c r="Z913">
        <v>1471.61</v>
      </c>
      <c r="AA913" t="s">
        <v>63</v>
      </c>
      <c r="AB913">
        <v>0</v>
      </c>
      <c r="AC913">
        <v>90.15</v>
      </c>
      <c r="AD913">
        <v>110</v>
      </c>
      <c r="AE913">
        <v>84</v>
      </c>
    </row>
    <row r="914" spans="1:31" x14ac:dyDescent="0.25">
      <c r="A914" t="s">
        <v>4331</v>
      </c>
      <c r="B914" t="s">
        <v>4332</v>
      </c>
      <c r="C914" s="1">
        <v>44799</v>
      </c>
      <c r="D914" s="1">
        <v>45124</v>
      </c>
      <c r="E914" t="s">
        <v>33</v>
      </c>
      <c r="F914" t="s">
        <v>147</v>
      </c>
      <c r="G914" t="s">
        <v>79</v>
      </c>
      <c r="H914" t="s">
        <v>116</v>
      </c>
      <c r="I914" t="s">
        <v>4333</v>
      </c>
      <c r="J914" t="s">
        <v>96</v>
      </c>
      <c r="K914" t="s">
        <v>39</v>
      </c>
      <c r="L914" t="s">
        <v>1904</v>
      </c>
      <c r="M914">
        <v>300.8</v>
      </c>
      <c r="N914">
        <v>59</v>
      </c>
      <c r="O914" t="s">
        <v>1964</v>
      </c>
      <c r="P914" t="s">
        <v>59</v>
      </c>
      <c r="Q914" t="s">
        <v>609</v>
      </c>
      <c r="R914" t="s">
        <v>153</v>
      </c>
      <c r="S914" t="s">
        <v>89</v>
      </c>
      <c r="T914" t="s">
        <v>161</v>
      </c>
      <c r="U914">
        <v>1397</v>
      </c>
      <c r="V914">
        <v>324</v>
      </c>
      <c r="W914">
        <v>20</v>
      </c>
      <c r="X914">
        <v>1202.0899999999999</v>
      </c>
      <c r="Y914">
        <v>258.22000000000003</v>
      </c>
      <c r="Z914">
        <v>1460.31</v>
      </c>
      <c r="AA914" t="s">
        <v>63</v>
      </c>
      <c r="AB914">
        <v>0</v>
      </c>
      <c r="AC914">
        <v>81.739999999999995</v>
      </c>
      <c r="AD914">
        <v>369</v>
      </c>
      <c r="AE914">
        <v>386</v>
      </c>
    </row>
    <row r="915" spans="1:31" x14ac:dyDescent="0.25">
      <c r="A915" t="s">
        <v>4334</v>
      </c>
      <c r="B915" t="s">
        <v>4335</v>
      </c>
      <c r="C915" s="1">
        <v>44261</v>
      </c>
      <c r="D915" s="1">
        <v>43967</v>
      </c>
      <c r="E915" t="s">
        <v>50</v>
      </c>
      <c r="F915" t="s">
        <v>51</v>
      </c>
      <c r="G915" t="s">
        <v>79</v>
      </c>
      <c r="H915" t="s">
        <v>164</v>
      </c>
      <c r="I915" t="s">
        <v>4336</v>
      </c>
      <c r="J915" t="s">
        <v>107</v>
      </c>
      <c r="K915" t="s">
        <v>83</v>
      </c>
      <c r="L915" t="s">
        <v>4337</v>
      </c>
      <c r="M915">
        <v>232.32</v>
      </c>
      <c r="N915">
        <v>47</v>
      </c>
      <c r="O915" t="s">
        <v>4338</v>
      </c>
      <c r="P915" t="s">
        <v>86</v>
      </c>
      <c r="Q915" t="s">
        <v>248</v>
      </c>
      <c r="R915" t="s">
        <v>61</v>
      </c>
      <c r="S915" t="s">
        <v>128</v>
      </c>
      <c r="T915" t="s">
        <v>1023</v>
      </c>
      <c r="U915">
        <v>2536</v>
      </c>
      <c r="V915">
        <v>297</v>
      </c>
      <c r="W915">
        <v>12</v>
      </c>
      <c r="X915">
        <v>770.75</v>
      </c>
      <c r="Y915">
        <v>400.96</v>
      </c>
      <c r="Z915">
        <v>1171.71</v>
      </c>
      <c r="AA915" t="s">
        <v>63</v>
      </c>
      <c r="AB915">
        <v>0</v>
      </c>
      <c r="AC915">
        <v>73.16</v>
      </c>
      <c r="AD915">
        <v>168</v>
      </c>
      <c r="AE915">
        <v>200</v>
      </c>
    </row>
    <row r="916" spans="1:31" x14ac:dyDescent="0.25">
      <c r="A916" t="s">
        <v>4339</v>
      </c>
      <c r="B916" t="s">
        <v>4340</v>
      </c>
      <c r="C916" s="1">
        <v>44928</v>
      </c>
      <c r="D916" s="1">
        <v>44783</v>
      </c>
      <c r="E916" t="s">
        <v>66</v>
      </c>
      <c r="F916" t="s">
        <v>147</v>
      </c>
      <c r="G916" t="s">
        <v>337</v>
      </c>
      <c r="H916" t="s">
        <v>36</v>
      </c>
      <c r="I916" t="s">
        <v>4341</v>
      </c>
      <c r="J916" t="s">
        <v>38</v>
      </c>
      <c r="K916" t="s">
        <v>97</v>
      </c>
      <c r="L916" t="s">
        <v>4342</v>
      </c>
      <c r="M916">
        <v>233.06</v>
      </c>
      <c r="N916">
        <v>15</v>
      </c>
      <c r="O916" t="s">
        <v>4343</v>
      </c>
      <c r="P916" t="s">
        <v>42</v>
      </c>
      <c r="Q916" t="s">
        <v>514</v>
      </c>
      <c r="R916" t="s">
        <v>61</v>
      </c>
      <c r="S916" t="s">
        <v>101</v>
      </c>
      <c r="T916" t="s">
        <v>559</v>
      </c>
      <c r="U916">
        <v>612</v>
      </c>
      <c r="V916">
        <v>120</v>
      </c>
      <c r="W916">
        <v>28</v>
      </c>
      <c r="X916">
        <v>592.12</v>
      </c>
      <c r="Y916">
        <v>252.54</v>
      </c>
      <c r="Z916">
        <v>844.66</v>
      </c>
      <c r="AA916" t="s">
        <v>63</v>
      </c>
      <c r="AB916">
        <v>0</v>
      </c>
      <c r="AC916">
        <v>91.39</v>
      </c>
      <c r="AD916">
        <v>57</v>
      </c>
      <c r="AE916">
        <v>10</v>
      </c>
    </row>
    <row r="917" spans="1:31" x14ac:dyDescent="0.25">
      <c r="A917" t="s">
        <v>4344</v>
      </c>
      <c r="B917" t="s">
        <v>4345</v>
      </c>
      <c r="C917" s="1">
        <v>45034</v>
      </c>
      <c r="D917" s="1">
        <v>44594</v>
      </c>
      <c r="E917" t="s">
        <v>66</v>
      </c>
      <c r="F917" t="s">
        <v>147</v>
      </c>
      <c r="G917" t="s">
        <v>52</v>
      </c>
      <c r="H917" t="s">
        <v>116</v>
      </c>
      <c r="I917" t="s">
        <v>4346</v>
      </c>
      <c r="J917" t="s">
        <v>96</v>
      </c>
      <c r="K917" t="s">
        <v>83</v>
      </c>
      <c r="L917" t="s">
        <v>4347</v>
      </c>
      <c r="M917">
        <v>286</v>
      </c>
      <c r="N917">
        <v>49</v>
      </c>
      <c r="O917" t="s">
        <v>4348</v>
      </c>
      <c r="P917" t="s">
        <v>142</v>
      </c>
      <c r="Q917" t="s">
        <v>43</v>
      </c>
      <c r="R917" t="s">
        <v>88</v>
      </c>
      <c r="S917" t="s">
        <v>89</v>
      </c>
      <c r="T917" t="s">
        <v>136</v>
      </c>
      <c r="U917">
        <v>332</v>
      </c>
      <c r="V917">
        <v>339</v>
      </c>
      <c r="W917">
        <v>23</v>
      </c>
      <c r="X917">
        <v>1643.38</v>
      </c>
      <c r="Y917">
        <v>309.74</v>
      </c>
      <c r="Z917">
        <v>1953.12</v>
      </c>
      <c r="AA917" t="s">
        <v>63</v>
      </c>
      <c r="AB917">
        <v>0</v>
      </c>
      <c r="AC917">
        <v>97.44</v>
      </c>
      <c r="AD917">
        <v>332</v>
      </c>
      <c r="AE917">
        <v>310</v>
      </c>
    </row>
    <row r="918" spans="1:31" x14ac:dyDescent="0.25">
      <c r="A918" t="s">
        <v>4349</v>
      </c>
      <c r="B918" t="s">
        <v>4350</v>
      </c>
      <c r="C918" s="1">
        <v>44929</v>
      </c>
      <c r="D918" s="1">
        <v>45346</v>
      </c>
      <c r="E918" t="s">
        <v>66</v>
      </c>
      <c r="F918" t="s">
        <v>78</v>
      </c>
      <c r="G918" t="s">
        <v>52</v>
      </c>
      <c r="H918" t="s">
        <v>148</v>
      </c>
      <c r="I918" t="s">
        <v>4351</v>
      </c>
      <c r="J918" t="s">
        <v>38</v>
      </c>
      <c r="K918" t="s">
        <v>56</v>
      </c>
      <c r="L918" t="s">
        <v>4352</v>
      </c>
      <c r="M918">
        <v>422.12</v>
      </c>
      <c r="N918">
        <v>33</v>
      </c>
      <c r="O918" t="s">
        <v>3208</v>
      </c>
      <c r="P918" t="s">
        <v>42</v>
      </c>
      <c r="Q918" t="s">
        <v>43</v>
      </c>
      <c r="R918" t="s">
        <v>44</v>
      </c>
      <c r="S918" t="s">
        <v>45</v>
      </c>
      <c r="T918" t="s">
        <v>169</v>
      </c>
      <c r="U918">
        <v>3306</v>
      </c>
      <c r="V918">
        <v>122</v>
      </c>
      <c r="W918">
        <v>4</v>
      </c>
      <c r="X918">
        <v>323.37</v>
      </c>
      <c r="Y918">
        <v>331.23</v>
      </c>
      <c r="Z918">
        <v>654.6</v>
      </c>
      <c r="AA918" t="s">
        <v>63</v>
      </c>
      <c r="AB918">
        <v>0</v>
      </c>
      <c r="AC918">
        <v>91.09</v>
      </c>
      <c r="AD918">
        <v>429</v>
      </c>
      <c r="AE918">
        <v>430</v>
      </c>
    </row>
    <row r="919" spans="1:31" x14ac:dyDescent="0.25">
      <c r="A919" t="s">
        <v>4353</v>
      </c>
      <c r="B919" t="s">
        <v>4354</v>
      </c>
      <c r="C919" s="1">
        <v>45205</v>
      </c>
      <c r="D919" s="1">
        <v>44502</v>
      </c>
      <c r="E919" t="s">
        <v>66</v>
      </c>
      <c r="F919" t="s">
        <v>78</v>
      </c>
      <c r="G919" t="s">
        <v>35</v>
      </c>
      <c r="H919" t="s">
        <v>148</v>
      </c>
      <c r="I919" t="s">
        <v>4355</v>
      </c>
      <c r="J919" t="s">
        <v>107</v>
      </c>
      <c r="K919" t="s">
        <v>70</v>
      </c>
      <c r="L919" t="s">
        <v>4356</v>
      </c>
      <c r="M919">
        <v>401.92</v>
      </c>
      <c r="N919">
        <v>39</v>
      </c>
      <c r="O919" t="s">
        <v>1148</v>
      </c>
      <c r="P919" t="s">
        <v>59</v>
      </c>
      <c r="Q919" t="s">
        <v>529</v>
      </c>
      <c r="R919" t="s">
        <v>44</v>
      </c>
      <c r="S919" t="s">
        <v>45</v>
      </c>
      <c r="T919" t="s">
        <v>405</v>
      </c>
      <c r="U919">
        <v>4354</v>
      </c>
      <c r="V919">
        <v>169</v>
      </c>
      <c r="W919">
        <v>11</v>
      </c>
      <c r="X919">
        <v>1022.12</v>
      </c>
      <c r="Y919">
        <v>302.07</v>
      </c>
      <c r="Z919">
        <v>1324.19</v>
      </c>
      <c r="AA919" t="s">
        <v>63</v>
      </c>
      <c r="AB919">
        <v>0</v>
      </c>
      <c r="AC919">
        <v>91.59</v>
      </c>
      <c r="AD919">
        <v>406</v>
      </c>
      <c r="AE919">
        <v>417</v>
      </c>
    </row>
    <row r="920" spans="1:31" x14ac:dyDescent="0.25">
      <c r="A920" t="s">
        <v>4357</v>
      </c>
      <c r="B920" t="s">
        <v>3401</v>
      </c>
      <c r="C920" s="1">
        <v>45451</v>
      </c>
      <c r="D920" s="1">
        <v>45114</v>
      </c>
      <c r="E920" t="s">
        <v>66</v>
      </c>
      <c r="F920" t="s">
        <v>147</v>
      </c>
      <c r="G920" t="s">
        <v>67</v>
      </c>
      <c r="H920" t="s">
        <v>36</v>
      </c>
      <c r="I920" t="s">
        <v>4358</v>
      </c>
      <c r="J920" t="s">
        <v>55</v>
      </c>
      <c r="K920" t="s">
        <v>83</v>
      </c>
      <c r="L920" t="s">
        <v>4359</v>
      </c>
      <c r="M920">
        <v>196.55</v>
      </c>
      <c r="N920">
        <v>76</v>
      </c>
      <c r="O920" t="s">
        <v>4360</v>
      </c>
      <c r="P920" t="s">
        <v>142</v>
      </c>
      <c r="Q920" t="s">
        <v>322</v>
      </c>
      <c r="R920" t="s">
        <v>61</v>
      </c>
      <c r="S920" t="s">
        <v>128</v>
      </c>
      <c r="T920" t="s">
        <v>215</v>
      </c>
      <c r="U920">
        <v>752</v>
      </c>
      <c r="V920">
        <v>446</v>
      </c>
      <c r="W920">
        <v>7</v>
      </c>
      <c r="X920">
        <v>870.6</v>
      </c>
      <c r="Y920">
        <v>469.28</v>
      </c>
      <c r="Z920">
        <v>1339.88</v>
      </c>
      <c r="AA920" t="s">
        <v>63</v>
      </c>
      <c r="AB920">
        <v>0</v>
      </c>
      <c r="AC920">
        <v>89.57</v>
      </c>
      <c r="AD920">
        <v>483</v>
      </c>
      <c r="AE920">
        <v>446</v>
      </c>
    </row>
    <row r="921" spans="1:31" x14ac:dyDescent="0.25">
      <c r="A921" t="s">
        <v>4361</v>
      </c>
      <c r="B921" t="s">
        <v>4362</v>
      </c>
      <c r="C921" s="1">
        <v>44789</v>
      </c>
      <c r="D921" s="1">
        <v>44846</v>
      </c>
      <c r="E921" t="s">
        <v>66</v>
      </c>
      <c r="F921" t="s">
        <v>147</v>
      </c>
      <c r="G921" t="s">
        <v>35</v>
      </c>
      <c r="H921" t="s">
        <v>218</v>
      </c>
      <c r="I921" t="s">
        <v>4363</v>
      </c>
      <c r="J921" t="s">
        <v>38</v>
      </c>
      <c r="K921" t="s">
        <v>83</v>
      </c>
      <c r="L921" t="s">
        <v>4364</v>
      </c>
      <c r="M921">
        <v>50.02</v>
      </c>
      <c r="N921">
        <v>53</v>
      </c>
      <c r="O921" t="s">
        <v>1566</v>
      </c>
      <c r="P921" t="s">
        <v>86</v>
      </c>
      <c r="Q921" t="s">
        <v>214</v>
      </c>
      <c r="R921" t="s">
        <v>61</v>
      </c>
      <c r="S921" t="s">
        <v>89</v>
      </c>
      <c r="T921" t="s">
        <v>508</v>
      </c>
      <c r="U921">
        <v>4967</v>
      </c>
      <c r="V921">
        <v>242</v>
      </c>
      <c r="W921">
        <v>19</v>
      </c>
      <c r="X921">
        <v>1965.69</v>
      </c>
      <c r="Y921">
        <v>407.05</v>
      </c>
      <c r="Z921">
        <v>2372.7399999999998</v>
      </c>
      <c r="AA921" t="s">
        <v>63</v>
      </c>
      <c r="AB921">
        <v>0</v>
      </c>
      <c r="AC921">
        <v>72.900000000000006</v>
      </c>
      <c r="AD921">
        <v>341</v>
      </c>
      <c r="AE921">
        <v>388</v>
      </c>
    </row>
    <row r="922" spans="1:31" x14ac:dyDescent="0.25">
      <c r="A922" t="s">
        <v>4365</v>
      </c>
      <c r="B922" t="s">
        <v>4366</v>
      </c>
      <c r="C922" s="1">
        <v>44813</v>
      </c>
      <c r="D922" s="1">
        <v>45337</v>
      </c>
      <c r="E922" t="s">
        <v>66</v>
      </c>
      <c r="F922" t="s">
        <v>78</v>
      </c>
      <c r="G922" t="s">
        <v>52</v>
      </c>
      <c r="H922" t="s">
        <v>80</v>
      </c>
      <c r="I922" t="s">
        <v>4367</v>
      </c>
      <c r="J922" t="s">
        <v>82</v>
      </c>
      <c r="K922" t="s">
        <v>83</v>
      </c>
      <c r="L922" t="s">
        <v>4368</v>
      </c>
      <c r="M922">
        <v>315.48</v>
      </c>
      <c r="N922">
        <v>83</v>
      </c>
      <c r="O922" t="s">
        <v>1038</v>
      </c>
      <c r="P922" t="s">
        <v>59</v>
      </c>
      <c r="Q922" t="s">
        <v>175</v>
      </c>
      <c r="R922" t="s">
        <v>61</v>
      </c>
      <c r="S922" t="s">
        <v>74</v>
      </c>
      <c r="T922" t="s">
        <v>1194</v>
      </c>
      <c r="U922">
        <v>3507</v>
      </c>
      <c r="V922">
        <v>405</v>
      </c>
      <c r="W922">
        <v>7</v>
      </c>
      <c r="X922">
        <v>1733.66</v>
      </c>
      <c r="Y922">
        <v>452.26</v>
      </c>
      <c r="Z922">
        <v>2185.92</v>
      </c>
      <c r="AA922" t="s">
        <v>47</v>
      </c>
      <c r="AB922">
        <v>9</v>
      </c>
      <c r="AC922">
        <v>71.02</v>
      </c>
      <c r="AD922">
        <v>220</v>
      </c>
      <c r="AE922">
        <v>187</v>
      </c>
    </row>
    <row r="923" spans="1:31" x14ac:dyDescent="0.25">
      <c r="A923" t="s">
        <v>4369</v>
      </c>
      <c r="B923" t="s">
        <v>4370</v>
      </c>
      <c r="C923" s="1">
        <v>44036</v>
      </c>
      <c r="D923" s="1">
        <v>44609</v>
      </c>
      <c r="E923" t="s">
        <v>66</v>
      </c>
      <c r="F923" t="s">
        <v>78</v>
      </c>
      <c r="G923" t="s">
        <v>337</v>
      </c>
      <c r="H923" t="s">
        <v>164</v>
      </c>
      <c r="I923" t="s">
        <v>687</v>
      </c>
      <c r="J923" t="s">
        <v>82</v>
      </c>
      <c r="K923" t="s">
        <v>56</v>
      </c>
      <c r="L923" t="s">
        <v>4371</v>
      </c>
      <c r="M923">
        <v>421.83</v>
      </c>
      <c r="N923">
        <v>97</v>
      </c>
      <c r="O923" t="s">
        <v>1827</v>
      </c>
      <c r="P923" t="s">
        <v>142</v>
      </c>
      <c r="Q923" t="s">
        <v>248</v>
      </c>
      <c r="R923" t="s">
        <v>61</v>
      </c>
      <c r="S923" t="s">
        <v>101</v>
      </c>
      <c r="T923" t="s">
        <v>297</v>
      </c>
      <c r="U923">
        <v>1076</v>
      </c>
      <c r="V923">
        <v>90</v>
      </c>
      <c r="W923">
        <v>2</v>
      </c>
      <c r="X923">
        <v>1965.56</v>
      </c>
      <c r="Y923">
        <v>30.77</v>
      </c>
      <c r="Z923">
        <v>1996.33</v>
      </c>
      <c r="AA923" t="s">
        <v>63</v>
      </c>
      <c r="AB923">
        <v>0</v>
      </c>
      <c r="AC923">
        <v>71.61</v>
      </c>
      <c r="AD923">
        <v>65</v>
      </c>
      <c r="AE923">
        <v>49</v>
      </c>
    </row>
    <row r="924" spans="1:31" x14ac:dyDescent="0.25">
      <c r="A924" t="s">
        <v>4372</v>
      </c>
      <c r="B924" t="s">
        <v>4373</v>
      </c>
      <c r="C924" s="1">
        <v>45015</v>
      </c>
      <c r="D924" s="1">
        <v>43878</v>
      </c>
      <c r="E924" t="s">
        <v>33</v>
      </c>
      <c r="F924" t="s">
        <v>34</v>
      </c>
      <c r="G924" t="s">
        <v>67</v>
      </c>
      <c r="H924" t="s">
        <v>53</v>
      </c>
      <c r="I924" t="s">
        <v>4374</v>
      </c>
      <c r="J924" t="s">
        <v>38</v>
      </c>
      <c r="K924" t="s">
        <v>97</v>
      </c>
      <c r="L924" t="s">
        <v>4375</v>
      </c>
      <c r="M924">
        <v>54.99</v>
      </c>
      <c r="N924">
        <v>38</v>
      </c>
      <c r="O924" t="s">
        <v>4127</v>
      </c>
      <c r="P924" t="s">
        <v>42</v>
      </c>
      <c r="Q924" t="s">
        <v>529</v>
      </c>
      <c r="R924" t="s">
        <v>153</v>
      </c>
      <c r="S924" t="s">
        <v>128</v>
      </c>
      <c r="T924" t="s">
        <v>242</v>
      </c>
      <c r="U924">
        <v>4451</v>
      </c>
      <c r="V924">
        <v>420</v>
      </c>
      <c r="W924">
        <v>29</v>
      </c>
      <c r="X924">
        <v>1769.2</v>
      </c>
      <c r="Y924">
        <v>474.26</v>
      </c>
      <c r="Z924">
        <v>2243.46</v>
      </c>
      <c r="AA924" t="s">
        <v>47</v>
      </c>
      <c r="AB924">
        <v>1</v>
      </c>
      <c r="AC924">
        <v>72.53</v>
      </c>
      <c r="AD924">
        <v>318</v>
      </c>
      <c r="AE924">
        <v>347</v>
      </c>
    </row>
    <row r="925" spans="1:31" x14ac:dyDescent="0.25">
      <c r="A925" t="s">
        <v>4376</v>
      </c>
      <c r="B925" t="s">
        <v>3004</v>
      </c>
      <c r="C925" s="1">
        <v>44145</v>
      </c>
      <c r="D925" s="1">
        <v>44867</v>
      </c>
      <c r="E925" t="s">
        <v>50</v>
      </c>
      <c r="F925" t="s">
        <v>93</v>
      </c>
      <c r="G925" t="s">
        <v>94</v>
      </c>
      <c r="H925" t="s">
        <v>36</v>
      </c>
      <c r="I925" t="s">
        <v>4377</v>
      </c>
      <c r="J925" t="s">
        <v>96</v>
      </c>
      <c r="K925" t="s">
        <v>56</v>
      </c>
      <c r="L925" t="s">
        <v>4378</v>
      </c>
      <c r="M925">
        <v>196.1</v>
      </c>
      <c r="N925">
        <v>62</v>
      </c>
      <c r="O925" t="s">
        <v>4379</v>
      </c>
      <c r="P925" t="s">
        <v>42</v>
      </c>
      <c r="Q925" t="s">
        <v>455</v>
      </c>
      <c r="R925" t="s">
        <v>61</v>
      </c>
      <c r="S925" t="s">
        <v>128</v>
      </c>
      <c r="T925" t="s">
        <v>235</v>
      </c>
      <c r="U925">
        <v>2620</v>
      </c>
      <c r="V925">
        <v>457</v>
      </c>
      <c r="W925">
        <v>13</v>
      </c>
      <c r="X925">
        <v>1152.77</v>
      </c>
      <c r="Y925">
        <v>176.89</v>
      </c>
      <c r="Z925">
        <v>1329.66</v>
      </c>
      <c r="AA925" t="s">
        <v>63</v>
      </c>
      <c r="AB925">
        <v>0</v>
      </c>
      <c r="AC925">
        <v>87.77</v>
      </c>
      <c r="AD925">
        <v>99</v>
      </c>
      <c r="AE925">
        <v>63</v>
      </c>
    </row>
    <row r="926" spans="1:31" x14ac:dyDescent="0.25">
      <c r="A926" t="s">
        <v>4380</v>
      </c>
      <c r="B926" t="s">
        <v>2568</v>
      </c>
      <c r="C926" s="1">
        <v>44363</v>
      </c>
      <c r="D926" s="1">
        <v>44929</v>
      </c>
      <c r="E926" t="s">
        <v>50</v>
      </c>
      <c r="F926" t="s">
        <v>34</v>
      </c>
      <c r="G926" t="s">
        <v>115</v>
      </c>
      <c r="H926" t="s">
        <v>36</v>
      </c>
      <c r="I926" t="s">
        <v>4381</v>
      </c>
      <c r="J926" t="s">
        <v>96</v>
      </c>
      <c r="K926" t="s">
        <v>83</v>
      </c>
      <c r="L926" t="s">
        <v>4382</v>
      </c>
      <c r="M926">
        <v>365.79</v>
      </c>
      <c r="N926">
        <v>88</v>
      </c>
      <c r="O926" t="s">
        <v>1227</v>
      </c>
      <c r="P926" t="s">
        <v>59</v>
      </c>
      <c r="Q926" t="s">
        <v>428</v>
      </c>
      <c r="R926" t="s">
        <v>153</v>
      </c>
      <c r="S926" t="s">
        <v>74</v>
      </c>
      <c r="T926" t="s">
        <v>154</v>
      </c>
      <c r="U926">
        <v>3726</v>
      </c>
      <c r="V926">
        <v>380</v>
      </c>
      <c r="W926">
        <v>22</v>
      </c>
      <c r="X926">
        <v>587.34</v>
      </c>
      <c r="Y926">
        <v>211.38</v>
      </c>
      <c r="Z926">
        <v>798.72</v>
      </c>
      <c r="AA926" t="s">
        <v>63</v>
      </c>
      <c r="AB926">
        <v>0</v>
      </c>
      <c r="AC926">
        <v>96.4</v>
      </c>
      <c r="AD926">
        <v>71</v>
      </c>
      <c r="AE926">
        <v>96</v>
      </c>
    </row>
    <row r="927" spans="1:31" x14ac:dyDescent="0.25">
      <c r="A927" t="s">
        <v>4383</v>
      </c>
      <c r="B927" t="s">
        <v>4384</v>
      </c>
      <c r="C927" s="1">
        <v>44395</v>
      </c>
      <c r="D927" s="1">
        <v>45620</v>
      </c>
      <c r="E927" t="s">
        <v>50</v>
      </c>
      <c r="F927" t="s">
        <v>51</v>
      </c>
      <c r="G927" t="s">
        <v>79</v>
      </c>
      <c r="H927" t="s">
        <v>53</v>
      </c>
      <c r="I927" t="s">
        <v>4385</v>
      </c>
      <c r="J927" t="s">
        <v>38</v>
      </c>
      <c r="K927" t="s">
        <v>70</v>
      </c>
      <c r="L927" t="s">
        <v>4386</v>
      </c>
      <c r="M927">
        <v>396.66</v>
      </c>
      <c r="N927">
        <v>29</v>
      </c>
      <c r="O927" t="s">
        <v>4387</v>
      </c>
      <c r="P927" t="s">
        <v>42</v>
      </c>
      <c r="Q927" t="s">
        <v>290</v>
      </c>
      <c r="R927" t="s">
        <v>61</v>
      </c>
      <c r="S927" t="s">
        <v>74</v>
      </c>
      <c r="T927" t="s">
        <v>262</v>
      </c>
      <c r="U927">
        <v>1943</v>
      </c>
      <c r="V927">
        <v>84</v>
      </c>
      <c r="W927">
        <v>20</v>
      </c>
      <c r="X927">
        <v>317.86</v>
      </c>
      <c r="Y927">
        <v>281.14</v>
      </c>
      <c r="Z927">
        <v>599</v>
      </c>
      <c r="AA927" t="s">
        <v>63</v>
      </c>
      <c r="AB927">
        <v>0</v>
      </c>
      <c r="AC927">
        <v>96.26</v>
      </c>
      <c r="AD927">
        <v>204</v>
      </c>
      <c r="AE927">
        <v>223</v>
      </c>
    </row>
    <row r="928" spans="1:31" x14ac:dyDescent="0.25">
      <c r="A928" t="s">
        <v>4388</v>
      </c>
      <c r="B928" t="s">
        <v>4389</v>
      </c>
      <c r="C928" s="1">
        <v>44073</v>
      </c>
      <c r="D928" s="1">
        <v>44980</v>
      </c>
      <c r="E928" t="s">
        <v>66</v>
      </c>
      <c r="F928" t="s">
        <v>147</v>
      </c>
      <c r="G928" t="s">
        <v>115</v>
      </c>
      <c r="H928" t="s">
        <v>53</v>
      </c>
      <c r="I928" t="s">
        <v>4390</v>
      </c>
      <c r="J928" t="s">
        <v>96</v>
      </c>
      <c r="K928" t="s">
        <v>70</v>
      </c>
      <c r="L928" t="s">
        <v>4391</v>
      </c>
      <c r="M928">
        <v>60.12</v>
      </c>
      <c r="N928">
        <v>95</v>
      </c>
      <c r="O928" t="s">
        <v>208</v>
      </c>
      <c r="P928" t="s">
        <v>86</v>
      </c>
      <c r="Q928" t="s">
        <v>160</v>
      </c>
      <c r="R928" t="s">
        <v>88</v>
      </c>
      <c r="S928" t="s">
        <v>128</v>
      </c>
      <c r="T928" t="s">
        <v>190</v>
      </c>
      <c r="U928">
        <v>206</v>
      </c>
      <c r="V928">
        <v>303</v>
      </c>
      <c r="W928">
        <v>7</v>
      </c>
      <c r="X928">
        <v>682.32</v>
      </c>
      <c r="Y928">
        <v>28.48</v>
      </c>
      <c r="Z928">
        <v>710.80000000000007</v>
      </c>
      <c r="AA928" t="s">
        <v>63</v>
      </c>
      <c r="AB928">
        <v>0</v>
      </c>
      <c r="AC928">
        <v>96.42</v>
      </c>
      <c r="AD928">
        <v>260</v>
      </c>
      <c r="AE928">
        <v>257</v>
      </c>
    </row>
    <row r="929" spans="1:31" x14ac:dyDescent="0.25">
      <c r="A929" t="s">
        <v>4392</v>
      </c>
      <c r="B929" t="s">
        <v>3326</v>
      </c>
      <c r="C929" s="1">
        <v>43896</v>
      </c>
      <c r="D929" s="1">
        <v>45502</v>
      </c>
      <c r="E929" t="s">
        <v>50</v>
      </c>
      <c r="F929" t="s">
        <v>51</v>
      </c>
      <c r="G929" t="s">
        <v>94</v>
      </c>
      <c r="H929" t="s">
        <v>36</v>
      </c>
      <c r="I929" t="s">
        <v>4393</v>
      </c>
      <c r="J929" t="s">
        <v>38</v>
      </c>
      <c r="K929" t="s">
        <v>56</v>
      </c>
      <c r="L929" t="s">
        <v>4394</v>
      </c>
      <c r="M929">
        <v>484.73</v>
      </c>
      <c r="N929">
        <v>16</v>
      </c>
      <c r="O929" t="s">
        <v>4395</v>
      </c>
      <c r="P929" t="s">
        <v>110</v>
      </c>
      <c r="Q929" t="s">
        <v>234</v>
      </c>
      <c r="R929" t="s">
        <v>153</v>
      </c>
      <c r="S929" t="s">
        <v>89</v>
      </c>
      <c r="T929" t="s">
        <v>62</v>
      </c>
      <c r="U929">
        <v>3380</v>
      </c>
      <c r="V929">
        <v>463</v>
      </c>
      <c r="W929">
        <v>15</v>
      </c>
      <c r="X929">
        <v>253.22</v>
      </c>
      <c r="Y929">
        <v>421.57</v>
      </c>
      <c r="Z929">
        <v>674.79</v>
      </c>
      <c r="AA929" t="s">
        <v>63</v>
      </c>
      <c r="AB929">
        <v>0</v>
      </c>
      <c r="AC929">
        <v>71.16</v>
      </c>
      <c r="AD929">
        <v>152</v>
      </c>
      <c r="AE929">
        <v>189</v>
      </c>
    </row>
    <row r="930" spans="1:31" x14ac:dyDescent="0.25">
      <c r="A930" t="s">
        <v>4396</v>
      </c>
      <c r="B930" t="s">
        <v>4397</v>
      </c>
      <c r="C930" s="1">
        <v>45242</v>
      </c>
      <c r="D930" s="1">
        <v>43972</v>
      </c>
      <c r="E930" t="s">
        <v>33</v>
      </c>
      <c r="F930" t="s">
        <v>93</v>
      </c>
      <c r="G930" t="s">
        <v>105</v>
      </c>
      <c r="H930" t="s">
        <v>164</v>
      </c>
      <c r="I930" t="s">
        <v>4398</v>
      </c>
      <c r="J930" t="s">
        <v>107</v>
      </c>
      <c r="K930" t="s">
        <v>83</v>
      </c>
      <c r="L930" t="s">
        <v>4399</v>
      </c>
      <c r="M930">
        <v>265.82</v>
      </c>
      <c r="N930">
        <v>69</v>
      </c>
      <c r="O930" t="s">
        <v>557</v>
      </c>
      <c r="P930" t="s">
        <v>86</v>
      </c>
      <c r="Q930" t="s">
        <v>261</v>
      </c>
      <c r="R930" t="s">
        <v>61</v>
      </c>
      <c r="S930" t="s">
        <v>128</v>
      </c>
      <c r="T930" t="s">
        <v>203</v>
      </c>
      <c r="U930">
        <v>3316</v>
      </c>
      <c r="V930">
        <v>375</v>
      </c>
      <c r="W930">
        <v>19</v>
      </c>
      <c r="X930">
        <v>1833.75</v>
      </c>
      <c r="Y930">
        <v>321.97000000000003</v>
      </c>
      <c r="Z930">
        <v>2155.7199999999998</v>
      </c>
      <c r="AA930" t="s">
        <v>63</v>
      </c>
      <c r="AB930">
        <v>0</v>
      </c>
      <c r="AC930">
        <v>87.47</v>
      </c>
      <c r="AD930">
        <v>431</v>
      </c>
      <c r="AE930">
        <v>413</v>
      </c>
    </row>
    <row r="931" spans="1:31" x14ac:dyDescent="0.25">
      <c r="A931" t="s">
        <v>4400</v>
      </c>
      <c r="B931" t="s">
        <v>4401</v>
      </c>
      <c r="C931" s="1">
        <v>44276</v>
      </c>
      <c r="D931" s="1">
        <v>45601</v>
      </c>
      <c r="E931" t="s">
        <v>66</v>
      </c>
      <c r="F931" t="s">
        <v>147</v>
      </c>
      <c r="G931" t="s">
        <v>52</v>
      </c>
      <c r="H931" t="s">
        <v>36</v>
      </c>
      <c r="I931" t="s">
        <v>4402</v>
      </c>
      <c r="J931" t="s">
        <v>38</v>
      </c>
      <c r="K931" t="s">
        <v>97</v>
      </c>
      <c r="L931" t="s">
        <v>4403</v>
      </c>
      <c r="M931">
        <v>219.79</v>
      </c>
      <c r="N931">
        <v>88</v>
      </c>
      <c r="O931" t="s">
        <v>4404</v>
      </c>
      <c r="P931" t="s">
        <v>86</v>
      </c>
      <c r="Q931" t="s">
        <v>322</v>
      </c>
      <c r="R931" t="s">
        <v>61</v>
      </c>
      <c r="S931" t="s">
        <v>101</v>
      </c>
      <c r="T931" t="s">
        <v>62</v>
      </c>
      <c r="U931">
        <v>2266</v>
      </c>
      <c r="V931">
        <v>424</v>
      </c>
      <c r="W931">
        <v>23</v>
      </c>
      <c r="X931">
        <v>252.79</v>
      </c>
      <c r="Y931">
        <v>141.58000000000001</v>
      </c>
      <c r="Z931">
        <v>394.37</v>
      </c>
      <c r="AA931" t="s">
        <v>63</v>
      </c>
      <c r="AB931">
        <v>0</v>
      </c>
      <c r="AC931">
        <v>77.709999999999994</v>
      </c>
      <c r="AD931">
        <v>119</v>
      </c>
      <c r="AE931">
        <v>69</v>
      </c>
    </row>
    <row r="932" spans="1:31" x14ac:dyDescent="0.25">
      <c r="A932" t="s">
        <v>4405</v>
      </c>
      <c r="B932" t="s">
        <v>4406</v>
      </c>
      <c r="C932" s="1">
        <v>44258</v>
      </c>
      <c r="D932" s="1">
        <v>44806</v>
      </c>
      <c r="E932" t="s">
        <v>66</v>
      </c>
      <c r="F932" t="s">
        <v>147</v>
      </c>
      <c r="G932" t="s">
        <v>337</v>
      </c>
      <c r="H932" t="s">
        <v>148</v>
      </c>
      <c r="I932" t="s">
        <v>4407</v>
      </c>
      <c r="J932" t="s">
        <v>96</v>
      </c>
      <c r="K932" t="s">
        <v>39</v>
      </c>
      <c r="L932" t="s">
        <v>4408</v>
      </c>
      <c r="M932">
        <v>311.38</v>
      </c>
      <c r="N932">
        <v>22</v>
      </c>
      <c r="O932" t="s">
        <v>2596</v>
      </c>
      <c r="P932" t="s">
        <v>59</v>
      </c>
      <c r="Q932" t="s">
        <v>371</v>
      </c>
      <c r="R932" t="s">
        <v>61</v>
      </c>
      <c r="S932" t="s">
        <v>128</v>
      </c>
      <c r="T932" t="s">
        <v>508</v>
      </c>
      <c r="U932">
        <v>107</v>
      </c>
      <c r="V932">
        <v>167</v>
      </c>
      <c r="W932">
        <v>19</v>
      </c>
      <c r="X932">
        <v>540.04999999999995</v>
      </c>
      <c r="Y932">
        <v>177.57</v>
      </c>
      <c r="Z932">
        <v>717.61999999999989</v>
      </c>
      <c r="AA932" t="s">
        <v>63</v>
      </c>
      <c r="AB932">
        <v>0</v>
      </c>
      <c r="AC932">
        <v>89.69</v>
      </c>
      <c r="AD932">
        <v>405</v>
      </c>
      <c r="AE932">
        <v>409</v>
      </c>
    </row>
    <row r="933" spans="1:31" x14ac:dyDescent="0.25">
      <c r="A933" t="s">
        <v>4409</v>
      </c>
      <c r="B933" t="s">
        <v>4410</v>
      </c>
      <c r="C933" s="1">
        <v>44922</v>
      </c>
      <c r="D933" s="1">
        <v>45279</v>
      </c>
      <c r="E933" t="s">
        <v>50</v>
      </c>
      <c r="F933" t="s">
        <v>147</v>
      </c>
      <c r="G933" t="s">
        <v>94</v>
      </c>
      <c r="H933" t="s">
        <v>68</v>
      </c>
      <c r="I933" t="s">
        <v>4411</v>
      </c>
      <c r="J933" t="s">
        <v>38</v>
      </c>
      <c r="K933" t="s">
        <v>56</v>
      </c>
      <c r="L933" t="s">
        <v>4412</v>
      </c>
      <c r="M933">
        <v>300.3</v>
      </c>
      <c r="N933">
        <v>10</v>
      </c>
      <c r="O933" t="s">
        <v>2701</v>
      </c>
      <c r="P933" t="s">
        <v>86</v>
      </c>
      <c r="Q933" t="s">
        <v>261</v>
      </c>
      <c r="R933" t="s">
        <v>153</v>
      </c>
      <c r="S933" t="s">
        <v>128</v>
      </c>
      <c r="T933" t="s">
        <v>341</v>
      </c>
      <c r="U933">
        <v>4358</v>
      </c>
      <c r="V933">
        <v>396</v>
      </c>
      <c r="W933">
        <v>20</v>
      </c>
      <c r="X933">
        <v>344.02</v>
      </c>
      <c r="Y933">
        <v>102.85</v>
      </c>
      <c r="Z933">
        <v>446.87</v>
      </c>
      <c r="AA933" t="s">
        <v>47</v>
      </c>
      <c r="AB933">
        <v>1</v>
      </c>
      <c r="AC933">
        <v>87.33</v>
      </c>
      <c r="AD933">
        <v>76</v>
      </c>
      <c r="AE933">
        <v>90</v>
      </c>
    </row>
    <row r="934" spans="1:31" x14ac:dyDescent="0.25">
      <c r="A934" t="s">
        <v>4413</v>
      </c>
      <c r="B934" t="s">
        <v>4414</v>
      </c>
      <c r="C934" s="1">
        <v>44179</v>
      </c>
      <c r="D934" s="1">
        <v>44816</v>
      </c>
      <c r="E934" t="s">
        <v>66</v>
      </c>
      <c r="F934" t="s">
        <v>78</v>
      </c>
      <c r="G934" t="s">
        <v>79</v>
      </c>
      <c r="H934" t="s">
        <v>116</v>
      </c>
      <c r="I934" t="s">
        <v>4415</v>
      </c>
      <c r="J934" t="s">
        <v>96</v>
      </c>
      <c r="K934" t="s">
        <v>56</v>
      </c>
      <c r="L934" t="s">
        <v>4416</v>
      </c>
      <c r="M934">
        <v>54.81</v>
      </c>
      <c r="N934">
        <v>21</v>
      </c>
      <c r="O934" t="s">
        <v>2777</v>
      </c>
      <c r="P934" t="s">
        <v>59</v>
      </c>
      <c r="Q934" t="s">
        <v>73</v>
      </c>
      <c r="R934" t="s">
        <v>88</v>
      </c>
      <c r="S934" t="s">
        <v>128</v>
      </c>
      <c r="T934" t="s">
        <v>933</v>
      </c>
      <c r="U934">
        <v>3913</v>
      </c>
      <c r="V934">
        <v>350</v>
      </c>
      <c r="W934">
        <v>9</v>
      </c>
      <c r="X934">
        <v>218.57</v>
      </c>
      <c r="Y934">
        <v>155.66999999999999</v>
      </c>
      <c r="Z934">
        <v>374.24</v>
      </c>
      <c r="AA934" t="s">
        <v>63</v>
      </c>
      <c r="AB934">
        <v>0</v>
      </c>
      <c r="AC934">
        <v>99.8</v>
      </c>
      <c r="AD934">
        <v>467</v>
      </c>
      <c r="AE934">
        <v>477</v>
      </c>
    </row>
    <row r="935" spans="1:31" x14ac:dyDescent="0.25">
      <c r="A935" t="s">
        <v>4417</v>
      </c>
      <c r="B935" t="s">
        <v>4418</v>
      </c>
      <c r="C935" s="1">
        <v>45609</v>
      </c>
      <c r="D935" s="1">
        <v>43879</v>
      </c>
      <c r="E935" t="s">
        <v>66</v>
      </c>
      <c r="F935" t="s">
        <v>93</v>
      </c>
      <c r="G935" t="s">
        <v>94</v>
      </c>
      <c r="H935" t="s">
        <v>218</v>
      </c>
      <c r="I935" t="s">
        <v>4419</v>
      </c>
      <c r="J935" t="s">
        <v>107</v>
      </c>
      <c r="K935" t="s">
        <v>70</v>
      </c>
      <c r="L935" t="s">
        <v>4420</v>
      </c>
      <c r="M935">
        <v>195.8</v>
      </c>
      <c r="N935">
        <v>57</v>
      </c>
      <c r="O935" t="s">
        <v>4421</v>
      </c>
      <c r="P935" t="s">
        <v>110</v>
      </c>
      <c r="Q935" t="s">
        <v>290</v>
      </c>
      <c r="R935" t="s">
        <v>44</v>
      </c>
      <c r="S935" t="s">
        <v>89</v>
      </c>
      <c r="T935" t="s">
        <v>530</v>
      </c>
      <c r="U935">
        <v>315</v>
      </c>
      <c r="V935">
        <v>293</v>
      </c>
      <c r="W935">
        <v>18</v>
      </c>
      <c r="X935">
        <v>1651.03</v>
      </c>
      <c r="Y935">
        <v>437.19</v>
      </c>
      <c r="Z935">
        <v>2088.2199999999998</v>
      </c>
      <c r="AA935" t="s">
        <v>63</v>
      </c>
      <c r="AB935">
        <v>0</v>
      </c>
      <c r="AC935">
        <v>81.599999999999994</v>
      </c>
      <c r="AD935">
        <v>90</v>
      </c>
      <c r="AE935">
        <v>92</v>
      </c>
    </row>
    <row r="936" spans="1:31" x14ac:dyDescent="0.25">
      <c r="A936" t="s">
        <v>4422</v>
      </c>
      <c r="B936" t="s">
        <v>792</v>
      </c>
      <c r="C936" s="1">
        <v>44624</v>
      </c>
      <c r="D936" s="1">
        <v>44134</v>
      </c>
      <c r="E936" t="s">
        <v>66</v>
      </c>
      <c r="F936" t="s">
        <v>78</v>
      </c>
      <c r="G936" t="s">
        <v>79</v>
      </c>
      <c r="H936" t="s">
        <v>218</v>
      </c>
      <c r="I936" t="s">
        <v>4423</v>
      </c>
      <c r="J936" t="s">
        <v>55</v>
      </c>
      <c r="K936" t="s">
        <v>97</v>
      </c>
      <c r="L936" t="s">
        <v>4424</v>
      </c>
      <c r="M936">
        <v>377.04</v>
      </c>
      <c r="N936">
        <v>30</v>
      </c>
      <c r="O936" t="s">
        <v>4425</v>
      </c>
      <c r="P936" t="s">
        <v>59</v>
      </c>
      <c r="Q936" t="s">
        <v>428</v>
      </c>
      <c r="R936" t="s">
        <v>61</v>
      </c>
      <c r="S936" t="s">
        <v>128</v>
      </c>
      <c r="T936" t="s">
        <v>169</v>
      </c>
      <c r="U936">
        <v>2596</v>
      </c>
      <c r="V936">
        <v>377</v>
      </c>
      <c r="W936">
        <v>2</v>
      </c>
      <c r="X936">
        <v>381.06</v>
      </c>
      <c r="Y936">
        <v>406.53</v>
      </c>
      <c r="Z936">
        <v>787.58999999999992</v>
      </c>
      <c r="AA936" t="s">
        <v>63</v>
      </c>
      <c r="AB936">
        <v>0</v>
      </c>
      <c r="AC936">
        <v>95.56</v>
      </c>
      <c r="AD936">
        <v>404</v>
      </c>
      <c r="AE936">
        <v>389</v>
      </c>
    </row>
    <row r="937" spans="1:31" x14ac:dyDescent="0.25">
      <c r="A937" t="s">
        <v>4426</v>
      </c>
      <c r="B937" t="s">
        <v>4427</v>
      </c>
      <c r="C937" s="1">
        <v>45475</v>
      </c>
      <c r="D937" s="1">
        <v>44074</v>
      </c>
      <c r="E937" t="s">
        <v>66</v>
      </c>
      <c r="F937" t="s">
        <v>51</v>
      </c>
      <c r="G937" t="s">
        <v>35</v>
      </c>
      <c r="H937" t="s">
        <v>68</v>
      </c>
      <c r="I937" t="s">
        <v>4428</v>
      </c>
      <c r="J937" t="s">
        <v>96</v>
      </c>
      <c r="K937" t="s">
        <v>39</v>
      </c>
      <c r="L937" t="s">
        <v>4429</v>
      </c>
      <c r="M937">
        <v>150.91999999999999</v>
      </c>
      <c r="N937">
        <v>55</v>
      </c>
      <c r="O937" t="s">
        <v>4430</v>
      </c>
      <c r="P937" t="s">
        <v>110</v>
      </c>
      <c r="Q937" t="s">
        <v>214</v>
      </c>
      <c r="R937" t="s">
        <v>61</v>
      </c>
      <c r="S937" t="s">
        <v>74</v>
      </c>
      <c r="T937" t="s">
        <v>112</v>
      </c>
      <c r="U937">
        <v>4607</v>
      </c>
      <c r="V937">
        <v>302</v>
      </c>
      <c r="W937">
        <v>11</v>
      </c>
      <c r="X937">
        <v>1843.07</v>
      </c>
      <c r="Y937">
        <v>413.21</v>
      </c>
      <c r="Z937">
        <v>2256.2800000000002</v>
      </c>
      <c r="AA937" t="s">
        <v>63</v>
      </c>
      <c r="AB937">
        <v>0</v>
      </c>
      <c r="AC937">
        <v>90.73</v>
      </c>
      <c r="AD937">
        <v>150</v>
      </c>
      <c r="AE937">
        <v>148</v>
      </c>
    </row>
    <row r="938" spans="1:31" x14ac:dyDescent="0.25">
      <c r="A938" t="s">
        <v>4431</v>
      </c>
      <c r="B938" t="s">
        <v>4432</v>
      </c>
      <c r="C938" s="1">
        <v>44216</v>
      </c>
      <c r="D938" s="1">
        <v>44373</v>
      </c>
      <c r="E938" t="s">
        <v>50</v>
      </c>
      <c r="F938" t="s">
        <v>51</v>
      </c>
      <c r="G938" t="s">
        <v>115</v>
      </c>
      <c r="H938" t="s">
        <v>218</v>
      </c>
      <c r="I938" t="s">
        <v>4433</v>
      </c>
      <c r="J938" t="s">
        <v>107</v>
      </c>
      <c r="K938" t="s">
        <v>70</v>
      </c>
      <c r="L938" t="s">
        <v>4434</v>
      </c>
      <c r="M938">
        <v>82.84</v>
      </c>
      <c r="N938">
        <v>64</v>
      </c>
      <c r="O938" t="s">
        <v>4435</v>
      </c>
      <c r="P938" t="s">
        <v>110</v>
      </c>
      <c r="Q938" t="s">
        <v>234</v>
      </c>
      <c r="R938" t="s">
        <v>61</v>
      </c>
      <c r="S938" t="s">
        <v>89</v>
      </c>
      <c r="T938" t="s">
        <v>273</v>
      </c>
      <c r="U938">
        <v>486</v>
      </c>
      <c r="V938">
        <v>366</v>
      </c>
      <c r="W938">
        <v>11</v>
      </c>
      <c r="X938">
        <v>307.41000000000003</v>
      </c>
      <c r="Y938">
        <v>220.38</v>
      </c>
      <c r="Z938">
        <v>527.79</v>
      </c>
      <c r="AA938" t="s">
        <v>63</v>
      </c>
      <c r="AB938">
        <v>0</v>
      </c>
      <c r="AC938">
        <v>83.45</v>
      </c>
      <c r="AD938">
        <v>57</v>
      </c>
      <c r="AE938">
        <v>82</v>
      </c>
    </row>
    <row r="939" spans="1:31" x14ac:dyDescent="0.25">
      <c r="A939" t="s">
        <v>4436</v>
      </c>
      <c r="B939" t="s">
        <v>2152</v>
      </c>
      <c r="C939" s="1">
        <v>44880</v>
      </c>
      <c r="D939" s="1">
        <v>44894</v>
      </c>
      <c r="E939" t="s">
        <v>50</v>
      </c>
      <c r="F939" t="s">
        <v>147</v>
      </c>
      <c r="G939" t="s">
        <v>35</v>
      </c>
      <c r="H939" t="s">
        <v>36</v>
      </c>
      <c r="I939" t="s">
        <v>4437</v>
      </c>
      <c r="J939" t="s">
        <v>82</v>
      </c>
      <c r="K939" t="s">
        <v>56</v>
      </c>
      <c r="L939" t="s">
        <v>4438</v>
      </c>
      <c r="M939">
        <v>494.92</v>
      </c>
      <c r="N939">
        <v>76</v>
      </c>
      <c r="O939" t="s">
        <v>1053</v>
      </c>
      <c r="P939" t="s">
        <v>86</v>
      </c>
      <c r="Q939" t="s">
        <v>488</v>
      </c>
      <c r="R939" t="s">
        <v>88</v>
      </c>
      <c r="S939" t="s">
        <v>89</v>
      </c>
      <c r="T939" t="s">
        <v>121</v>
      </c>
      <c r="U939">
        <v>3190</v>
      </c>
      <c r="V939">
        <v>340</v>
      </c>
      <c r="W939">
        <v>5</v>
      </c>
      <c r="X939">
        <v>1138.3599999999999</v>
      </c>
      <c r="Y939">
        <v>195.46</v>
      </c>
      <c r="Z939">
        <v>1333.82</v>
      </c>
      <c r="AA939" t="s">
        <v>63</v>
      </c>
      <c r="AB939">
        <v>0</v>
      </c>
      <c r="AC939">
        <v>71.08</v>
      </c>
      <c r="AD939">
        <v>289</v>
      </c>
      <c r="AE939">
        <v>267</v>
      </c>
    </row>
    <row r="940" spans="1:31" x14ac:dyDescent="0.25">
      <c r="A940" t="s">
        <v>4439</v>
      </c>
      <c r="B940" t="s">
        <v>4440</v>
      </c>
      <c r="C940" s="1">
        <v>44317</v>
      </c>
      <c r="D940" s="1">
        <v>44030</v>
      </c>
      <c r="E940" t="s">
        <v>66</v>
      </c>
      <c r="F940" t="s">
        <v>51</v>
      </c>
      <c r="G940" t="s">
        <v>79</v>
      </c>
      <c r="H940" t="s">
        <v>116</v>
      </c>
      <c r="I940" t="s">
        <v>4441</v>
      </c>
      <c r="J940" t="s">
        <v>55</v>
      </c>
      <c r="K940" t="s">
        <v>97</v>
      </c>
      <c r="L940" t="s">
        <v>57</v>
      </c>
      <c r="M940">
        <v>97.65</v>
      </c>
      <c r="N940">
        <v>64</v>
      </c>
      <c r="O940" t="s">
        <v>4442</v>
      </c>
      <c r="P940" t="s">
        <v>42</v>
      </c>
      <c r="Q940" t="s">
        <v>135</v>
      </c>
      <c r="R940" t="s">
        <v>61</v>
      </c>
      <c r="S940" t="s">
        <v>128</v>
      </c>
      <c r="T940" t="s">
        <v>215</v>
      </c>
      <c r="U940">
        <v>4315</v>
      </c>
      <c r="V940">
        <v>62</v>
      </c>
      <c r="W940">
        <v>23</v>
      </c>
      <c r="X940">
        <v>553.94000000000005</v>
      </c>
      <c r="Y940">
        <v>296.39999999999998</v>
      </c>
      <c r="Z940">
        <v>850.34</v>
      </c>
      <c r="AA940" t="s">
        <v>63</v>
      </c>
      <c r="AB940">
        <v>0</v>
      </c>
      <c r="AC940">
        <v>71.760000000000005</v>
      </c>
      <c r="AD940">
        <v>413</v>
      </c>
      <c r="AE940">
        <v>434</v>
      </c>
    </row>
    <row r="941" spans="1:31" x14ac:dyDescent="0.25">
      <c r="A941" t="s">
        <v>4443</v>
      </c>
      <c r="B941" t="s">
        <v>4444</v>
      </c>
      <c r="C941" s="1">
        <v>45235</v>
      </c>
      <c r="D941" s="1">
        <v>45548</v>
      </c>
      <c r="E941" t="s">
        <v>50</v>
      </c>
      <c r="F941" t="s">
        <v>34</v>
      </c>
      <c r="G941" t="s">
        <v>105</v>
      </c>
      <c r="H941" t="s">
        <v>36</v>
      </c>
      <c r="I941" t="s">
        <v>4445</v>
      </c>
      <c r="J941" t="s">
        <v>96</v>
      </c>
      <c r="K941" t="s">
        <v>56</v>
      </c>
      <c r="L941" t="s">
        <v>4446</v>
      </c>
      <c r="M941">
        <v>383.46</v>
      </c>
      <c r="N941">
        <v>8</v>
      </c>
      <c r="O941" t="s">
        <v>2027</v>
      </c>
      <c r="P941" t="s">
        <v>42</v>
      </c>
      <c r="Q941" t="s">
        <v>428</v>
      </c>
      <c r="R941" t="s">
        <v>88</v>
      </c>
      <c r="S941" t="s">
        <v>45</v>
      </c>
      <c r="T941" t="s">
        <v>1339</v>
      </c>
      <c r="U941">
        <v>4941</v>
      </c>
      <c r="V941">
        <v>210</v>
      </c>
      <c r="W941">
        <v>22</v>
      </c>
      <c r="X941">
        <v>73.430000000000007</v>
      </c>
      <c r="Y941">
        <v>12.91</v>
      </c>
      <c r="Z941">
        <v>86.34</v>
      </c>
      <c r="AA941" t="s">
        <v>47</v>
      </c>
      <c r="AB941">
        <v>4</v>
      </c>
      <c r="AC941">
        <v>72.430000000000007</v>
      </c>
      <c r="AD941">
        <v>214</v>
      </c>
      <c r="AE941">
        <v>262</v>
      </c>
    </row>
    <row r="942" spans="1:31" x14ac:dyDescent="0.25">
      <c r="A942" t="s">
        <v>4447</v>
      </c>
      <c r="B942" t="s">
        <v>4448</v>
      </c>
      <c r="C942" s="1">
        <v>44427</v>
      </c>
      <c r="D942" s="1">
        <v>45377</v>
      </c>
      <c r="E942" t="s">
        <v>50</v>
      </c>
      <c r="F942" t="s">
        <v>78</v>
      </c>
      <c r="G942" t="s">
        <v>67</v>
      </c>
      <c r="H942" t="s">
        <v>80</v>
      </c>
      <c r="I942" t="s">
        <v>4449</v>
      </c>
      <c r="J942" t="s">
        <v>96</v>
      </c>
      <c r="K942" t="s">
        <v>97</v>
      </c>
      <c r="L942" t="s">
        <v>4450</v>
      </c>
      <c r="M942">
        <v>262.95</v>
      </c>
      <c r="N942">
        <v>16</v>
      </c>
      <c r="O942" t="s">
        <v>4451</v>
      </c>
      <c r="P942" t="s">
        <v>142</v>
      </c>
      <c r="Q942" t="s">
        <v>455</v>
      </c>
      <c r="R942" t="s">
        <v>153</v>
      </c>
      <c r="S942" t="s">
        <v>128</v>
      </c>
      <c r="T942" t="s">
        <v>196</v>
      </c>
      <c r="U942">
        <v>2013</v>
      </c>
      <c r="V942">
        <v>385</v>
      </c>
      <c r="W942">
        <v>8</v>
      </c>
      <c r="X942">
        <v>1435.07</v>
      </c>
      <c r="Y942">
        <v>227.76</v>
      </c>
      <c r="Z942">
        <v>1662.83</v>
      </c>
      <c r="AA942" t="s">
        <v>63</v>
      </c>
      <c r="AB942">
        <v>0</v>
      </c>
      <c r="AC942">
        <v>73.150000000000006</v>
      </c>
      <c r="AD942">
        <v>155</v>
      </c>
      <c r="AE942">
        <v>138</v>
      </c>
    </row>
    <row r="943" spans="1:31" x14ac:dyDescent="0.25">
      <c r="A943" t="s">
        <v>4452</v>
      </c>
      <c r="B943" t="s">
        <v>4453</v>
      </c>
      <c r="C943" s="1">
        <v>44794</v>
      </c>
      <c r="D943" s="1">
        <v>45436</v>
      </c>
      <c r="E943" t="s">
        <v>66</v>
      </c>
      <c r="F943" t="s">
        <v>147</v>
      </c>
      <c r="G943" t="s">
        <v>67</v>
      </c>
      <c r="H943" t="s">
        <v>218</v>
      </c>
      <c r="I943" t="s">
        <v>4454</v>
      </c>
      <c r="J943" t="s">
        <v>55</v>
      </c>
      <c r="K943" t="s">
        <v>97</v>
      </c>
      <c r="L943" t="s">
        <v>4455</v>
      </c>
      <c r="M943">
        <v>250.58</v>
      </c>
      <c r="N943">
        <v>47</v>
      </c>
      <c r="O943" t="s">
        <v>4456</v>
      </c>
      <c r="P943" t="s">
        <v>42</v>
      </c>
      <c r="Q943" t="s">
        <v>461</v>
      </c>
      <c r="R943" t="s">
        <v>61</v>
      </c>
      <c r="S943" t="s">
        <v>128</v>
      </c>
      <c r="T943" t="s">
        <v>1339</v>
      </c>
      <c r="U943">
        <v>900</v>
      </c>
      <c r="V943">
        <v>362</v>
      </c>
      <c r="W943">
        <v>22</v>
      </c>
      <c r="X943">
        <v>156.79</v>
      </c>
      <c r="Y943">
        <v>497.64</v>
      </c>
      <c r="Z943">
        <v>654.42999999999995</v>
      </c>
      <c r="AA943" t="s">
        <v>63</v>
      </c>
      <c r="AB943">
        <v>0</v>
      </c>
      <c r="AC943">
        <v>77.400000000000006</v>
      </c>
      <c r="AD943">
        <v>462</v>
      </c>
      <c r="AE943">
        <v>413</v>
      </c>
    </row>
    <row r="944" spans="1:31" x14ac:dyDescent="0.25">
      <c r="A944" t="s">
        <v>4457</v>
      </c>
      <c r="B944" t="s">
        <v>4458</v>
      </c>
      <c r="C944" s="1">
        <v>44152</v>
      </c>
      <c r="D944" s="1">
        <v>44598</v>
      </c>
      <c r="E944" t="s">
        <v>66</v>
      </c>
      <c r="F944" t="s">
        <v>34</v>
      </c>
      <c r="G944" t="s">
        <v>115</v>
      </c>
      <c r="H944" t="s">
        <v>80</v>
      </c>
      <c r="I944" t="s">
        <v>4459</v>
      </c>
      <c r="J944" t="s">
        <v>38</v>
      </c>
      <c r="K944" t="s">
        <v>97</v>
      </c>
      <c r="L944" t="s">
        <v>4460</v>
      </c>
      <c r="M944">
        <v>208.41</v>
      </c>
      <c r="N944">
        <v>27</v>
      </c>
      <c r="O944" t="s">
        <v>4461</v>
      </c>
      <c r="P944" t="s">
        <v>142</v>
      </c>
      <c r="Q944" t="s">
        <v>428</v>
      </c>
      <c r="R944" t="s">
        <v>153</v>
      </c>
      <c r="S944" t="s">
        <v>45</v>
      </c>
      <c r="T944" t="s">
        <v>530</v>
      </c>
      <c r="U944">
        <v>4209</v>
      </c>
      <c r="V944">
        <v>150</v>
      </c>
      <c r="W944">
        <v>13</v>
      </c>
      <c r="X944">
        <v>51.27</v>
      </c>
      <c r="Y944">
        <v>386.15</v>
      </c>
      <c r="Z944">
        <v>437.42</v>
      </c>
      <c r="AA944" t="s">
        <v>63</v>
      </c>
      <c r="AB944">
        <v>0</v>
      </c>
      <c r="AC944">
        <v>72.61</v>
      </c>
      <c r="AD944">
        <v>103</v>
      </c>
      <c r="AE944">
        <v>80</v>
      </c>
    </row>
    <row r="945" spans="1:31" x14ac:dyDescent="0.25">
      <c r="A945" t="s">
        <v>4462</v>
      </c>
      <c r="B945" t="s">
        <v>4463</v>
      </c>
      <c r="C945" s="1">
        <v>43989</v>
      </c>
      <c r="D945" s="1">
        <v>45477</v>
      </c>
      <c r="E945" t="s">
        <v>66</v>
      </c>
      <c r="F945" t="s">
        <v>34</v>
      </c>
      <c r="G945" t="s">
        <v>79</v>
      </c>
      <c r="H945" t="s">
        <v>116</v>
      </c>
      <c r="I945" t="s">
        <v>4464</v>
      </c>
      <c r="J945" t="s">
        <v>82</v>
      </c>
      <c r="K945" t="s">
        <v>39</v>
      </c>
      <c r="L945" t="s">
        <v>3693</v>
      </c>
      <c r="M945">
        <v>443.9</v>
      </c>
      <c r="N945">
        <v>15</v>
      </c>
      <c r="O945" t="s">
        <v>1441</v>
      </c>
      <c r="P945" t="s">
        <v>142</v>
      </c>
      <c r="Q945" t="s">
        <v>340</v>
      </c>
      <c r="R945" t="s">
        <v>88</v>
      </c>
      <c r="S945" t="s">
        <v>101</v>
      </c>
      <c r="T945" t="s">
        <v>559</v>
      </c>
      <c r="U945">
        <v>2453</v>
      </c>
      <c r="V945">
        <v>307</v>
      </c>
      <c r="W945">
        <v>14</v>
      </c>
      <c r="X945">
        <v>115.92</v>
      </c>
      <c r="Y945">
        <v>229.01</v>
      </c>
      <c r="Z945">
        <v>344.93</v>
      </c>
      <c r="AA945" t="s">
        <v>63</v>
      </c>
      <c r="AB945">
        <v>0</v>
      </c>
      <c r="AC945">
        <v>96.52</v>
      </c>
      <c r="AD945">
        <v>350</v>
      </c>
      <c r="AE945">
        <v>395</v>
      </c>
    </row>
    <row r="946" spans="1:31" x14ac:dyDescent="0.25">
      <c r="A946" t="s">
        <v>4465</v>
      </c>
      <c r="B946" t="s">
        <v>4466</v>
      </c>
      <c r="C946" s="1">
        <v>45641</v>
      </c>
      <c r="D946" s="1">
        <v>45626</v>
      </c>
      <c r="E946" t="s">
        <v>66</v>
      </c>
      <c r="F946" t="s">
        <v>147</v>
      </c>
      <c r="G946" t="s">
        <v>337</v>
      </c>
      <c r="H946" t="s">
        <v>148</v>
      </c>
      <c r="I946" t="s">
        <v>4467</v>
      </c>
      <c r="J946" t="s">
        <v>96</v>
      </c>
      <c r="K946" t="s">
        <v>97</v>
      </c>
      <c r="L946" t="s">
        <v>4468</v>
      </c>
      <c r="M946">
        <v>331.87</v>
      </c>
      <c r="N946">
        <v>99</v>
      </c>
      <c r="O946" t="s">
        <v>4456</v>
      </c>
      <c r="P946" t="s">
        <v>110</v>
      </c>
      <c r="Q946" t="s">
        <v>290</v>
      </c>
      <c r="R946" t="s">
        <v>61</v>
      </c>
      <c r="S946" t="s">
        <v>128</v>
      </c>
      <c r="T946" t="s">
        <v>273</v>
      </c>
      <c r="U946">
        <v>4721</v>
      </c>
      <c r="V946">
        <v>420</v>
      </c>
      <c r="W946">
        <v>16</v>
      </c>
      <c r="X946">
        <v>1586.92</v>
      </c>
      <c r="Y946">
        <v>187.47</v>
      </c>
      <c r="Z946">
        <v>1774.39</v>
      </c>
      <c r="AA946" t="s">
        <v>63</v>
      </c>
      <c r="AB946">
        <v>0</v>
      </c>
      <c r="AC946">
        <v>80.849999999999994</v>
      </c>
      <c r="AD946">
        <v>295</v>
      </c>
      <c r="AE946">
        <v>331</v>
      </c>
    </row>
    <row r="947" spans="1:31" x14ac:dyDescent="0.25">
      <c r="A947" t="s">
        <v>4469</v>
      </c>
      <c r="B947" t="s">
        <v>4470</v>
      </c>
      <c r="C947" s="1">
        <v>45375</v>
      </c>
      <c r="D947" s="1">
        <v>45336</v>
      </c>
      <c r="E947" t="s">
        <v>66</v>
      </c>
      <c r="F947" t="s">
        <v>78</v>
      </c>
      <c r="G947" t="s">
        <v>115</v>
      </c>
      <c r="H947" t="s">
        <v>218</v>
      </c>
      <c r="I947" t="s">
        <v>4471</v>
      </c>
      <c r="J947" t="s">
        <v>96</v>
      </c>
      <c r="K947" t="s">
        <v>97</v>
      </c>
      <c r="L947" t="s">
        <v>3184</v>
      </c>
      <c r="M947">
        <v>497.46</v>
      </c>
      <c r="N947">
        <v>55</v>
      </c>
      <c r="O947" t="s">
        <v>1977</v>
      </c>
      <c r="P947" t="s">
        <v>42</v>
      </c>
      <c r="Q947" t="s">
        <v>421</v>
      </c>
      <c r="R947" t="s">
        <v>61</v>
      </c>
      <c r="S947" t="s">
        <v>74</v>
      </c>
      <c r="T947" t="s">
        <v>215</v>
      </c>
      <c r="U947">
        <v>2139</v>
      </c>
      <c r="V947">
        <v>401</v>
      </c>
      <c r="W947">
        <v>8</v>
      </c>
      <c r="X947">
        <v>1017.78</v>
      </c>
      <c r="Y947">
        <v>372.65</v>
      </c>
      <c r="Z947">
        <v>1390.43</v>
      </c>
      <c r="AA947" t="s">
        <v>63</v>
      </c>
      <c r="AB947">
        <v>0</v>
      </c>
      <c r="AC947">
        <v>72.03</v>
      </c>
      <c r="AD947">
        <v>435</v>
      </c>
      <c r="AE947">
        <v>471</v>
      </c>
    </row>
    <row r="948" spans="1:31" x14ac:dyDescent="0.25">
      <c r="A948" t="s">
        <v>4472</v>
      </c>
      <c r="B948" t="s">
        <v>4473</v>
      </c>
      <c r="C948" s="1">
        <v>45266</v>
      </c>
      <c r="D948" s="1">
        <v>44752</v>
      </c>
      <c r="E948" t="s">
        <v>50</v>
      </c>
      <c r="F948" t="s">
        <v>78</v>
      </c>
      <c r="G948" t="s">
        <v>52</v>
      </c>
      <c r="H948" t="s">
        <v>164</v>
      </c>
      <c r="I948" t="s">
        <v>4474</v>
      </c>
      <c r="J948" t="s">
        <v>107</v>
      </c>
      <c r="K948" t="s">
        <v>97</v>
      </c>
      <c r="L948" t="s">
        <v>4475</v>
      </c>
      <c r="M948">
        <v>43.93</v>
      </c>
      <c r="N948">
        <v>95</v>
      </c>
      <c r="O948" t="s">
        <v>1471</v>
      </c>
      <c r="P948" t="s">
        <v>110</v>
      </c>
      <c r="Q948" t="s">
        <v>1277</v>
      </c>
      <c r="R948" t="s">
        <v>153</v>
      </c>
      <c r="S948" t="s">
        <v>74</v>
      </c>
      <c r="T948" t="s">
        <v>939</v>
      </c>
      <c r="U948">
        <v>3912</v>
      </c>
      <c r="V948">
        <v>360</v>
      </c>
      <c r="W948">
        <v>21</v>
      </c>
      <c r="X948">
        <v>758.72</v>
      </c>
      <c r="Y948">
        <v>55.05</v>
      </c>
      <c r="Z948">
        <v>813.77</v>
      </c>
      <c r="AA948" t="s">
        <v>63</v>
      </c>
      <c r="AB948">
        <v>0</v>
      </c>
      <c r="AC948">
        <v>95.2</v>
      </c>
      <c r="AD948">
        <v>457</v>
      </c>
      <c r="AE948">
        <v>424</v>
      </c>
    </row>
    <row r="949" spans="1:31" x14ac:dyDescent="0.25">
      <c r="A949" t="s">
        <v>4476</v>
      </c>
      <c r="B949" t="s">
        <v>4477</v>
      </c>
      <c r="C949" s="1">
        <v>44034</v>
      </c>
      <c r="D949" s="1">
        <v>45258</v>
      </c>
      <c r="E949" t="s">
        <v>66</v>
      </c>
      <c r="F949" t="s">
        <v>93</v>
      </c>
      <c r="G949" t="s">
        <v>94</v>
      </c>
      <c r="H949" t="s">
        <v>36</v>
      </c>
      <c r="I949" t="s">
        <v>4478</v>
      </c>
      <c r="J949" t="s">
        <v>55</v>
      </c>
      <c r="K949" t="s">
        <v>70</v>
      </c>
      <c r="L949" t="s">
        <v>4479</v>
      </c>
      <c r="M949">
        <v>168.55</v>
      </c>
      <c r="N949">
        <v>67</v>
      </c>
      <c r="O949" t="s">
        <v>3102</v>
      </c>
      <c r="P949" t="s">
        <v>110</v>
      </c>
      <c r="Q949" t="s">
        <v>1277</v>
      </c>
      <c r="R949" t="s">
        <v>88</v>
      </c>
      <c r="S949" t="s">
        <v>74</v>
      </c>
      <c r="T949" t="s">
        <v>242</v>
      </c>
      <c r="U949">
        <v>2884</v>
      </c>
      <c r="V949">
        <v>253</v>
      </c>
      <c r="W949">
        <v>6</v>
      </c>
      <c r="X949">
        <v>465.77</v>
      </c>
      <c r="Y949">
        <v>326.10000000000002</v>
      </c>
      <c r="Z949">
        <v>791.87</v>
      </c>
      <c r="AA949" t="s">
        <v>63</v>
      </c>
      <c r="AB949">
        <v>0</v>
      </c>
      <c r="AC949">
        <v>92.3</v>
      </c>
      <c r="AD949">
        <v>233</v>
      </c>
      <c r="AE949">
        <v>222</v>
      </c>
    </row>
    <row r="950" spans="1:31" x14ac:dyDescent="0.25">
      <c r="A950" t="s">
        <v>4480</v>
      </c>
      <c r="B950" t="s">
        <v>257</v>
      </c>
      <c r="C950" s="1">
        <v>44837</v>
      </c>
      <c r="D950" s="1">
        <v>44961</v>
      </c>
      <c r="E950" t="s">
        <v>66</v>
      </c>
      <c r="F950" t="s">
        <v>34</v>
      </c>
      <c r="G950" t="s">
        <v>94</v>
      </c>
      <c r="H950" t="s">
        <v>80</v>
      </c>
      <c r="I950" t="s">
        <v>4481</v>
      </c>
      <c r="J950" t="s">
        <v>82</v>
      </c>
      <c r="K950" t="s">
        <v>70</v>
      </c>
      <c r="L950" t="s">
        <v>4482</v>
      </c>
      <c r="M950">
        <v>416.11</v>
      </c>
      <c r="N950">
        <v>32</v>
      </c>
      <c r="O950" t="s">
        <v>4483</v>
      </c>
      <c r="P950" t="s">
        <v>86</v>
      </c>
      <c r="Q950" t="s">
        <v>189</v>
      </c>
      <c r="R950" t="s">
        <v>88</v>
      </c>
      <c r="S950" t="s">
        <v>101</v>
      </c>
      <c r="T950" t="s">
        <v>62</v>
      </c>
      <c r="U950">
        <v>3565</v>
      </c>
      <c r="V950">
        <v>115</v>
      </c>
      <c r="W950">
        <v>29</v>
      </c>
      <c r="X950">
        <v>688.84</v>
      </c>
      <c r="Y950">
        <v>450.86</v>
      </c>
      <c r="Z950">
        <v>1139.7</v>
      </c>
      <c r="AA950" t="s">
        <v>63</v>
      </c>
      <c r="AB950">
        <v>0</v>
      </c>
      <c r="AC950">
        <v>93</v>
      </c>
      <c r="AD950">
        <v>58</v>
      </c>
      <c r="AE950">
        <v>93</v>
      </c>
    </row>
    <row r="951" spans="1:31" x14ac:dyDescent="0.25">
      <c r="A951" t="s">
        <v>4484</v>
      </c>
      <c r="B951" t="s">
        <v>4485</v>
      </c>
      <c r="C951" s="1">
        <v>44653</v>
      </c>
      <c r="D951" s="1">
        <v>44911</v>
      </c>
      <c r="E951" t="s">
        <v>50</v>
      </c>
      <c r="F951" t="s">
        <v>34</v>
      </c>
      <c r="G951" t="s">
        <v>105</v>
      </c>
      <c r="H951" t="s">
        <v>218</v>
      </c>
      <c r="I951" t="s">
        <v>4486</v>
      </c>
      <c r="J951" t="s">
        <v>107</v>
      </c>
      <c r="K951" t="s">
        <v>39</v>
      </c>
      <c r="L951" t="s">
        <v>4487</v>
      </c>
      <c r="M951">
        <v>247.82</v>
      </c>
      <c r="N951">
        <v>51</v>
      </c>
      <c r="O951" t="s">
        <v>2692</v>
      </c>
      <c r="P951" t="s">
        <v>86</v>
      </c>
      <c r="Q951" t="s">
        <v>160</v>
      </c>
      <c r="R951" t="s">
        <v>153</v>
      </c>
      <c r="S951" t="s">
        <v>74</v>
      </c>
      <c r="T951" t="s">
        <v>255</v>
      </c>
      <c r="U951">
        <v>2814</v>
      </c>
      <c r="V951">
        <v>132</v>
      </c>
      <c r="W951">
        <v>21</v>
      </c>
      <c r="X951">
        <v>411.77</v>
      </c>
      <c r="Y951">
        <v>237.88</v>
      </c>
      <c r="Z951">
        <v>649.65</v>
      </c>
      <c r="AA951" t="s">
        <v>63</v>
      </c>
      <c r="AB951">
        <v>0</v>
      </c>
      <c r="AC951">
        <v>97.46</v>
      </c>
      <c r="AD951">
        <v>391</v>
      </c>
      <c r="AE951">
        <v>360</v>
      </c>
    </row>
    <row r="952" spans="1:31" x14ac:dyDescent="0.25">
      <c r="A952" t="s">
        <v>4488</v>
      </c>
      <c r="B952" t="s">
        <v>4489</v>
      </c>
      <c r="C952" s="1">
        <v>45421</v>
      </c>
      <c r="D952" s="1">
        <v>44115</v>
      </c>
      <c r="E952" t="s">
        <v>33</v>
      </c>
      <c r="F952" t="s">
        <v>93</v>
      </c>
      <c r="G952" t="s">
        <v>52</v>
      </c>
      <c r="H952" t="s">
        <v>68</v>
      </c>
      <c r="I952" t="s">
        <v>4490</v>
      </c>
      <c r="J952" t="s">
        <v>96</v>
      </c>
      <c r="K952" t="s">
        <v>56</v>
      </c>
      <c r="L952" t="s">
        <v>4491</v>
      </c>
      <c r="M952">
        <v>411.55</v>
      </c>
      <c r="N952">
        <v>29</v>
      </c>
      <c r="O952" t="s">
        <v>4492</v>
      </c>
      <c r="P952" t="s">
        <v>110</v>
      </c>
      <c r="Q952" t="s">
        <v>371</v>
      </c>
      <c r="R952" t="s">
        <v>153</v>
      </c>
      <c r="S952" t="s">
        <v>89</v>
      </c>
      <c r="T952" t="s">
        <v>559</v>
      </c>
      <c r="U952">
        <v>3264</v>
      </c>
      <c r="V952">
        <v>378</v>
      </c>
      <c r="W952">
        <v>3</v>
      </c>
      <c r="X952">
        <v>1306.67</v>
      </c>
      <c r="Y952">
        <v>370.17</v>
      </c>
      <c r="Z952">
        <v>1676.84</v>
      </c>
      <c r="AA952" t="s">
        <v>63</v>
      </c>
      <c r="AB952">
        <v>0</v>
      </c>
      <c r="AC952">
        <v>92.4</v>
      </c>
      <c r="AD952">
        <v>235</v>
      </c>
      <c r="AE952">
        <v>223</v>
      </c>
    </row>
    <row r="953" spans="1:31" x14ac:dyDescent="0.25">
      <c r="A953" t="s">
        <v>4493</v>
      </c>
      <c r="B953" t="s">
        <v>4494</v>
      </c>
      <c r="C953" s="1">
        <v>44447</v>
      </c>
      <c r="D953" s="1">
        <v>45258</v>
      </c>
      <c r="E953" t="s">
        <v>66</v>
      </c>
      <c r="F953" t="s">
        <v>51</v>
      </c>
      <c r="G953" t="s">
        <v>105</v>
      </c>
      <c r="H953" t="s">
        <v>53</v>
      </c>
      <c r="I953" t="s">
        <v>4495</v>
      </c>
      <c r="J953" t="s">
        <v>107</v>
      </c>
      <c r="K953" t="s">
        <v>39</v>
      </c>
      <c r="L953" t="s">
        <v>1622</v>
      </c>
      <c r="M953">
        <v>192.76</v>
      </c>
      <c r="N953">
        <v>34</v>
      </c>
      <c r="O953" t="s">
        <v>4435</v>
      </c>
      <c r="P953" t="s">
        <v>42</v>
      </c>
      <c r="Q953" t="s">
        <v>290</v>
      </c>
      <c r="R953" t="s">
        <v>88</v>
      </c>
      <c r="S953" t="s">
        <v>45</v>
      </c>
      <c r="T953" t="s">
        <v>112</v>
      </c>
      <c r="U953">
        <v>1298</v>
      </c>
      <c r="V953">
        <v>155</v>
      </c>
      <c r="W953">
        <v>19</v>
      </c>
      <c r="X953">
        <v>571.04999999999995</v>
      </c>
      <c r="Y953">
        <v>323.77</v>
      </c>
      <c r="Z953">
        <v>894.81999999999994</v>
      </c>
      <c r="AA953" t="s">
        <v>63</v>
      </c>
      <c r="AB953">
        <v>0</v>
      </c>
      <c r="AC953">
        <v>77.86</v>
      </c>
      <c r="AD953">
        <v>217</v>
      </c>
      <c r="AE953">
        <v>253</v>
      </c>
    </row>
    <row r="954" spans="1:31" x14ac:dyDescent="0.25">
      <c r="A954" t="s">
        <v>4496</v>
      </c>
      <c r="B954" t="s">
        <v>4497</v>
      </c>
      <c r="C954" s="1">
        <v>44831</v>
      </c>
      <c r="D954" s="1">
        <v>44091</v>
      </c>
      <c r="E954" t="s">
        <v>50</v>
      </c>
      <c r="F954" t="s">
        <v>78</v>
      </c>
      <c r="G954" t="s">
        <v>79</v>
      </c>
      <c r="H954" t="s">
        <v>80</v>
      </c>
      <c r="I954" t="s">
        <v>4498</v>
      </c>
      <c r="J954" t="s">
        <v>38</v>
      </c>
      <c r="K954" t="s">
        <v>83</v>
      </c>
      <c r="L954" t="s">
        <v>4499</v>
      </c>
      <c r="M954">
        <v>364.74</v>
      </c>
      <c r="N954">
        <v>93</v>
      </c>
      <c r="O954" t="s">
        <v>667</v>
      </c>
      <c r="P954" t="s">
        <v>142</v>
      </c>
      <c r="Q954" t="s">
        <v>364</v>
      </c>
      <c r="R954" t="s">
        <v>153</v>
      </c>
      <c r="S954" t="s">
        <v>45</v>
      </c>
      <c r="T954" t="s">
        <v>365</v>
      </c>
      <c r="U954">
        <v>232</v>
      </c>
      <c r="V954">
        <v>61</v>
      </c>
      <c r="W954">
        <v>21</v>
      </c>
      <c r="X954">
        <v>396.62</v>
      </c>
      <c r="Y954">
        <v>16.88</v>
      </c>
      <c r="Z954">
        <v>413.5</v>
      </c>
      <c r="AA954" t="s">
        <v>47</v>
      </c>
      <c r="AB954">
        <v>13</v>
      </c>
      <c r="AC954">
        <v>71.67</v>
      </c>
      <c r="AD954">
        <v>255</v>
      </c>
      <c r="AE954">
        <v>237</v>
      </c>
    </row>
    <row r="955" spans="1:31" x14ac:dyDescent="0.25">
      <c r="A955" t="s">
        <v>4500</v>
      </c>
      <c r="B955" t="s">
        <v>4501</v>
      </c>
      <c r="C955" s="1">
        <v>44603</v>
      </c>
      <c r="D955" s="1">
        <v>45023</v>
      </c>
      <c r="E955" t="s">
        <v>33</v>
      </c>
      <c r="F955" t="s">
        <v>147</v>
      </c>
      <c r="G955" t="s">
        <v>115</v>
      </c>
      <c r="H955" t="s">
        <v>68</v>
      </c>
      <c r="I955" t="s">
        <v>4502</v>
      </c>
      <c r="J955" t="s">
        <v>55</v>
      </c>
      <c r="K955" t="s">
        <v>39</v>
      </c>
      <c r="L955" t="s">
        <v>4503</v>
      </c>
      <c r="M955">
        <v>102.28</v>
      </c>
      <c r="N955">
        <v>70</v>
      </c>
      <c r="O955" t="s">
        <v>2288</v>
      </c>
      <c r="P955" t="s">
        <v>110</v>
      </c>
      <c r="Q955" t="s">
        <v>152</v>
      </c>
      <c r="R955" t="s">
        <v>88</v>
      </c>
      <c r="S955" t="s">
        <v>74</v>
      </c>
      <c r="T955" t="s">
        <v>62</v>
      </c>
      <c r="U955">
        <v>2331</v>
      </c>
      <c r="V955">
        <v>455</v>
      </c>
      <c r="W955">
        <v>29</v>
      </c>
      <c r="X955">
        <v>115.24</v>
      </c>
      <c r="Y955">
        <v>348.77</v>
      </c>
      <c r="Z955">
        <v>464.01</v>
      </c>
      <c r="AA955" t="s">
        <v>63</v>
      </c>
      <c r="AB955">
        <v>0</v>
      </c>
      <c r="AC955">
        <v>77.5</v>
      </c>
      <c r="AD955">
        <v>76</v>
      </c>
      <c r="AE955">
        <v>49</v>
      </c>
    </row>
    <row r="956" spans="1:31" x14ac:dyDescent="0.25">
      <c r="A956" t="s">
        <v>4504</v>
      </c>
      <c r="B956" t="s">
        <v>4505</v>
      </c>
      <c r="C956" s="1">
        <v>45603</v>
      </c>
      <c r="D956" s="1">
        <v>45401</v>
      </c>
      <c r="E956" t="s">
        <v>33</v>
      </c>
      <c r="F956" t="s">
        <v>147</v>
      </c>
      <c r="G956" t="s">
        <v>35</v>
      </c>
      <c r="H956" t="s">
        <v>36</v>
      </c>
      <c r="I956" t="s">
        <v>4506</v>
      </c>
      <c r="J956" t="s">
        <v>107</v>
      </c>
      <c r="K956" t="s">
        <v>39</v>
      </c>
      <c r="L956" t="s">
        <v>4507</v>
      </c>
      <c r="M956">
        <v>122.9</v>
      </c>
      <c r="N956">
        <v>49</v>
      </c>
      <c r="O956" t="s">
        <v>4508</v>
      </c>
      <c r="P956" t="s">
        <v>86</v>
      </c>
      <c r="Q956" t="s">
        <v>461</v>
      </c>
      <c r="R956" t="s">
        <v>61</v>
      </c>
      <c r="S956" t="s">
        <v>89</v>
      </c>
      <c r="T956" t="s">
        <v>144</v>
      </c>
      <c r="U956">
        <v>4826</v>
      </c>
      <c r="V956">
        <v>445</v>
      </c>
      <c r="W956">
        <v>2</v>
      </c>
      <c r="X956">
        <v>1506.22</v>
      </c>
      <c r="Y956">
        <v>415.71</v>
      </c>
      <c r="Z956">
        <v>1921.93</v>
      </c>
      <c r="AA956" t="s">
        <v>63</v>
      </c>
      <c r="AB956">
        <v>0</v>
      </c>
      <c r="AC956">
        <v>93.71</v>
      </c>
      <c r="AD956">
        <v>385</v>
      </c>
      <c r="AE956">
        <v>359</v>
      </c>
    </row>
    <row r="957" spans="1:31" x14ac:dyDescent="0.25">
      <c r="A957" t="s">
        <v>4509</v>
      </c>
      <c r="B957" t="s">
        <v>4510</v>
      </c>
      <c r="C957" s="1">
        <v>44141</v>
      </c>
      <c r="D957" s="1">
        <v>45079</v>
      </c>
      <c r="E957" t="s">
        <v>66</v>
      </c>
      <c r="F957" t="s">
        <v>34</v>
      </c>
      <c r="G957" t="s">
        <v>35</v>
      </c>
      <c r="H957" t="s">
        <v>53</v>
      </c>
      <c r="I957" t="s">
        <v>4511</v>
      </c>
      <c r="J957" t="s">
        <v>96</v>
      </c>
      <c r="K957" t="s">
        <v>70</v>
      </c>
      <c r="L957" t="s">
        <v>4512</v>
      </c>
      <c r="M957">
        <v>280.18</v>
      </c>
      <c r="N957">
        <v>73</v>
      </c>
      <c r="O957" t="s">
        <v>1667</v>
      </c>
      <c r="P957" t="s">
        <v>86</v>
      </c>
      <c r="Q957" t="s">
        <v>541</v>
      </c>
      <c r="R957" t="s">
        <v>61</v>
      </c>
      <c r="S957" t="s">
        <v>89</v>
      </c>
      <c r="T957" t="s">
        <v>652</v>
      </c>
      <c r="U957">
        <v>1084</v>
      </c>
      <c r="V957">
        <v>341</v>
      </c>
      <c r="W957">
        <v>3</v>
      </c>
      <c r="X957">
        <v>361.63</v>
      </c>
      <c r="Y957">
        <v>96.46</v>
      </c>
      <c r="Z957">
        <v>458.09</v>
      </c>
      <c r="AA957" t="s">
        <v>63</v>
      </c>
      <c r="AB957">
        <v>0</v>
      </c>
      <c r="AC957">
        <v>73.05</v>
      </c>
      <c r="AD957">
        <v>85</v>
      </c>
      <c r="AE957">
        <v>99</v>
      </c>
    </row>
    <row r="958" spans="1:31" x14ac:dyDescent="0.25">
      <c r="A958" t="s">
        <v>4513</v>
      </c>
      <c r="B958" t="s">
        <v>1961</v>
      </c>
      <c r="C958" s="1">
        <v>44206</v>
      </c>
      <c r="D958" s="1">
        <v>44567</v>
      </c>
      <c r="E958" t="s">
        <v>66</v>
      </c>
      <c r="F958" t="s">
        <v>78</v>
      </c>
      <c r="G958" t="s">
        <v>94</v>
      </c>
      <c r="H958" t="s">
        <v>80</v>
      </c>
      <c r="I958" t="s">
        <v>4514</v>
      </c>
      <c r="J958" t="s">
        <v>38</v>
      </c>
      <c r="K958" t="s">
        <v>97</v>
      </c>
      <c r="L958" t="s">
        <v>2134</v>
      </c>
      <c r="M958">
        <v>298.05</v>
      </c>
      <c r="N958">
        <v>86</v>
      </c>
      <c r="O958" t="s">
        <v>2018</v>
      </c>
      <c r="P958" t="s">
        <v>142</v>
      </c>
      <c r="Q958" t="s">
        <v>135</v>
      </c>
      <c r="R958" t="s">
        <v>88</v>
      </c>
      <c r="S958" t="s">
        <v>101</v>
      </c>
      <c r="T958" t="s">
        <v>196</v>
      </c>
      <c r="U958">
        <v>1027</v>
      </c>
      <c r="V958">
        <v>335</v>
      </c>
      <c r="W958">
        <v>14</v>
      </c>
      <c r="X958">
        <v>1569.81</v>
      </c>
      <c r="Y958">
        <v>176.54</v>
      </c>
      <c r="Z958">
        <v>1746.35</v>
      </c>
      <c r="AA958" t="s">
        <v>63</v>
      </c>
      <c r="AB958">
        <v>0</v>
      </c>
      <c r="AC958">
        <v>85.02</v>
      </c>
      <c r="AD958">
        <v>69</v>
      </c>
      <c r="AE958">
        <v>80</v>
      </c>
    </row>
    <row r="959" spans="1:31" x14ac:dyDescent="0.25">
      <c r="A959" t="s">
        <v>4515</v>
      </c>
      <c r="B959" t="s">
        <v>4516</v>
      </c>
      <c r="C959" s="1">
        <v>45201</v>
      </c>
      <c r="D959" s="1">
        <v>44470</v>
      </c>
      <c r="E959" t="s">
        <v>66</v>
      </c>
      <c r="F959" t="s">
        <v>78</v>
      </c>
      <c r="G959" t="s">
        <v>115</v>
      </c>
      <c r="H959" t="s">
        <v>80</v>
      </c>
      <c r="I959" t="s">
        <v>4517</v>
      </c>
      <c r="J959" t="s">
        <v>38</v>
      </c>
      <c r="K959" t="s">
        <v>56</v>
      </c>
      <c r="L959" t="s">
        <v>4518</v>
      </c>
      <c r="M959">
        <v>269.68</v>
      </c>
      <c r="N959">
        <v>11</v>
      </c>
      <c r="O959" t="s">
        <v>2633</v>
      </c>
      <c r="P959" t="s">
        <v>142</v>
      </c>
      <c r="Q959" t="s">
        <v>175</v>
      </c>
      <c r="R959" t="s">
        <v>61</v>
      </c>
      <c r="S959" t="s">
        <v>89</v>
      </c>
      <c r="T959" t="s">
        <v>129</v>
      </c>
      <c r="U959">
        <v>1498</v>
      </c>
      <c r="V959">
        <v>499</v>
      </c>
      <c r="W959">
        <v>14</v>
      </c>
      <c r="X959">
        <v>618.92999999999995</v>
      </c>
      <c r="Y959">
        <v>453.35</v>
      </c>
      <c r="Z959">
        <v>1072.28</v>
      </c>
      <c r="AA959" t="s">
        <v>63</v>
      </c>
      <c r="AB959">
        <v>0</v>
      </c>
      <c r="AC959">
        <v>83.21</v>
      </c>
      <c r="AD959">
        <v>212</v>
      </c>
      <c r="AE959">
        <v>186</v>
      </c>
    </row>
    <row r="960" spans="1:31" x14ac:dyDescent="0.25">
      <c r="A960" t="s">
        <v>4519</v>
      </c>
      <c r="B960" t="s">
        <v>3612</v>
      </c>
      <c r="C960" s="1">
        <v>44154</v>
      </c>
      <c r="D960" s="1">
        <v>44783</v>
      </c>
      <c r="E960" t="s">
        <v>50</v>
      </c>
      <c r="F960" t="s">
        <v>51</v>
      </c>
      <c r="G960" t="s">
        <v>67</v>
      </c>
      <c r="H960" t="s">
        <v>116</v>
      </c>
      <c r="I960" t="s">
        <v>4520</v>
      </c>
      <c r="J960" t="s">
        <v>55</v>
      </c>
      <c r="K960" t="s">
        <v>97</v>
      </c>
      <c r="L960" t="s">
        <v>4521</v>
      </c>
      <c r="M960">
        <v>224.88</v>
      </c>
      <c r="N960">
        <v>59</v>
      </c>
      <c r="O960" t="s">
        <v>4522</v>
      </c>
      <c r="P960" t="s">
        <v>59</v>
      </c>
      <c r="Q960" t="s">
        <v>234</v>
      </c>
      <c r="R960" t="s">
        <v>61</v>
      </c>
      <c r="S960" t="s">
        <v>89</v>
      </c>
      <c r="T960" t="s">
        <v>255</v>
      </c>
      <c r="U960">
        <v>2977</v>
      </c>
      <c r="V960">
        <v>68</v>
      </c>
      <c r="W960">
        <v>2</v>
      </c>
      <c r="X960">
        <v>608.41</v>
      </c>
      <c r="Y960">
        <v>253.24</v>
      </c>
      <c r="Z960">
        <v>861.65</v>
      </c>
      <c r="AA960" t="s">
        <v>63</v>
      </c>
      <c r="AB960">
        <v>0</v>
      </c>
      <c r="AC960">
        <v>79.45</v>
      </c>
      <c r="AD960">
        <v>266</v>
      </c>
      <c r="AE960">
        <v>290</v>
      </c>
    </row>
    <row r="961" spans="1:31" x14ac:dyDescent="0.25">
      <c r="A961" t="s">
        <v>4523</v>
      </c>
      <c r="B961" t="s">
        <v>1793</v>
      </c>
      <c r="C961" s="1">
        <v>44866</v>
      </c>
      <c r="D961" s="1">
        <v>44264</v>
      </c>
      <c r="E961" t="s">
        <v>66</v>
      </c>
      <c r="F961" t="s">
        <v>147</v>
      </c>
      <c r="G961" t="s">
        <v>79</v>
      </c>
      <c r="H961" t="s">
        <v>218</v>
      </c>
      <c r="I961" t="s">
        <v>4524</v>
      </c>
      <c r="J961" t="s">
        <v>96</v>
      </c>
      <c r="K961" t="s">
        <v>97</v>
      </c>
      <c r="L961" t="s">
        <v>4525</v>
      </c>
      <c r="M961">
        <v>408.95</v>
      </c>
      <c r="N961">
        <v>11</v>
      </c>
      <c r="O961" t="s">
        <v>1715</v>
      </c>
      <c r="P961" t="s">
        <v>142</v>
      </c>
      <c r="Q961" t="s">
        <v>87</v>
      </c>
      <c r="R961" t="s">
        <v>88</v>
      </c>
      <c r="S961" t="s">
        <v>45</v>
      </c>
      <c r="T961" t="s">
        <v>169</v>
      </c>
      <c r="U961">
        <v>429</v>
      </c>
      <c r="V961">
        <v>445</v>
      </c>
      <c r="W961">
        <v>1</v>
      </c>
      <c r="X961">
        <v>1888.19</v>
      </c>
      <c r="Y961">
        <v>383.28</v>
      </c>
      <c r="Z961">
        <v>2271.4699999999998</v>
      </c>
      <c r="AA961" t="s">
        <v>63</v>
      </c>
      <c r="AB961">
        <v>0</v>
      </c>
      <c r="AC961">
        <v>74.989999999999995</v>
      </c>
      <c r="AD961">
        <v>122</v>
      </c>
      <c r="AE961">
        <v>113</v>
      </c>
    </row>
    <row r="962" spans="1:31" x14ac:dyDescent="0.25">
      <c r="A962" t="s">
        <v>4526</v>
      </c>
      <c r="B962" t="s">
        <v>4527</v>
      </c>
      <c r="C962" s="1">
        <v>44986</v>
      </c>
      <c r="D962" s="1">
        <v>44481</v>
      </c>
      <c r="E962" t="s">
        <v>50</v>
      </c>
      <c r="F962" t="s">
        <v>78</v>
      </c>
      <c r="G962" t="s">
        <v>67</v>
      </c>
      <c r="H962" t="s">
        <v>36</v>
      </c>
      <c r="I962" t="s">
        <v>4528</v>
      </c>
      <c r="J962" t="s">
        <v>55</v>
      </c>
      <c r="K962" t="s">
        <v>97</v>
      </c>
      <c r="L962" t="s">
        <v>4529</v>
      </c>
      <c r="M962">
        <v>374.12</v>
      </c>
      <c r="N962">
        <v>60</v>
      </c>
      <c r="O962" t="s">
        <v>4404</v>
      </c>
      <c r="P962" t="s">
        <v>42</v>
      </c>
      <c r="Q962" t="s">
        <v>529</v>
      </c>
      <c r="R962" t="s">
        <v>44</v>
      </c>
      <c r="S962" t="s">
        <v>45</v>
      </c>
      <c r="T962" t="s">
        <v>478</v>
      </c>
      <c r="U962">
        <v>4303</v>
      </c>
      <c r="V962">
        <v>116</v>
      </c>
      <c r="W962">
        <v>3</v>
      </c>
      <c r="X962">
        <v>500.63</v>
      </c>
      <c r="Y962">
        <v>342.67</v>
      </c>
      <c r="Z962">
        <v>843.3</v>
      </c>
      <c r="AA962" t="s">
        <v>63</v>
      </c>
      <c r="AB962">
        <v>0</v>
      </c>
      <c r="AC962">
        <v>99.2</v>
      </c>
      <c r="AD962">
        <v>271</v>
      </c>
      <c r="AE962">
        <v>316</v>
      </c>
    </row>
    <row r="963" spans="1:31" x14ac:dyDescent="0.25">
      <c r="A963" t="s">
        <v>4530</v>
      </c>
      <c r="B963" t="s">
        <v>4531</v>
      </c>
      <c r="C963" s="1">
        <v>45105</v>
      </c>
      <c r="D963" s="1">
        <v>45365</v>
      </c>
      <c r="E963" t="s">
        <v>66</v>
      </c>
      <c r="F963" t="s">
        <v>147</v>
      </c>
      <c r="G963" t="s">
        <v>79</v>
      </c>
      <c r="H963" t="s">
        <v>116</v>
      </c>
      <c r="I963" t="s">
        <v>4532</v>
      </c>
      <c r="J963" t="s">
        <v>107</v>
      </c>
      <c r="K963" t="s">
        <v>39</v>
      </c>
      <c r="L963" t="s">
        <v>4533</v>
      </c>
      <c r="M963">
        <v>486.45</v>
      </c>
      <c r="N963">
        <v>45</v>
      </c>
      <c r="O963" t="s">
        <v>3904</v>
      </c>
      <c r="P963" t="s">
        <v>59</v>
      </c>
      <c r="Q963" t="s">
        <v>558</v>
      </c>
      <c r="R963" t="s">
        <v>88</v>
      </c>
      <c r="S963" t="s">
        <v>128</v>
      </c>
      <c r="T963" t="s">
        <v>625</v>
      </c>
      <c r="U963">
        <v>3028</v>
      </c>
      <c r="V963">
        <v>66</v>
      </c>
      <c r="W963">
        <v>8</v>
      </c>
      <c r="X963">
        <v>619.6</v>
      </c>
      <c r="Y963">
        <v>378.57</v>
      </c>
      <c r="Z963">
        <v>998.17000000000007</v>
      </c>
      <c r="AA963" t="s">
        <v>63</v>
      </c>
      <c r="AB963">
        <v>0</v>
      </c>
      <c r="AC963">
        <v>93.07</v>
      </c>
      <c r="AD963">
        <v>274</v>
      </c>
      <c r="AE963">
        <v>313</v>
      </c>
    </row>
    <row r="964" spans="1:31" x14ac:dyDescent="0.25">
      <c r="A964" t="s">
        <v>4534</v>
      </c>
      <c r="B964" t="s">
        <v>4535</v>
      </c>
      <c r="C964" s="1">
        <v>45029</v>
      </c>
      <c r="D964" s="1">
        <v>44575</v>
      </c>
      <c r="E964" t="s">
        <v>66</v>
      </c>
      <c r="F964" t="s">
        <v>51</v>
      </c>
      <c r="G964" t="s">
        <v>52</v>
      </c>
      <c r="H964" t="s">
        <v>218</v>
      </c>
      <c r="I964" t="s">
        <v>4536</v>
      </c>
      <c r="J964" t="s">
        <v>96</v>
      </c>
      <c r="K964" t="s">
        <v>56</v>
      </c>
      <c r="L964" t="s">
        <v>4537</v>
      </c>
      <c r="M964">
        <v>315.58</v>
      </c>
      <c r="N964">
        <v>16</v>
      </c>
      <c r="O964" t="s">
        <v>4282</v>
      </c>
      <c r="P964" t="s">
        <v>86</v>
      </c>
      <c r="Q964" t="s">
        <v>706</v>
      </c>
      <c r="R964" t="s">
        <v>88</v>
      </c>
      <c r="S964" t="s">
        <v>101</v>
      </c>
      <c r="T964" t="s">
        <v>297</v>
      </c>
      <c r="U964">
        <v>3568</v>
      </c>
      <c r="V964">
        <v>391</v>
      </c>
      <c r="W964">
        <v>29</v>
      </c>
      <c r="X964">
        <v>1081.3399999999999</v>
      </c>
      <c r="Y964">
        <v>288.02999999999997</v>
      </c>
      <c r="Z964">
        <v>1369.37</v>
      </c>
      <c r="AA964" t="s">
        <v>63</v>
      </c>
      <c r="AB964">
        <v>0</v>
      </c>
      <c r="AC964">
        <v>98.73</v>
      </c>
      <c r="AD964">
        <v>362</v>
      </c>
      <c r="AE964">
        <v>369</v>
      </c>
    </row>
    <row r="965" spans="1:31" x14ac:dyDescent="0.25">
      <c r="A965" t="s">
        <v>4538</v>
      </c>
      <c r="B965" t="s">
        <v>4539</v>
      </c>
      <c r="C965" s="1">
        <v>45419</v>
      </c>
      <c r="D965" s="1">
        <v>44621</v>
      </c>
      <c r="E965" t="s">
        <v>50</v>
      </c>
      <c r="F965" t="s">
        <v>78</v>
      </c>
      <c r="G965" t="s">
        <v>337</v>
      </c>
      <c r="H965" t="s">
        <v>80</v>
      </c>
      <c r="I965" t="s">
        <v>4540</v>
      </c>
      <c r="J965" t="s">
        <v>38</v>
      </c>
      <c r="K965" t="s">
        <v>97</v>
      </c>
      <c r="L965" t="s">
        <v>4541</v>
      </c>
      <c r="M965">
        <v>424.23</v>
      </c>
      <c r="N965">
        <v>17</v>
      </c>
      <c r="O965" t="s">
        <v>635</v>
      </c>
      <c r="P965" t="s">
        <v>86</v>
      </c>
      <c r="Q965" t="s">
        <v>143</v>
      </c>
      <c r="R965" t="s">
        <v>153</v>
      </c>
      <c r="S965" t="s">
        <v>89</v>
      </c>
      <c r="T965" t="s">
        <v>625</v>
      </c>
      <c r="U965">
        <v>3716</v>
      </c>
      <c r="V965">
        <v>435</v>
      </c>
      <c r="W965">
        <v>8</v>
      </c>
      <c r="X965">
        <v>1809.97</v>
      </c>
      <c r="Y965">
        <v>388.51</v>
      </c>
      <c r="Z965">
        <v>2198.48</v>
      </c>
      <c r="AA965" t="s">
        <v>63</v>
      </c>
      <c r="AB965">
        <v>0</v>
      </c>
      <c r="AC965">
        <v>88.2</v>
      </c>
      <c r="AD965">
        <v>244</v>
      </c>
      <c r="AE965">
        <v>252</v>
      </c>
    </row>
    <row r="966" spans="1:31" x14ac:dyDescent="0.25">
      <c r="A966" t="s">
        <v>4542</v>
      </c>
      <c r="B966" t="s">
        <v>4543</v>
      </c>
      <c r="C966" s="1">
        <v>44057</v>
      </c>
      <c r="D966" s="1">
        <v>44398</v>
      </c>
      <c r="E966" t="s">
        <v>66</v>
      </c>
      <c r="F966" t="s">
        <v>78</v>
      </c>
      <c r="G966" t="s">
        <v>105</v>
      </c>
      <c r="H966" t="s">
        <v>116</v>
      </c>
      <c r="I966" t="s">
        <v>4544</v>
      </c>
      <c r="J966" t="s">
        <v>38</v>
      </c>
      <c r="K966" t="s">
        <v>39</v>
      </c>
      <c r="L966" t="s">
        <v>4545</v>
      </c>
      <c r="M966">
        <v>453.46</v>
      </c>
      <c r="N966">
        <v>95</v>
      </c>
      <c r="O966" t="s">
        <v>1715</v>
      </c>
      <c r="P966" t="s">
        <v>42</v>
      </c>
      <c r="Q966" t="s">
        <v>529</v>
      </c>
      <c r="R966" t="s">
        <v>61</v>
      </c>
      <c r="S966" t="s">
        <v>101</v>
      </c>
      <c r="T966" t="s">
        <v>530</v>
      </c>
      <c r="U966">
        <v>1391</v>
      </c>
      <c r="V966">
        <v>319</v>
      </c>
      <c r="W966">
        <v>22</v>
      </c>
      <c r="X966">
        <v>991.92</v>
      </c>
      <c r="Y966">
        <v>489.05</v>
      </c>
      <c r="Z966">
        <v>1480.97</v>
      </c>
      <c r="AA966" t="s">
        <v>63</v>
      </c>
      <c r="AB966">
        <v>0</v>
      </c>
      <c r="AC966">
        <v>76.77</v>
      </c>
      <c r="AD966">
        <v>237</v>
      </c>
      <c r="AE966">
        <v>260</v>
      </c>
    </row>
    <row r="967" spans="1:31" x14ac:dyDescent="0.25">
      <c r="A967" t="s">
        <v>4546</v>
      </c>
      <c r="B967" t="s">
        <v>4547</v>
      </c>
      <c r="C967" s="1">
        <v>44063</v>
      </c>
      <c r="D967" s="1">
        <v>45215</v>
      </c>
      <c r="E967" t="s">
        <v>66</v>
      </c>
      <c r="F967" t="s">
        <v>93</v>
      </c>
      <c r="G967" t="s">
        <v>115</v>
      </c>
      <c r="H967" t="s">
        <v>218</v>
      </c>
      <c r="I967" t="s">
        <v>4548</v>
      </c>
      <c r="J967" t="s">
        <v>96</v>
      </c>
      <c r="K967" t="s">
        <v>97</v>
      </c>
      <c r="L967" t="s">
        <v>4549</v>
      </c>
      <c r="M967">
        <v>323.27</v>
      </c>
      <c r="N967">
        <v>40</v>
      </c>
      <c r="O967" t="s">
        <v>1818</v>
      </c>
      <c r="P967" t="s">
        <v>42</v>
      </c>
      <c r="Q967" t="s">
        <v>1277</v>
      </c>
      <c r="R967" t="s">
        <v>153</v>
      </c>
      <c r="S967" t="s">
        <v>101</v>
      </c>
      <c r="T967" t="s">
        <v>1339</v>
      </c>
      <c r="U967">
        <v>39</v>
      </c>
      <c r="V967">
        <v>96</v>
      </c>
      <c r="W967">
        <v>6</v>
      </c>
      <c r="X967">
        <v>1411.31</v>
      </c>
      <c r="Y967">
        <v>196.01</v>
      </c>
      <c r="Z967">
        <v>1607.32</v>
      </c>
      <c r="AA967" t="s">
        <v>63</v>
      </c>
      <c r="AB967">
        <v>0</v>
      </c>
      <c r="AC967">
        <v>94.09</v>
      </c>
      <c r="AD967">
        <v>359</v>
      </c>
      <c r="AE967">
        <v>367</v>
      </c>
    </row>
    <row r="968" spans="1:31" x14ac:dyDescent="0.25">
      <c r="A968" t="s">
        <v>4550</v>
      </c>
      <c r="B968" t="s">
        <v>4551</v>
      </c>
      <c r="C968" s="1">
        <v>44911</v>
      </c>
      <c r="D968" s="1">
        <v>44681</v>
      </c>
      <c r="E968" t="s">
        <v>66</v>
      </c>
      <c r="F968" t="s">
        <v>51</v>
      </c>
      <c r="G968" t="s">
        <v>94</v>
      </c>
      <c r="H968" t="s">
        <v>116</v>
      </c>
      <c r="I968" t="s">
        <v>4552</v>
      </c>
      <c r="J968" t="s">
        <v>55</v>
      </c>
      <c r="K968" t="s">
        <v>39</v>
      </c>
      <c r="L968" t="s">
        <v>4553</v>
      </c>
      <c r="M968">
        <v>458.37</v>
      </c>
      <c r="N968">
        <v>92</v>
      </c>
      <c r="O968" t="s">
        <v>1087</v>
      </c>
      <c r="P968" t="s">
        <v>86</v>
      </c>
      <c r="Q968" t="s">
        <v>160</v>
      </c>
      <c r="R968" t="s">
        <v>153</v>
      </c>
      <c r="S968" t="s">
        <v>74</v>
      </c>
      <c r="T968" t="s">
        <v>262</v>
      </c>
      <c r="U968">
        <v>4666</v>
      </c>
      <c r="V968">
        <v>139</v>
      </c>
      <c r="W968">
        <v>18</v>
      </c>
      <c r="X968">
        <v>614.35</v>
      </c>
      <c r="Y968">
        <v>150.32</v>
      </c>
      <c r="Z968">
        <v>764.67000000000007</v>
      </c>
      <c r="AA968" t="s">
        <v>63</v>
      </c>
      <c r="AB968">
        <v>0</v>
      </c>
      <c r="AC968">
        <v>93.31</v>
      </c>
      <c r="AD968">
        <v>434</v>
      </c>
      <c r="AE968">
        <v>476</v>
      </c>
    </row>
    <row r="969" spans="1:31" x14ac:dyDescent="0.25">
      <c r="A969" t="s">
        <v>4554</v>
      </c>
      <c r="B969" t="s">
        <v>4555</v>
      </c>
      <c r="C969" s="1">
        <v>44025</v>
      </c>
      <c r="D969" s="1">
        <v>45239</v>
      </c>
      <c r="E969" t="s">
        <v>50</v>
      </c>
      <c r="F969" t="s">
        <v>78</v>
      </c>
      <c r="G969" t="s">
        <v>337</v>
      </c>
      <c r="H969" t="s">
        <v>148</v>
      </c>
      <c r="I969" t="s">
        <v>4556</v>
      </c>
      <c r="J969" t="s">
        <v>82</v>
      </c>
      <c r="K969" t="s">
        <v>39</v>
      </c>
      <c r="L969" t="s">
        <v>4557</v>
      </c>
      <c r="M969">
        <v>26.12</v>
      </c>
      <c r="N969">
        <v>18</v>
      </c>
      <c r="O969" t="s">
        <v>1495</v>
      </c>
      <c r="P969" t="s">
        <v>59</v>
      </c>
      <c r="Q969" t="s">
        <v>609</v>
      </c>
      <c r="R969" t="s">
        <v>61</v>
      </c>
      <c r="S969" t="s">
        <v>89</v>
      </c>
      <c r="T969" t="s">
        <v>273</v>
      </c>
      <c r="U969">
        <v>3538</v>
      </c>
      <c r="V969">
        <v>286</v>
      </c>
      <c r="W969">
        <v>26</v>
      </c>
      <c r="X969">
        <v>1578.39</v>
      </c>
      <c r="Y969">
        <v>224.91</v>
      </c>
      <c r="Z969">
        <v>1803.3</v>
      </c>
      <c r="AA969" t="s">
        <v>63</v>
      </c>
      <c r="AB969">
        <v>0</v>
      </c>
      <c r="AC969">
        <v>77.09</v>
      </c>
      <c r="AD969">
        <v>143</v>
      </c>
      <c r="AE969">
        <v>184</v>
      </c>
    </row>
    <row r="970" spans="1:31" x14ac:dyDescent="0.25">
      <c r="A970" t="s">
        <v>4558</v>
      </c>
      <c r="B970" t="s">
        <v>4559</v>
      </c>
      <c r="C970" s="1">
        <v>44166</v>
      </c>
      <c r="D970" s="1">
        <v>45432</v>
      </c>
      <c r="E970" t="s">
        <v>50</v>
      </c>
      <c r="F970" t="s">
        <v>93</v>
      </c>
      <c r="G970" t="s">
        <v>115</v>
      </c>
      <c r="H970" t="s">
        <v>68</v>
      </c>
      <c r="I970" t="s">
        <v>4560</v>
      </c>
      <c r="J970" t="s">
        <v>38</v>
      </c>
      <c r="K970" t="s">
        <v>39</v>
      </c>
      <c r="L970" t="s">
        <v>3968</v>
      </c>
      <c r="M970">
        <v>440.62</v>
      </c>
      <c r="N970">
        <v>80</v>
      </c>
      <c r="O970" t="s">
        <v>4561</v>
      </c>
      <c r="P970" t="s">
        <v>110</v>
      </c>
      <c r="Q970" t="s">
        <v>997</v>
      </c>
      <c r="R970" t="s">
        <v>44</v>
      </c>
      <c r="S970" t="s">
        <v>89</v>
      </c>
      <c r="T970" t="s">
        <v>176</v>
      </c>
      <c r="U970">
        <v>2424</v>
      </c>
      <c r="V970">
        <v>447</v>
      </c>
      <c r="W970">
        <v>13</v>
      </c>
      <c r="X970">
        <v>557.80999999999995</v>
      </c>
      <c r="Y970">
        <v>270.37</v>
      </c>
      <c r="Z970">
        <v>828.18</v>
      </c>
      <c r="AA970" t="s">
        <v>63</v>
      </c>
      <c r="AB970">
        <v>0</v>
      </c>
      <c r="AC970">
        <v>95.36</v>
      </c>
      <c r="AD970">
        <v>336</v>
      </c>
      <c r="AE970">
        <v>355</v>
      </c>
    </row>
    <row r="971" spans="1:31" x14ac:dyDescent="0.25">
      <c r="A971" t="s">
        <v>4562</v>
      </c>
      <c r="B971" t="s">
        <v>4563</v>
      </c>
      <c r="C971" s="1">
        <v>45531</v>
      </c>
      <c r="D971" s="1">
        <v>44153</v>
      </c>
      <c r="E971" t="s">
        <v>66</v>
      </c>
      <c r="F971" t="s">
        <v>78</v>
      </c>
      <c r="G971" t="s">
        <v>115</v>
      </c>
      <c r="H971" t="s">
        <v>36</v>
      </c>
      <c r="I971" t="s">
        <v>4564</v>
      </c>
      <c r="J971" t="s">
        <v>96</v>
      </c>
      <c r="K971" t="s">
        <v>97</v>
      </c>
      <c r="L971" t="s">
        <v>2481</v>
      </c>
      <c r="M971">
        <v>327.51</v>
      </c>
      <c r="N971">
        <v>28</v>
      </c>
      <c r="O971" t="s">
        <v>4565</v>
      </c>
      <c r="P971" t="s">
        <v>142</v>
      </c>
      <c r="Q971" t="s">
        <v>241</v>
      </c>
      <c r="R971" t="s">
        <v>88</v>
      </c>
      <c r="S971" t="s">
        <v>89</v>
      </c>
      <c r="T971" t="s">
        <v>235</v>
      </c>
      <c r="U971">
        <v>1838</v>
      </c>
      <c r="V971">
        <v>168</v>
      </c>
      <c r="W971">
        <v>23</v>
      </c>
      <c r="X971">
        <v>1441.82</v>
      </c>
      <c r="Y971">
        <v>497.29</v>
      </c>
      <c r="Z971">
        <v>1939.11</v>
      </c>
      <c r="AA971" t="s">
        <v>63</v>
      </c>
      <c r="AB971">
        <v>0</v>
      </c>
      <c r="AC971">
        <v>73.22</v>
      </c>
      <c r="AD971">
        <v>157</v>
      </c>
      <c r="AE971">
        <v>121</v>
      </c>
    </row>
    <row r="972" spans="1:31" x14ac:dyDescent="0.25">
      <c r="A972" t="s">
        <v>4566</v>
      </c>
      <c r="B972" t="s">
        <v>1856</v>
      </c>
      <c r="C972" s="1">
        <v>43921</v>
      </c>
      <c r="D972" s="1">
        <v>44675</v>
      </c>
      <c r="E972" t="s">
        <v>66</v>
      </c>
      <c r="F972" t="s">
        <v>51</v>
      </c>
      <c r="G972" t="s">
        <v>337</v>
      </c>
      <c r="H972" t="s">
        <v>218</v>
      </c>
      <c r="I972" t="s">
        <v>4567</v>
      </c>
      <c r="J972" t="s">
        <v>38</v>
      </c>
      <c r="K972" t="s">
        <v>39</v>
      </c>
      <c r="L972" t="s">
        <v>4568</v>
      </c>
      <c r="M972">
        <v>229.11</v>
      </c>
      <c r="N972">
        <v>71</v>
      </c>
      <c r="O972" t="s">
        <v>1800</v>
      </c>
      <c r="P972" t="s">
        <v>59</v>
      </c>
      <c r="Q972" t="s">
        <v>347</v>
      </c>
      <c r="R972" t="s">
        <v>61</v>
      </c>
      <c r="S972" t="s">
        <v>89</v>
      </c>
      <c r="T972" t="s">
        <v>297</v>
      </c>
      <c r="U972">
        <v>1724</v>
      </c>
      <c r="V972">
        <v>127</v>
      </c>
      <c r="W972">
        <v>12</v>
      </c>
      <c r="X972">
        <v>475.86</v>
      </c>
      <c r="Y972">
        <v>394.94</v>
      </c>
      <c r="Z972">
        <v>870.8</v>
      </c>
      <c r="AA972" t="s">
        <v>63</v>
      </c>
      <c r="AB972">
        <v>0</v>
      </c>
      <c r="AC972">
        <v>92.79</v>
      </c>
      <c r="AD972">
        <v>470</v>
      </c>
      <c r="AE972">
        <v>470</v>
      </c>
    </row>
    <row r="973" spans="1:31" x14ac:dyDescent="0.25">
      <c r="A973" t="s">
        <v>4569</v>
      </c>
      <c r="B973" t="s">
        <v>4570</v>
      </c>
      <c r="C973" s="1">
        <v>45232</v>
      </c>
      <c r="D973" s="1">
        <v>45666</v>
      </c>
      <c r="E973" t="s">
        <v>66</v>
      </c>
      <c r="F973" t="s">
        <v>51</v>
      </c>
      <c r="G973" t="s">
        <v>67</v>
      </c>
      <c r="H973" t="s">
        <v>80</v>
      </c>
      <c r="I973" t="s">
        <v>4571</v>
      </c>
      <c r="J973" t="s">
        <v>82</v>
      </c>
      <c r="K973" t="s">
        <v>83</v>
      </c>
      <c r="L973" t="s">
        <v>4572</v>
      </c>
      <c r="M973">
        <v>11.67</v>
      </c>
      <c r="N973">
        <v>28</v>
      </c>
      <c r="O973" t="s">
        <v>1427</v>
      </c>
      <c r="P973" t="s">
        <v>59</v>
      </c>
      <c r="Q973" t="s">
        <v>371</v>
      </c>
      <c r="R973" t="s">
        <v>61</v>
      </c>
      <c r="S973" t="s">
        <v>45</v>
      </c>
      <c r="T973" t="s">
        <v>642</v>
      </c>
      <c r="U973">
        <v>2044</v>
      </c>
      <c r="V973">
        <v>263</v>
      </c>
      <c r="W973">
        <v>5</v>
      </c>
      <c r="X973">
        <v>1458.73</v>
      </c>
      <c r="Y973">
        <v>80.63</v>
      </c>
      <c r="Z973">
        <v>1539.36</v>
      </c>
      <c r="AA973" t="s">
        <v>63</v>
      </c>
      <c r="AB973">
        <v>0</v>
      </c>
      <c r="AC973">
        <v>98.89</v>
      </c>
      <c r="AD973">
        <v>299</v>
      </c>
      <c r="AE973">
        <v>338</v>
      </c>
    </row>
    <row r="974" spans="1:31" x14ac:dyDescent="0.25">
      <c r="A974" t="s">
        <v>4573</v>
      </c>
      <c r="B974" t="s">
        <v>4574</v>
      </c>
      <c r="C974" s="1">
        <v>45339</v>
      </c>
      <c r="D974" s="1">
        <v>43874</v>
      </c>
      <c r="E974" t="s">
        <v>66</v>
      </c>
      <c r="F974" t="s">
        <v>147</v>
      </c>
      <c r="G974" t="s">
        <v>79</v>
      </c>
      <c r="H974" t="s">
        <v>36</v>
      </c>
      <c r="I974" t="s">
        <v>4575</v>
      </c>
      <c r="J974" t="s">
        <v>96</v>
      </c>
      <c r="K974" t="s">
        <v>97</v>
      </c>
      <c r="L974" t="s">
        <v>4576</v>
      </c>
      <c r="M974">
        <v>230.77</v>
      </c>
      <c r="N974">
        <v>45</v>
      </c>
      <c r="O974" t="s">
        <v>1910</v>
      </c>
      <c r="P974" t="s">
        <v>110</v>
      </c>
      <c r="Q974" t="s">
        <v>189</v>
      </c>
      <c r="R974" t="s">
        <v>44</v>
      </c>
      <c r="S974" t="s">
        <v>89</v>
      </c>
      <c r="T974" t="s">
        <v>161</v>
      </c>
      <c r="U974">
        <v>347</v>
      </c>
      <c r="V974">
        <v>340</v>
      </c>
      <c r="W974">
        <v>20</v>
      </c>
      <c r="X974">
        <v>1143.96</v>
      </c>
      <c r="Y974">
        <v>214.44</v>
      </c>
      <c r="Z974">
        <v>1358.4</v>
      </c>
      <c r="AA974" t="s">
        <v>63</v>
      </c>
      <c r="AB974">
        <v>0</v>
      </c>
      <c r="AC974">
        <v>82.32</v>
      </c>
      <c r="AD974">
        <v>351</v>
      </c>
      <c r="AE974">
        <v>352</v>
      </c>
    </row>
    <row r="975" spans="1:31" x14ac:dyDescent="0.25">
      <c r="A975" t="s">
        <v>4577</v>
      </c>
      <c r="B975" t="s">
        <v>4578</v>
      </c>
      <c r="C975" s="1">
        <v>44687</v>
      </c>
      <c r="D975" s="1">
        <v>45026</v>
      </c>
      <c r="E975" t="s">
        <v>50</v>
      </c>
      <c r="F975" t="s">
        <v>93</v>
      </c>
      <c r="G975" t="s">
        <v>79</v>
      </c>
      <c r="H975" t="s">
        <v>80</v>
      </c>
      <c r="I975" t="s">
        <v>4579</v>
      </c>
      <c r="J975" t="s">
        <v>38</v>
      </c>
      <c r="K975" t="s">
        <v>56</v>
      </c>
      <c r="L975" t="s">
        <v>4580</v>
      </c>
      <c r="M975">
        <v>312.83999999999997</v>
      </c>
      <c r="N975">
        <v>40</v>
      </c>
      <c r="O975" t="s">
        <v>1677</v>
      </c>
      <c r="P975" t="s">
        <v>142</v>
      </c>
      <c r="Q975" t="s">
        <v>706</v>
      </c>
      <c r="R975" t="s">
        <v>44</v>
      </c>
      <c r="S975" t="s">
        <v>74</v>
      </c>
      <c r="T975" t="s">
        <v>129</v>
      </c>
      <c r="U975">
        <v>3307</v>
      </c>
      <c r="V975">
        <v>55</v>
      </c>
      <c r="W975">
        <v>10</v>
      </c>
      <c r="X975">
        <v>666</v>
      </c>
      <c r="Y975">
        <v>331.79</v>
      </c>
      <c r="Z975">
        <v>997.79</v>
      </c>
      <c r="AA975" t="s">
        <v>47</v>
      </c>
      <c r="AB975">
        <v>7</v>
      </c>
      <c r="AC975">
        <v>74.849999999999994</v>
      </c>
      <c r="AD975">
        <v>457</v>
      </c>
      <c r="AE975">
        <v>482</v>
      </c>
    </row>
    <row r="976" spans="1:31" x14ac:dyDescent="0.25">
      <c r="A976" t="s">
        <v>4581</v>
      </c>
      <c r="B976" t="s">
        <v>4582</v>
      </c>
      <c r="C976" s="1">
        <v>45110</v>
      </c>
      <c r="D976" s="1">
        <v>44753</v>
      </c>
      <c r="E976" t="s">
        <v>66</v>
      </c>
      <c r="F976" t="s">
        <v>78</v>
      </c>
      <c r="G976" t="s">
        <v>337</v>
      </c>
      <c r="H976" t="s">
        <v>148</v>
      </c>
      <c r="I976" t="s">
        <v>4583</v>
      </c>
      <c r="J976" t="s">
        <v>38</v>
      </c>
      <c r="K976" t="s">
        <v>70</v>
      </c>
      <c r="L976" t="s">
        <v>4584</v>
      </c>
      <c r="M976">
        <v>471.47</v>
      </c>
      <c r="N976">
        <v>86</v>
      </c>
      <c r="O976" t="s">
        <v>302</v>
      </c>
      <c r="P976" t="s">
        <v>110</v>
      </c>
      <c r="Q976" t="s">
        <v>700</v>
      </c>
      <c r="R976" t="s">
        <v>88</v>
      </c>
      <c r="S976" t="s">
        <v>128</v>
      </c>
      <c r="T976" t="s">
        <v>196</v>
      </c>
      <c r="U976">
        <v>320</v>
      </c>
      <c r="V976">
        <v>270</v>
      </c>
      <c r="W976">
        <v>6</v>
      </c>
      <c r="X976">
        <v>673.62</v>
      </c>
      <c r="Y976">
        <v>14.76</v>
      </c>
      <c r="Z976">
        <v>688.38</v>
      </c>
      <c r="AA976" t="s">
        <v>63</v>
      </c>
      <c r="AB976">
        <v>0</v>
      </c>
      <c r="AC976">
        <v>91.75</v>
      </c>
      <c r="AD976">
        <v>387</v>
      </c>
      <c r="AE976">
        <v>340</v>
      </c>
    </row>
    <row r="977" spans="1:31" x14ac:dyDescent="0.25">
      <c r="A977" t="s">
        <v>4585</v>
      </c>
      <c r="B977" t="s">
        <v>4586</v>
      </c>
      <c r="C977" s="1">
        <v>45244</v>
      </c>
      <c r="D977" s="1">
        <v>43981</v>
      </c>
      <c r="E977" t="s">
        <v>50</v>
      </c>
      <c r="F977" t="s">
        <v>93</v>
      </c>
      <c r="G977" t="s">
        <v>67</v>
      </c>
      <c r="H977" t="s">
        <v>36</v>
      </c>
      <c r="I977" t="s">
        <v>4587</v>
      </c>
      <c r="J977" t="s">
        <v>38</v>
      </c>
      <c r="K977" t="s">
        <v>70</v>
      </c>
      <c r="L977" t="s">
        <v>4588</v>
      </c>
      <c r="M977">
        <v>284.10000000000002</v>
      </c>
      <c r="N977">
        <v>24</v>
      </c>
      <c r="O977" t="s">
        <v>382</v>
      </c>
      <c r="P977" t="s">
        <v>42</v>
      </c>
      <c r="Q977" t="s">
        <v>189</v>
      </c>
      <c r="R977" t="s">
        <v>153</v>
      </c>
      <c r="S977" t="s">
        <v>74</v>
      </c>
      <c r="T977" t="s">
        <v>235</v>
      </c>
      <c r="U977">
        <v>4478</v>
      </c>
      <c r="V977">
        <v>103</v>
      </c>
      <c r="W977">
        <v>20</v>
      </c>
      <c r="X977">
        <v>1798.88</v>
      </c>
      <c r="Y977">
        <v>56.79</v>
      </c>
      <c r="Z977">
        <v>1855.67</v>
      </c>
      <c r="AA977" t="s">
        <v>63</v>
      </c>
      <c r="AB977">
        <v>0</v>
      </c>
      <c r="AC977">
        <v>73.41</v>
      </c>
      <c r="AD977">
        <v>421</v>
      </c>
      <c r="AE977">
        <v>386</v>
      </c>
    </row>
    <row r="978" spans="1:31" x14ac:dyDescent="0.25">
      <c r="A978" t="s">
        <v>4589</v>
      </c>
      <c r="B978" t="s">
        <v>4590</v>
      </c>
      <c r="C978" s="1">
        <v>44091</v>
      </c>
      <c r="D978" s="1">
        <v>44347</v>
      </c>
      <c r="E978" t="s">
        <v>66</v>
      </c>
      <c r="F978" t="s">
        <v>147</v>
      </c>
      <c r="G978" t="s">
        <v>105</v>
      </c>
      <c r="H978" t="s">
        <v>218</v>
      </c>
      <c r="I978" t="s">
        <v>4591</v>
      </c>
      <c r="J978" t="s">
        <v>38</v>
      </c>
      <c r="K978" t="s">
        <v>83</v>
      </c>
      <c r="L978" t="s">
        <v>4592</v>
      </c>
      <c r="M978">
        <v>6.71</v>
      </c>
      <c r="N978">
        <v>97</v>
      </c>
      <c r="O978" t="s">
        <v>3127</v>
      </c>
      <c r="P978" t="s">
        <v>59</v>
      </c>
      <c r="Q978" t="s">
        <v>315</v>
      </c>
      <c r="R978" t="s">
        <v>88</v>
      </c>
      <c r="S978" t="s">
        <v>74</v>
      </c>
      <c r="T978" t="s">
        <v>542</v>
      </c>
      <c r="U978">
        <v>1903</v>
      </c>
      <c r="V978">
        <v>415</v>
      </c>
      <c r="W978">
        <v>15</v>
      </c>
      <c r="X978">
        <v>350.1</v>
      </c>
      <c r="Y978">
        <v>53.31</v>
      </c>
      <c r="Z978">
        <v>403.41</v>
      </c>
      <c r="AA978" t="s">
        <v>63</v>
      </c>
      <c r="AB978">
        <v>0</v>
      </c>
      <c r="AC978">
        <v>83.77</v>
      </c>
      <c r="AD978">
        <v>223</v>
      </c>
      <c r="AE978">
        <v>182</v>
      </c>
    </row>
    <row r="979" spans="1:31" x14ac:dyDescent="0.25">
      <c r="A979" t="s">
        <v>4593</v>
      </c>
      <c r="B979" t="s">
        <v>4594</v>
      </c>
      <c r="C979" s="1">
        <v>45470</v>
      </c>
      <c r="D979" s="1">
        <v>45209</v>
      </c>
      <c r="E979" t="s">
        <v>66</v>
      </c>
      <c r="F979" t="s">
        <v>93</v>
      </c>
      <c r="G979" t="s">
        <v>337</v>
      </c>
      <c r="H979" t="s">
        <v>218</v>
      </c>
      <c r="I979" t="s">
        <v>4595</v>
      </c>
      <c r="J979" t="s">
        <v>107</v>
      </c>
      <c r="K979" t="s">
        <v>70</v>
      </c>
      <c r="L979" t="s">
        <v>2493</v>
      </c>
      <c r="M979">
        <v>186.95</v>
      </c>
      <c r="N979">
        <v>70</v>
      </c>
      <c r="O979" t="s">
        <v>4596</v>
      </c>
      <c r="P979" t="s">
        <v>59</v>
      </c>
      <c r="Q979" t="s">
        <v>421</v>
      </c>
      <c r="R979" t="s">
        <v>88</v>
      </c>
      <c r="S979" t="s">
        <v>101</v>
      </c>
      <c r="T979" t="s">
        <v>933</v>
      </c>
      <c r="U979">
        <v>3244</v>
      </c>
      <c r="V979">
        <v>308</v>
      </c>
      <c r="W979">
        <v>18</v>
      </c>
      <c r="X979">
        <v>1536.57</v>
      </c>
      <c r="Y979">
        <v>369.75</v>
      </c>
      <c r="Z979">
        <v>1906.32</v>
      </c>
      <c r="AA979" t="s">
        <v>63</v>
      </c>
      <c r="AB979">
        <v>0</v>
      </c>
      <c r="AC979">
        <v>70.959999999999994</v>
      </c>
      <c r="AD979">
        <v>119</v>
      </c>
      <c r="AE979">
        <v>74</v>
      </c>
    </row>
    <row r="980" spans="1:31" x14ac:dyDescent="0.25">
      <c r="A980" t="s">
        <v>4597</v>
      </c>
      <c r="B980" t="s">
        <v>4598</v>
      </c>
      <c r="C980" s="1">
        <v>45206</v>
      </c>
      <c r="D980" s="1">
        <v>44785</v>
      </c>
      <c r="E980" t="s">
        <v>50</v>
      </c>
      <c r="F980" t="s">
        <v>93</v>
      </c>
      <c r="G980" t="s">
        <v>337</v>
      </c>
      <c r="H980" t="s">
        <v>116</v>
      </c>
      <c r="I980" t="s">
        <v>4599</v>
      </c>
      <c r="J980" t="s">
        <v>96</v>
      </c>
      <c r="K980" t="s">
        <v>83</v>
      </c>
      <c r="L980" t="s">
        <v>4600</v>
      </c>
      <c r="M980">
        <v>283.79000000000002</v>
      </c>
      <c r="N980">
        <v>26</v>
      </c>
      <c r="O980" t="s">
        <v>3459</v>
      </c>
      <c r="P980" t="s">
        <v>59</v>
      </c>
      <c r="Q980" t="s">
        <v>189</v>
      </c>
      <c r="R980" t="s">
        <v>44</v>
      </c>
      <c r="S980" t="s">
        <v>101</v>
      </c>
      <c r="T980" t="s">
        <v>196</v>
      </c>
      <c r="U980">
        <v>38</v>
      </c>
      <c r="V980">
        <v>312</v>
      </c>
      <c r="W980">
        <v>16</v>
      </c>
      <c r="X980">
        <v>691.22</v>
      </c>
      <c r="Y980">
        <v>126.48</v>
      </c>
      <c r="Z980">
        <v>817.7</v>
      </c>
      <c r="AA980" t="s">
        <v>63</v>
      </c>
      <c r="AB980">
        <v>0</v>
      </c>
      <c r="AC980">
        <v>92.3</v>
      </c>
      <c r="AD980">
        <v>278</v>
      </c>
      <c r="AE980">
        <v>313</v>
      </c>
    </row>
    <row r="981" spans="1:31" x14ac:dyDescent="0.25">
      <c r="A981" t="s">
        <v>4601</v>
      </c>
      <c r="B981" t="s">
        <v>4602</v>
      </c>
      <c r="C981" s="1">
        <v>43899</v>
      </c>
      <c r="D981" s="1">
        <v>45184</v>
      </c>
      <c r="E981" t="s">
        <v>66</v>
      </c>
      <c r="F981" t="s">
        <v>34</v>
      </c>
      <c r="G981" t="s">
        <v>52</v>
      </c>
      <c r="H981" t="s">
        <v>53</v>
      </c>
      <c r="I981" t="s">
        <v>4603</v>
      </c>
      <c r="J981" t="s">
        <v>96</v>
      </c>
      <c r="K981" t="s">
        <v>70</v>
      </c>
      <c r="L981" t="s">
        <v>4604</v>
      </c>
      <c r="M981">
        <v>43.46</v>
      </c>
      <c r="N981">
        <v>34</v>
      </c>
      <c r="O981" t="s">
        <v>4605</v>
      </c>
      <c r="P981" t="s">
        <v>142</v>
      </c>
      <c r="Q981" t="s">
        <v>73</v>
      </c>
      <c r="R981" t="s">
        <v>44</v>
      </c>
      <c r="S981" t="s">
        <v>74</v>
      </c>
      <c r="T981" t="s">
        <v>1023</v>
      </c>
      <c r="U981">
        <v>2810</v>
      </c>
      <c r="V981">
        <v>129</v>
      </c>
      <c r="W981">
        <v>12</v>
      </c>
      <c r="X981">
        <v>1123.33</v>
      </c>
      <c r="Y981">
        <v>466.03</v>
      </c>
      <c r="Z981">
        <v>1589.36</v>
      </c>
      <c r="AA981" t="s">
        <v>63</v>
      </c>
      <c r="AB981">
        <v>0</v>
      </c>
      <c r="AC981">
        <v>92.98</v>
      </c>
      <c r="AD981">
        <v>137</v>
      </c>
      <c r="AE981">
        <v>142</v>
      </c>
    </row>
    <row r="982" spans="1:31" x14ac:dyDescent="0.25">
      <c r="A982" t="s">
        <v>4606</v>
      </c>
      <c r="B982" t="s">
        <v>4607</v>
      </c>
      <c r="C982" s="1">
        <v>44647</v>
      </c>
      <c r="D982" s="1">
        <v>43887</v>
      </c>
      <c r="E982" t="s">
        <v>66</v>
      </c>
      <c r="F982" t="s">
        <v>147</v>
      </c>
      <c r="G982" t="s">
        <v>94</v>
      </c>
      <c r="H982" t="s">
        <v>53</v>
      </c>
      <c r="I982" t="s">
        <v>4608</v>
      </c>
      <c r="J982" t="s">
        <v>55</v>
      </c>
      <c r="K982" t="s">
        <v>56</v>
      </c>
      <c r="L982" t="s">
        <v>4609</v>
      </c>
      <c r="M982">
        <v>460.2</v>
      </c>
      <c r="N982">
        <v>91</v>
      </c>
      <c r="O982" t="s">
        <v>1241</v>
      </c>
      <c r="P982" t="s">
        <v>42</v>
      </c>
      <c r="Q982" t="s">
        <v>127</v>
      </c>
      <c r="R982" t="s">
        <v>61</v>
      </c>
      <c r="S982" t="s">
        <v>45</v>
      </c>
      <c r="T982" t="s">
        <v>353</v>
      </c>
      <c r="U982">
        <v>1698</v>
      </c>
      <c r="V982">
        <v>263</v>
      </c>
      <c r="W982">
        <v>18</v>
      </c>
      <c r="X982">
        <v>974.3</v>
      </c>
      <c r="Y982">
        <v>264.85000000000002</v>
      </c>
      <c r="Z982">
        <v>1239.1500000000001</v>
      </c>
      <c r="AA982" t="s">
        <v>63</v>
      </c>
      <c r="AB982">
        <v>0</v>
      </c>
      <c r="AC982">
        <v>81.31</v>
      </c>
      <c r="AD982">
        <v>429</v>
      </c>
      <c r="AE982">
        <v>472</v>
      </c>
    </row>
    <row r="983" spans="1:31" x14ac:dyDescent="0.25">
      <c r="A983" t="s">
        <v>4610</v>
      </c>
      <c r="B983" t="s">
        <v>4611</v>
      </c>
      <c r="C983" s="1">
        <v>44555</v>
      </c>
      <c r="D983" s="1">
        <v>45158</v>
      </c>
      <c r="E983" t="s">
        <v>66</v>
      </c>
      <c r="F983" t="s">
        <v>93</v>
      </c>
      <c r="G983" t="s">
        <v>52</v>
      </c>
      <c r="H983" t="s">
        <v>53</v>
      </c>
      <c r="I983" t="s">
        <v>4612</v>
      </c>
      <c r="J983" t="s">
        <v>107</v>
      </c>
      <c r="K983" t="s">
        <v>70</v>
      </c>
      <c r="L983" t="s">
        <v>4613</v>
      </c>
      <c r="M983">
        <v>462.28</v>
      </c>
      <c r="N983">
        <v>4</v>
      </c>
      <c r="O983" t="s">
        <v>3417</v>
      </c>
      <c r="P983" t="s">
        <v>142</v>
      </c>
      <c r="Q983" t="s">
        <v>371</v>
      </c>
      <c r="R983" t="s">
        <v>44</v>
      </c>
      <c r="S983" t="s">
        <v>89</v>
      </c>
      <c r="T983" t="s">
        <v>203</v>
      </c>
      <c r="U983">
        <v>729</v>
      </c>
      <c r="V983">
        <v>428</v>
      </c>
      <c r="W983">
        <v>11</v>
      </c>
      <c r="X983">
        <v>1965.03</v>
      </c>
      <c r="Y983">
        <v>45.74</v>
      </c>
      <c r="Z983">
        <v>2010.77</v>
      </c>
      <c r="AA983" t="s">
        <v>63</v>
      </c>
      <c r="AB983">
        <v>0</v>
      </c>
      <c r="AC983">
        <v>84.66</v>
      </c>
      <c r="AD983">
        <v>319</v>
      </c>
      <c r="AE983">
        <v>314</v>
      </c>
    </row>
    <row r="984" spans="1:31" x14ac:dyDescent="0.25">
      <c r="A984" t="s">
        <v>4614</v>
      </c>
      <c r="B984" t="s">
        <v>4615</v>
      </c>
      <c r="C984" s="1">
        <v>45239</v>
      </c>
      <c r="D984" s="1">
        <v>44098</v>
      </c>
      <c r="E984" t="s">
        <v>33</v>
      </c>
      <c r="F984" t="s">
        <v>93</v>
      </c>
      <c r="G984" t="s">
        <v>35</v>
      </c>
      <c r="H984" t="s">
        <v>68</v>
      </c>
      <c r="I984" t="s">
        <v>4616</v>
      </c>
      <c r="J984" t="s">
        <v>38</v>
      </c>
      <c r="K984" t="s">
        <v>83</v>
      </c>
      <c r="L984" t="s">
        <v>4617</v>
      </c>
      <c r="M984">
        <v>491.16</v>
      </c>
      <c r="N984">
        <v>67</v>
      </c>
      <c r="O984" t="s">
        <v>716</v>
      </c>
      <c r="P984" t="s">
        <v>59</v>
      </c>
      <c r="Q984" t="s">
        <v>202</v>
      </c>
      <c r="R984" t="s">
        <v>88</v>
      </c>
      <c r="S984" t="s">
        <v>45</v>
      </c>
      <c r="T984" t="s">
        <v>434</v>
      </c>
      <c r="U984">
        <v>1105</v>
      </c>
      <c r="V984">
        <v>106</v>
      </c>
      <c r="W984">
        <v>4</v>
      </c>
      <c r="X984">
        <v>903.24</v>
      </c>
      <c r="Y984">
        <v>412.66</v>
      </c>
      <c r="Z984">
        <v>1315.9</v>
      </c>
      <c r="AA984" t="s">
        <v>63</v>
      </c>
      <c r="AB984">
        <v>0</v>
      </c>
      <c r="AC984">
        <v>85.12</v>
      </c>
      <c r="AD984">
        <v>96</v>
      </c>
      <c r="AE984">
        <v>141</v>
      </c>
    </row>
    <row r="985" spans="1:31" x14ac:dyDescent="0.25">
      <c r="A985" t="s">
        <v>4618</v>
      </c>
      <c r="B985" t="s">
        <v>4619</v>
      </c>
      <c r="C985" s="1">
        <v>45254</v>
      </c>
      <c r="D985" s="1">
        <v>45027</v>
      </c>
      <c r="E985" t="s">
        <v>66</v>
      </c>
      <c r="F985" t="s">
        <v>34</v>
      </c>
      <c r="G985" t="s">
        <v>52</v>
      </c>
      <c r="H985" t="s">
        <v>218</v>
      </c>
      <c r="I985" t="s">
        <v>4620</v>
      </c>
      <c r="J985" t="s">
        <v>82</v>
      </c>
      <c r="K985" t="s">
        <v>97</v>
      </c>
      <c r="L985" t="s">
        <v>4621</v>
      </c>
      <c r="M985">
        <v>319.63</v>
      </c>
      <c r="N985">
        <v>13</v>
      </c>
      <c r="O985" t="s">
        <v>4622</v>
      </c>
      <c r="P985" t="s">
        <v>59</v>
      </c>
      <c r="Q985" t="s">
        <v>421</v>
      </c>
      <c r="R985" t="s">
        <v>61</v>
      </c>
      <c r="S985" t="s">
        <v>74</v>
      </c>
      <c r="T985" t="s">
        <v>144</v>
      </c>
      <c r="U985">
        <v>4994</v>
      </c>
      <c r="V985">
        <v>128</v>
      </c>
      <c r="W985">
        <v>13</v>
      </c>
      <c r="X985">
        <v>289.17</v>
      </c>
      <c r="Y985">
        <v>276.14</v>
      </c>
      <c r="Z985">
        <v>565.30999999999995</v>
      </c>
      <c r="AA985" t="s">
        <v>63</v>
      </c>
      <c r="AB985">
        <v>0</v>
      </c>
      <c r="AC985">
        <v>92.89</v>
      </c>
      <c r="AD985">
        <v>168</v>
      </c>
      <c r="AE985">
        <v>126</v>
      </c>
    </row>
    <row r="986" spans="1:31" x14ac:dyDescent="0.25">
      <c r="A986" t="s">
        <v>4623</v>
      </c>
      <c r="B986" t="s">
        <v>4624</v>
      </c>
      <c r="C986" s="1">
        <v>44394</v>
      </c>
      <c r="D986" s="1">
        <v>45641</v>
      </c>
      <c r="E986" t="s">
        <v>66</v>
      </c>
      <c r="F986" t="s">
        <v>93</v>
      </c>
      <c r="G986" t="s">
        <v>35</v>
      </c>
      <c r="H986" t="s">
        <v>80</v>
      </c>
      <c r="I986" t="s">
        <v>4625</v>
      </c>
      <c r="J986" t="s">
        <v>107</v>
      </c>
      <c r="K986" t="s">
        <v>97</v>
      </c>
      <c r="L986" t="s">
        <v>4626</v>
      </c>
      <c r="M986">
        <v>427.29</v>
      </c>
      <c r="N986">
        <v>2</v>
      </c>
      <c r="O986" t="s">
        <v>4259</v>
      </c>
      <c r="P986" t="s">
        <v>110</v>
      </c>
      <c r="Q986" t="s">
        <v>120</v>
      </c>
      <c r="R986" t="s">
        <v>44</v>
      </c>
      <c r="S986" t="s">
        <v>89</v>
      </c>
      <c r="T986" t="s">
        <v>927</v>
      </c>
      <c r="U986">
        <v>2470</v>
      </c>
      <c r="V986">
        <v>345</v>
      </c>
      <c r="W986">
        <v>1</v>
      </c>
      <c r="X986">
        <v>794.16</v>
      </c>
      <c r="Y986">
        <v>320.08999999999997</v>
      </c>
      <c r="Z986">
        <v>1114.25</v>
      </c>
      <c r="AA986" t="s">
        <v>63</v>
      </c>
      <c r="AB986">
        <v>0</v>
      </c>
      <c r="AC986">
        <v>72.27</v>
      </c>
      <c r="AD986">
        <v>275</v>
      </c>
      <c r="AE986">
        <v>317</v>
      </c>
    </row>
    <row r="987" spans="1:31" x14ac:dyDescent="0.25">
      <c r="A987" t="s">
        <v>4627</v>
      </c>
      <c r="B987" t="s">
        <v>4628</v>
      </c>
      <c r="C987" s="1">
        <v>45620</v>
      </c>
      <c r="D987" s="1">
        <v>44170</v>
      </c>
      <c r="E987" t="s">
        <v>66</v>
      </c>
      <c r="F987" t="s">
        <v>147</v>
      </c>
      <c r="G987" t="s">
        <v>79</v>
      </c>
      <c r="H987" t="s">
        <v>116</v>
      </c>
      <c r="I987" t="s">
        <v>4629</v>
      </c>
      <c r="J987" t="s">
        <v>107</v>
      </c>
      <c r="K987" t="s">
        <v>83</v>
      </c>
      <c r="L987" t="s">
        <v>4630</v>
      </c>
      <c r="M987">
        <v>52.18</v>
      </c>
      <c r="N987">
        <v>54</v>
      </c>
      <c r="O987" t="s">
        <v>3504</v>
      </c>
      <c r="P987" t="s">
        <v>86</v>
      </c>
      <c r="Q987" t="s">
        <v>143</v>
      </c>
      <c r="R987" t="s">
        <v>61</v>
      </c>
      <c r="S987" t="s">
        <v>74</v>
      </c>
      <c r="T987" t="s">
        <v>636</v>
      </c>
      <c r="U987">
        <v>3674</v>
      </c>
      <c r="V987">
        <v>299</v>
      </c>
      <c r="W987">
        <v>22</v>
      </c>
      <c r="X987">
        <v>912.5</v>
      </c>
      <c r="Y987">
        <v>428.29</v>
      </c>
      <c r="Z987">
        <v>1340.79</v>
      </c>
      <c r="AA987" t="s">
        <v>63</v>
      </c>
      <c r="AB987">
        <v>0</v>
      </c>
      <c r="AC987">
        <v>84.55</v>
      </c>
      <c r="AD987">
        <v>218</v>
      </c>
      <c r="AE987">
        <v>249</v>
      </c>
    </row>
    <row r="988" spans="1:31" x14ac:dyDescent="0.25">
      <c r="A988" t="s">
        <v>4631</v>
      </c>
      <c r="B988" t="s">
        <v>4632</v>
      </c>
      <c r="C988" s="1">
        <v>45202</v>
      </c>
      <c r="D988" s="1">
        <v>43997</v>
      </c>
      <c r="E988" t="s">
        <v>66</v>
      </c>
      <c r="F988" t="s">
        <v>93</v>
      </c>
      <c r="G988" t="s">
        <v>52</v>
      </c>
      <c r="H988" t="s">
        <v>36</v>
      </c>
      <c r="I988" t="s">
        <v>4633</v>
      </c>
      <c r="J988" t="s">
        <v>96</v>
      </c>
      <c r="K988" t="s">
        <v>56</v>
      </c>
      <c r="L988" t="s">
        <v>4634</v>
      </c>
      <c r="M988">
        <v>12.89</v>
      </c>
      <c r="N988">
        <v>8</v>
      </c>
      <c r="O988" t="s">
        <v>1686</v>
      </c>
      <c r="P988" t="s">
        <v>110</v>
      </c>
      <c r="Q988" t="s">
        <v>371</v>
      </c>
      <c r="R988" t="s">
        <v>61</v>
      </c>
      <c r="S988" t="s">
        <v>101</v>
      </c>
      <c r="T988" t="s">
        <v>815</v>
      </c>
      <c r="U988">
        <v>4420</v>
      </c>
      <c r="V988">
        <v>337</v>
      </c>
      <c r="W988">
        <v>7</v>
      </c>
      <c r="X988">
        <v>1442.34</v>
      </c>
      <c r="Y988">
        <v>68.849999999999994</v>
      </c>
      <c r="Z988">
        <v>1511.19</v>
      </c>
      <c r="AA988" t="s">
        <v>47</v>
      </c>
      <c r="AB988">
        <v>9</v>
      </c>
      <c r="AC988">
        <v>78.930000000000007</v>
      </c>
      <c r="AD988">
        <v>487</v>
      </c>
      <c r="AE988">
        <v>495</v>
      </c>
    </row>
    <row r="989" spans="1:31" x14ac:dyDescent="0.25">
      <c r="A989" t="s">
        <v>4635</v>
      </c>
      <c r="B989" t="s">
        <v>4636</v>
      </c>
      <c r="C989" s="1">
        <v>44142</v>
      </c>
      <c r="D989" s="1">
        <v>45256</v>
      </c>
      <c r="E989" t="s">
        <v>66</v>
      </c>
      <c r="F989" t="s">
        <v>93</v>
      </c>
      <c r="G989" t="s">
        <v>94</v>
      </c>
      <c r="H989" t="s">
        <v>148</v>
      </c>
      <c r="I989" t="s">
        <v>4637</v>
      </c>
      <c r="J989" t="s">
        <v>55</v>
      </c>
      <c r="K989" t="s">
        <v>97</v>
      </c>
      <c r="L989" t="s">
        <v>4638</v>
      </c>
      <c r="M989">
        <v>267.32</v>
      </c>
      <c r="N989">
        <v>13</v>
      </c>
      <c r="O989" t="s">
        <v>583</v>
      </c>
      <c r="P989" t="s">
        <v>86</v>
      </c>
      <c r="Q989" t="s">
        <v>143</v>
      </c>
      <c r="R989" t="s">
        <v>153</v>
      </c>
      <c r="S989" t="s">
        <v>128</v>
      </c>
      <c r="T989" t="s">
        <v>625</v>
      </c>
      <c r="U989">
        <v>2993</v>
      </c>
      <c r="V989">
        <v>314</v>
      </c>
      <c r="W989">
        <v>1</v>
      </c>
      <c r="X989">
        <v>471.39</v>
      </c>
      <c r="Y989">
        <v>225.36</v>
      </c>
      <c r="Z989">
        <v>696.75</v>
      </c>
      <c r="AA989" t="s">
        <v>63</v>
      </c>
      <c r="AB989">
        <v>0</v>
      </c>
      <c r="AC989">
        <v>90.79</v>
      </c>
      <c r="AD989">
        <v>422</v>
      </c>
      <c r="AE989">
        <v>403</v>
      </c>
    </row>
    <row r="990" spans="1:31" x14ac:dyDescent="0.25">
      <c r="A990" t="s">
        <v>4639</v>
      </c>
      <c r="B990" t="s">
        <v>4640</v>
      </c>
      <c r="C990" s="1">
        <v>45025</v>
      </c>
      <c r="D990" s="1">
        <v>44032</v>
      </c>
      <c r="E990" t="s">
        <v>66</v>
      </c>
      <c r="F990" t="s">
        <v>93</v>
      </c>
      <c r="G990" t="s">
        <v>52</v>
      </c>
      <c r="H990" t="s">
        <v>80</v>
      </c>
      <c r="I990" t="s">
        <v>4641</v>
      </c>
      <c r="J990" t="s">
        <v>96</v>
      </c>
      <c r="K990" t="s">
        <v>39</v>
      </c>
      <c r="L990" t="s">
        <v>4642</v>
      </c>
      <c r="M990">
        <v>484.11</v>
      </c>
      <c r="N990">
        <v>70</v>
      </c>
      <c r="O990" t="s">
        <v>920</v>
      </c>
      <c r="P990" t="s">
        <v>142</v>
      </c>
      <c r="Q990" t="s">
        <v>175</v>
      </c>
      <c r="R990" t="s">
        <v>88</v>
      </c>
      <c r="S990" t="s">
        <v>74</v>
      </c>
      <c r="T990" t="s">
        <v>255</v>
      </c>
      <c r="U990">
        <v>3675</v>
      </c>
      <c r="V990">
        <v>157</v>
      </c>
      <c r="W990">
        <v>5</v>
      </c>
      <c r="X990">
        <v>1939.97</v>
      </c>
      <c r="Y990">
        <v>325.76</v>
      </c>
      <c r="Z990">
        <v>2265.73</v>
      </c>
      <c r="AA990" t="s">
        <v>63</v>
      </c>
      <c r="AB990">
        <v>0</v>
      </c>
      <c r="AC990">
        <v>81.680000000000007</v>
      </c>
      <c r="AD990">
        <v>275</v>
      </c>
      <c r="AE990">
        <v>293</v>
      </c>
    </row>
    <row r="991" spans="1:31" x14ac:dyDescent="0.25">
      <c r="A991" t="s">
        <v>4643</v>
      </c>
      <c r="B991" t="s">
        <v>4644</v>
      </c>
      <c r="C991" s="1">
        <v>44163</v>
      </c>
      <c r="D991" s="1">
        <v>45189</v>
      </c>
      <c r="E991" t="s">
        <v>50</v>
      </c>
      <c r="F991" t="s">
        <v>147</v>
      </c>
      <c r="G991" t="s">
        <v>337</v>
      </c>
      <c r="H991" t="s">
        <v>116</v>
      </c>
      <c r="I991" t="s">
        <v>4645</v>
      </c>
      <c r="J991" t="s">
        <v>55</v>
      </c>
      <c r="K991" t="s">
        <v>83</v>
      </c>
      <c r="L991" t="s">
        <v>4646</v>
      </c>
      <c r="M991">
        <v>112.98</v>
      </c>
      <c r="N991">
        <v>40</v>
      </c>
      <c r="O991" t="s">
        <v>3490</v>
      </c>
      <c r="P991" t="s">
        <v>86</v>
      </c>
      <c r="Q991" t="s">
        <v>261</v>
      </c>
      <c r="R991" t="s">
        <v>153</v>
      </c>
      <c r="S991" t="s">
        <v>45</v>
      </c>
      <c r="T991" t="s">
        <v>255</v>
      </c>
      <c r="U991">
        <v>2510</v>
      </c>
      <c r="V991">
        <v>230</v>
      </c>
      <c r="W991">
        <v>26</v>
      </c>
      <c r="X991">
        <v>1159.1300000000001</v>
      </c>
      <c r="Y991">
        <v>424.29</v>
      </c>
      <c r="Z991">
        <v>1583.42</v>
      </c>
      <c r="AA991" t="s">
        <v>63</v>
      </c>
      <c r="AB991">
        <v>0</v>
      </c>
      <c r="AC991">
        <v>87.78</v>
      </c>
      <c r="AD991">
        <v>142</v>
      </c>
      <c r="AE991">
        <v>154</v>
      </c>
    </row>
    <row r="992" spans="1:31" x14ac:dyDescent="0.25">
      <c r="A992" t="s">
        <v>4647</v>
      </c>
      <c r="B992" t="s">
        <v>4648</v>
      </c>
      <c r="C992" s="1">
        <v>44011</v>
      </c>
      <c r="D992" s="1">
        <v>45286</v>
      </c>
      <c r="E992" t="s">
        <v>66</v>
      </c>
      <c r="F992" t="s">
        <v>34</v>
      </c>
      <c r="G992" t="s">
        <v>67</v>
      </c>
      <c r="H992" t="s">
        <v>36</v>
      </c>
      <c r="I992" t="s">
        <v>4649</v>
      </c>
      <c r="J992" t="s">
        <v>38</v>
      </c>
      <c r="K992" t="s">
        <v>97</v>
      </c>
      <c r="L992" t="s">
        <v>4650</v>
      </c>
      <c r="M992">
        <v>99.07</v>
      </c>
      <c r="N992">
        <v>46</v>
      </c>
      <c r="O992" t="s">
        <v>4651</v>
      </c>
      <c r="P992" t="s">
        <v>86</v>
      </c>
      <c r="Q992" t="s">
        <v>175</v>
      </c>
      <c r="R992" t="s">
        <v>44</v>
      </c>
      <c r="S992" t="s">
        <v>89</v>
      </c>
      <c r="T992" t="s">
        <v>309</v>
      </c>
      <c r="U992">
        <v>652</v>
      </c>
      <c r="V992">
        <v>444</v>
      </c>
      <c r="W992">
        <v>9</v>
      </c>
      <c r="X992">
        <v>1166.02</v>
      </c>
      <c r="Y992">
        <v>277.63</v>
      </c>
      <c r="Z992">
        <v>1443.65</v>
      </c>
      <c r="AA992" t="s">
        <v>63</v>
      </c>
      <c r="AB992">
        <v>0</v>
      </c>
      <c r="AC992">
        <v>79.72</v>
      </c>
      <c r="AD992">
        <v>55</v>
      </c>
      <c r="AE992">
        <v>31</v>
      </c>
    </row>
    <row r="993" spans="1:31" x14ac:dyDescent="0.25">
      <c r="A993" t="s">
        <v>4652</v>
      </c>
      <c r="B993" t="s">
        <v>4653</v>
      </c>
      <c r="C993" s="1">
        <v>45423</v>
      </c>
      <c r="D993" s="1">
        <v>45178</v>
      </c>
      <c r="E993" t="s">
        <v>33</v>
      </c>
      <c r="F993" t="s">
        <v>147</v>
      </c>
      <c r="G993" t="s">
        <v>67</v>
      </c>
      <c r="H993" t="s">
        <v>80</v>
      </c>
      <c r="I993" t="s">
        <v>4654</v>
      </c>
      <c r="J993" t="s">
        <v>38</v>
      </c>
      <c r="K993" t="s">
        <v>56</v>
      </c>
      <c r="L993" t="s">
        <v>4655</v>
      </c>
      <c r="M993">
        <v>406.56</v>
      </c>
      <c r="N993">
        <v>13</v>
      </c>
      <c r="O993" t="s">
        <v>3446</v>
      </c>
      <c r="P993" t="s">
        <v>110</v>
      </c>
      <c r="Q993" t="s">
        <v>135</v>
      </c>
      <c r="R993" t="s">
        <v>88</v>
      </c>
      <c r="S993" t="s">
        <v>74</v>
      </c>
      <c r="T993" t="s">
        <v>815</v>
      </c>
      <c r="U993">
        <v>1227</v>
      </c>
      <c r="V993">
        <v>295</v>
      </c>
      <c r="W993">
        <v>22</v>
      </c>
      <c r="X993">
        <v>839.71</v>
      </c>
      <c r="Y993">
        <v>217.04</v>
      </c>
      <c r="Z993">
        <v>1056.75</v>
      </c>
      <c r="AA993" t="s">
        <v>63</v>
      </c>
      <c r="AB993">
        <v>0</v>
      </c>
      <c r="AC993">
        <v>90.04</v>
      </c>
      <c r="AD993">
        <v>224</v>
      </c>
      <c r="AE993">
        <v>230</v>
      </c>
    </row>
    <row r="994" spans="1:31" x14ac:dyDescent="0.25">
      <c r="A994" t="s">
        <v>4656</v>
      </c>
      <c r="B994" t="s">
        <v>4657</v>
      </c>
      <c r="C994" s="1">
        <v>44763</v>
      </c>
      <c r="D994" s="1">
        <v>45606</v>
      </c>
      <c r="E994" t="s">
        <v>66</v>
      </c>
      <c r="F994" t="s">
        <v>93</v>
      </c>
      <c r="G994" t="s">
        <v>115</v>
      </c>
      <c r="H994" t="s">
        <v>116</v>
      </c>
      <c r="I994" t="s">
        <v>4658</v>
      </c>
      <c r="J994" t="s">
        <v>107</v>
      </c>
      <c r="K994" t="s">
        <v>70</v>
      </c>
      <c r="L994" t="s">
        <v>4659</v>
      </c>
      <c r="M994">
        <v>310.92</v>
      </c>
      <c r="N994">
        <v>63</v>
      </c>
      <c r="O994" t="s">
        <v>3417</v>
      </c>
      <c r="P994" t="s">
        <v>142</v>
      </c>
      <c r="Q994" t="s">
        <v>541</v>
      </c>
      <c r="R994" t="s">
        <v>61</v>
      </c>
      <c r="S994" t="s">
        <v>74</v>
      </c>
      <c r="T994" t="s">
        <v>90</v>
      </c>
      <c r="U994">
        <v>530</v>
      </c>
      <c r="V994">
        <v>170</v>
      </c>
      <c r="W994">
        <v>26</v>
      </c>
      <c r="X994">
        <v>78.260000000000005</v>
      </c>
      <c r="Y994">
        <v>281.64</v>
      </c>
      <c r="Z994">
        <v>359.9</v>
      </c>
      <c r="AA994" t="s">
        <v>63</v>
      </c>
      <c r="AB994">
        <v>0</v>
      </c>
      <c r="AC994">
        <v>87.02</v>
      </c>
      <c r="AD994">
        <v>110</v>
      </c>
      <c r="AE994">
        <v>108</v>
      </c>
    </row>
    <row r="995" spans="1:31" x14ac:dyDescent="0.25">
      <c r="A995" t="s">
        <v>4660</v>
      </c>
      <c r="B995" t="s">
        <v>3451</v>
      </c>
      <c r="C995" s="1">
        <v>44897</v>
      </c>
      <c r="D995" s="1">
        <v>45388</v>
      </c>
      <c r="E995" t="s">
        <v>66</v>
      </c>
      <c r="F995" t="s">
        <v>93</v>
      </c>
      <c r="G995" t="s">
        <v>115</v>
      </c>
      <c r="H995" t="s">
        <v>164</v>
      </c>
      <c r="I995" t="s">
        <v>4661</v>
      </c>
      <c r="J995" t="s">
        <v>55</v>
      </c>
      <c r="K995" t="s">
        <v>39</v>
      </c>
      <c r="L995" t="s">
        <v>4662</v>
      </c>
      <c r="M995">
        <v>387.21</v>
      </c>
      <c r="N995">
        <v>5</v>
      </c>
      <c r="O995" t="s">
        <v>1840</v>
      </c>
      <c r="P995" t="s">
        <v>86</v>
      </c>
      <c r="Q995" t="s">
        <v>461</v>
      </c>
      <c r="R995" t="s">
        <v>61</v>
      </c>
      <c r="S995" t="s">
        <v>89</v>
      </c>
      <c r="T995" t="s">
        <v>190</v>
      </c>
      <c r="U995">
        <v>2536</v>
      </c>
      <c r="V995">
        <v>343</v>
      </c>
      <c r="W995">
        <v>27</v>
      </c>
      <c r="X995">
        <v>158.55000000000001</v>
      </c>
      <c r="Y995">
        <v>237.69</v>
      </c>
      <c r="Z995">
        <v>396.24</v>
      </c>
      <c r="AA995" t="s">
        <v>63</v>
      </c>
      <c r="AB995">
        <v>0</v>
      </c>
      <c r="AC995">
        <v>94.98</v>
      </c>
      <c r="AD995">
        <v>406</v>
      </c>
      <c r="AE995">
        <v>369</v>
      </c>
    </row>
    <row r="996" spans="1:31" x14ac:dyDescent="0.25">
      <c r="A996" t="s">
        <v>4663</v>
      </c>
      <c r="B996" t="s">
        <v>1004</v>
      </c>
      <c r="C996" s="1">
        <v>44148</v>
      </c>
      <c r="D996" s="1">
        <v>45652</v>
      </c>
      <c r="E996" t="s">
        <v>33</v>
      </c>
      <c r="F996" t="s">
        <v>93</v>
      </c>
      <c r="G996" t="s">
        <v>67</v>
      </c>
      <c r="H996" t="s">
        <v>164</v>
      </c>
      <c r="I996" t="s">
        <v>4664</v>
      </c>
      <c r="J996" t="s">
        <v>38</v>
      </c>
      <c r="K996" t="s">
        <v>97</v>
      </c>
      <c r="L996" t="s">
        <v>4665</v>
      </c>
      <c r="M996">
        <v>358.21</v>
      </c>
      <c r="N996">
        <v>13</v>
      </c>
      <c r="O996" t="s">
        <v>3656</v>
      </c>
      <c r="P996" t="s">
        <v>86</v>
      </c>
      <c r="Q996" t="s">
        <v>609</v>
      </c>
      <c r="R996" t="s">
        <v>153</v>
      </c>
      <c r="S996" t="s">
        <v>89</v>
      </c>
      <c r="T996" t="s">
        <v>222</v>
      </c>
      <c r="U996">
        <v>2889</v>
      </c>
      <c r="V996">
        <v>55</v>
      </c>
      <c r="W996">
        <v>2</v>
      </c>
      <c r="X996">
        <v>259.3</v>
      </c>
      <c r="Y996">
        <v>48.31</v>
      </c>
      <c r="Z996">
        <v>307.61</v>
      </c>
      <c r="AA996" t="s">
        <v>63</v>
      </c>
      <c r="AB996">
        <v>0</v>
      </c>
      <c r="AC996">
        <v>78.52</v>
      </c>
      <c r="AD996">
        <v>183</v>
      </c>
      <c r="AE996">
        <v>173</v>
      </c>
    </row>
    <row r="997" spans="1:31" x14ac:dyDescent="0.25">
      <c r="A997" t="s">
        <v>4666</v>
      </c>
      <c r="B997" t="s">
        <v>4667</v>
      </c>
      <c r="C997" s="1">
        <v>45053</v>
      </c>
      <c r="D997" s="1">
        <v>45540</v>
      </c>
      <c r="E997" t="s">
        <v>66</v>
      </c>
      <c r="F997" t="s">
        <v>147</v>
      </c>
      <c r="G997" t="s">
        <v>35</v>
      </c>
      <c r="H997" t="s">
        <v>36</v>
      </c>
      <c r="I997" t="s">
        <v>4668</v>
      </c>
      <c r="J997" t="s">
        <v>55</v>
      </c>
      <c r="K997" t="s">
        <v>39</v>
      </c>
      <c r="L997" t="s">
        <v>4669</v>
      </c>
      <c r="M997">
        <v>276.98</v>
      </c>
      <c r="N997">
        <v>29</v>
      </c>
      <c r="O997" t="s">
        <v>1446</v>
      </c>
      <c r="P997" t="s">
        <v>59</v>
      </c>
      <c r="Q997" t="s">
        <v>261</v>
      </c>
      <c r="R997" t="s">
        <v>153</v>
      </c>
      <c r="S997" t="s">
        <v>101</v>
      </c>
      <c r="T997" t="s">
        <v>1261</v>
      </c>
      <c r="U997">
        <v>1776</v>
      </c>
      <c r="V997">
        <v>169</v>
      </c>
      <c r="W997">
        <v>28</v>
      </c>
      <c r="X997">
        <v>1419.96</v>
      </c>
      <c r="Y997">
        <v>158.05000000000001</v>
      </c>
      <c r="Z997">
        <v>1578.01</v>
      </c>
      <c r="AA997" t="s">
        <v>63</v>
      </c>
      <c r="AB997">
        <v>0</v>
      </c>
      <c r="AC997">
        <v>97.52</v>
      </c>
      <c r="AD997">
        <v>437</v>
      </c>
      <c r="AE997">
        <v>387</v>
      </c>
    </row>
    <row r="998" spans="1:31" x14ac:dyDescent="0.25">
      <c r="A998" t="s">
        <v>4670</v>
      </c>
      <c r="B998" t="s">
        <v>4671</v>
      </c>
      <c r="C998" s="1">
        <v>45328</v>
      </c>
      <c r="D998" s="1">
        <v>44946</v>
      </c>
      <c r="E998" t="s">
        <v>50</v>
      </c>
      <c r="F998" t="s">
        <v>93</v>
      </c>
      <c r="G998" t="s">
        <v>79</v>
      </c>
      <c r="H998" t="s">
        <v>68</v>
      </c>
      <c r="I998" t="s">
        <v>4672</v>
      </c>
      <c r="J998" t="s">
        <v>96</v>
      </c>
      <c r="K998" t="s">
        <v>97</v>
      </c>
      <c r="L998" t="s">
        <v>4673</v>
      </c>
      <c r="M998">
        <v>264.86</v>
      </c>
      <c r="N998">
        <v>41</v>
      </c>
      <c r="O998" t="s">
        <v>3185</v>
      </c>
      <c r="P998" t="s">
        <v>42</v>
      </c>
      <c r="Q998" t="s">
        <v>328</v>
      </c>
      <c r="R998" t="s">
        <v>44</v>
      </c>
      <c r="S998" t="s">
        <v>74</v>
      </c>
      <c r="T998" t="s">
        <v>154</v>
      </c>
      <c r="U998">
        <v>1791</v>
      </c>
      <c r="V998">
        <v>293</v>
      </c>
      <c r="W998">
        <v>26</v>
      </c>
      <c r="X998">
        <v>1007.51</v>
      </c>
      <c r="Y998">
        <v>312.86</v>
      </c>
      <c r="Z998">
        <v>1320.37</v>
      </c>
      <c r="AA998" t="s">
        <v>63</v>
      </c>
      <c r="AB998">
        <v>0</v>
      </c>
      <c r="AC998">
        <v>70.510000000000005</v>
      </c>
      <c r="AD998">
        <v>467</v>
      </c>
      <c r="AE998">
        <v>426</v>
      </c>
    </row>
    <row r="999" spans="1:31" x14ac:dyDescent="0.25">
      <c r="A999" t="s">
        <v>4674</v>
      </c>
      <c r="B999" t="s">
        <v>4675</v>
      </c>
      <c r="C999" s="1">
        <v>44198</v>
      </c>
      <c r="D999" s="1">
        <v>45033</v>
      </c>
      <c r="E999" t="s">
        <v>50</v>
      </c>
      <c r="F999" t="s">
        <v>147</v>
      </c>
      <c r="G999" t="s">
        <v>35</v>
      </c>
      <c r="H999" t="s">
        <v>80</v>
      </c>
      <c r="I999" t="s">
        <v>4676</v>
      </c>
      <c r="J999" t="s">
        <v>55</v>
      </c>
      <c r="K999" t="s">
        <v>83</v>
      </c>
      <c r="L999" t="s">
        <v>887</v>
      </c>
      <c r="M999">
        <v>225.91</v>
      </c>
      <c r="N999">
        <v>26</v>
      </c>
      <c r="O999" t="s">
        <v>1950</v>
      </c>
      <c r="P999" t="s">
        <v>142</v>
      </c>
      <c r="Q999" t="s">
        <v>168</v>
      </c>
      <c r="R999" t="s">
        <v>153</v>
      </c>
      <c r="S999" t="s">
        <v>45</v>
      </c>
      <c r="T999" t="s">
        <v>297</v>
      </c>
      <c r="U999">
        <v>2198</v>
      </c>
      <c r="V999">
        <v>361</v>
      </c>
      <c r="W999">
        <v>5</v>
      </c>
      <c r="X999">
        <v>1168.73</v>
      </c>
      <c r="Y999">
        <v>21.93</v>
      </c>
      <c r="Z999">
        <v>1190.6600000000001</v>
      </c>
      <c r="AA999" t="s">
        <v>63</v>
      </c>
      <c r="AB999">
        <v>0</v>
      </c>
      <c r="AC999">
        <v>71.510000000000005</v>
      </c>
      <c r="AD999">
        <v>483</v>
      </c>
      <c r="AE999">
        <v>460</v>
      </c>
    </row>
    <row r="1000" spans="1:31" x14ac:dyDescent="0.25">
      <c r="A1000" t="s">
        <v>4677</v>
      </c>
      <c r="B1000" t="s">
        <v>4678</v>
      </c>
      <c r="C1000" s="1">
        <v>45561</v>
      </c>
      <c r="D1000" s="1">
        <v>45435</v>
      </c>
      <c r="E1000" t="s">
        <v>66</v>
      </c>
      <c r="F1000" t="s">
        <v>51</v>
      </c>
      <c r="G1000" t="s">
        <v>35</v>
      </c>
      <c r="H1000" t="s">
        <v>148</v>
      </c>
      <c r="I1000" t="s">
        <v>4679</v>
      </c>
      <c r="J1000" t="s">
        <v>107</v>
      </c>
      <c r="K1000" t="s">
        <v>70</v>
      </c>
      <c r="L1000" t="s">
        <v>4680</v>
      </c>
      <c r="M1000">
        <v>476.71</v>
      </c>
      <c r="N1000">
        <v>12</v>
      </c>
      <c r="O1000" t="s">
        <v>4681</v>
      </c>
      <c r="P1000" t="s">
        <v>59</v>
      </c>
      <c r="Q1000" t="s">
        <v>160</v>
      </c>
      <c r="R1000" t="s">
        <v>88</v>
      </c>
      <c r="S1000" t="s">
        <v>101</v>
      </c>
      <c r="T1000" t="s">
        <v>405</v>
      </c>
      <c r="U1000">
        <v>2566</v>
      </c>
      <c r="V1000">
        <v>108</v>
      </c>
      <c r="W1000">
        <v>1</v>
      </c>
      <c r="X1000">
        <v>754.56</v>
      </c>
      <c r="Y1000">
        <v>485.8</v>
      </c>
      <c r="Z1000">
        <v>1240.3599999999999</v>
      </c>
      <c r="AA1000" t="s">
        <v>63</v>
      </c>
      <c r="AB1000">
        <v>0</v>
      </c>
      <c r="AC1000">
        <v>96.7</v>
      </c>
      <c r="AD1000">
        <v>176</v>
      </c>
      <c r="AE1000">
        <v>220</v>
      </c>
    </row>
    <row r="1001" spans="1:31" x14ac:dyDescent="0.25">
      <c r="A1001" t="s">
        <v>4682</v>
      </c>
      <c r="B1001" t="s">
        <v>4683</v>
      </c>
      <c r="C1001" s="1">
        <v>45252</v>
      </c>
      <c r="D1001" s="1">
        <v>44488</v>
      </c>
      <c r="E1001" t="s">
        <v>66</v>
      </c>
      <c r="F1001" t="s">
        <v>51</v>
      </c>
      <c r="G1001" t="s">
        <v>67</v>
      </c>
      <c r="H1001" t="s">
        <v>36</v>
      </c>
      <c r="I1001" t="s">
        <v>4684</v>
      </c>
      <c r="J1001" t="s">
        <v>55</v>
      </c>
      <c r="K1001" t="s">
        <v>83</v>
      </c>
      <c r="L1001" t="s">
        <v>4685</v>
      </c>
      <c r="M1001">
        <v>462.35</v>
      </c>
      <c r="N1001">
        <v>4</v>
      </c>
      <c r="O1001" t="s">
        <v>4686</v>
      </c>
      <c r="P1001" t="s">
        <v>42</v>
      </c>
      <c r="Q1001" t="s">
        <v>290</v>
      </c>
      <c r="R1001" t="s">
        <v>153</v>
      </c>
      <c r="S1001" t="s">
        <v>74</v>
      </c>
      <c r="T1001" t="s">
        <v>249</v>
      </c>
      <c r="U1001">
        <v>4955</v>
      </c>
      <c r="V1001">
        <v>246</v>
      </c>
      <c r="W1001">
        <v>23</v>
      </c>
      <c r="X1001">
        <v>1167.01</v>
      </c>
      <c r="Y1001">
        <v>117.86</v>
      </c>
      <c r="Z1001">
        <v>1284.8699999999999</v>
      </c>
      <c r="AA1001" t="s">
        <v>63</v>
      </c>
      <c r="AB1001">
        <v>0</v>
      </c>
      <c r="AC1001">
        <v>71.28</v>
      </c>
      <c r="AD1001">
        <v>122</v>
      </c>
      <c r="AE1001">
        <v>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2B930-13B9-4556-B96E-EB5ACBEEA89F}">
  <dimension ref="C5:F11"/>
  <sheetViews>
    <sheetView workbookViewId="0">
      <selection activeCell="D11" sqref="D11"/>
    </sheetView>
  </sheetViews>
  <sheetFormatPr defaultRowHeight="15" x14ac:dyDescent="0.25"/>
  <cols>
    <col min="3" max="3" width="24.42578125" bestFit="1" customWidth="1"/>
    <col min="4" max="4" width="11.140625" bestFit="1" customWidth="1"/>
    <col min="5" max="6" width="12" bestFit="1" customWidth="1"/>
  </cols>
  <sheetData>
    <row r="5" spans="3:6" ht="18.75" x14ac:dyDescent="0.3">
      <c r="C5" s="3" t="s">
        <v>4687</v>
      </c>
      <c r="D5">
        <f>COUNTA('Supply Chain'!A2:A1001)</f>
        <v>1000</v>
      </c>
    </row>
    <row r="6" spans="3:6" ht="18.75" x14ac:dyDescent="0.3">
      <c r="C6" s="3"/>
    </row>
    <row r="7" spans="3:6" ht="18.75" x14ac:dyDescent="0.3">
      <c r="C7" s="3"/>
      <c r="D7" t="s">
        <v>4689</v>
      </c>
      <c r="E7" t="s">
        <v>4690</v>
      </c>
    </row>
    <row r="8" spans="3:6" ht="18.75" x14ac:dyDescent="0.3">
      <c r="C8" s="3" t="s">
        <v>4688</v>
      </c>
      <c r="D8">
        <f>SUM('Supply Chain'!M2:M1001)</f>
        <v>254219.1100000001</v>
      </c>
      <c r="E8">
        <f>SUM('Supply Chain'!N2:N1001)</f>
        <v>49343</v>
      </c>
      <c r="F8">
        <f>SUM(D8*E8)</f>
        <v>12543933544.730005</v>
      </c>
    </row>
    <row r="9" spans="3:6" x14ac:dyDescent="0.25">
      <c r="D9" t="s">
        <v>4689</v>
      </c>
      <c r="E9" t="s">
        <v>4690</v>
      </c>
      <c r="F9" t="s">
        <v>4687</v>
      </c>
    </row>
    <row r="10" spans="3:6" x14ac:dyDescent="0.25">
      <c r="D10">
        <f>SUM('Supply Chain'!M2:M1001)</f>
        <v>254219.1100000001</v>
      </c>
      <c r="E10">
        <f>SUM('Supply Chain'!N2:N1001)</f>
        <v>49343</v>
      </c>
      <c r="F10">
        <f>COUNTA('Supply Chain'!A2:A1001)</f>
        <v>1000</v>
      </c>
    </row>
    <row r="11" spans="3:6" ht="18.75" x14ac:dyDescent="0.3">
      <c r="C11" s="3" t="s">
        <v>4691</v>
      </c>
      <c r="D11">
        <f>SUM(D10*E10)/F10</f>
        <v>12543933.544730006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73EA7-545D-4D90-970B-29E4685A3277}">
  <dimension ref="C6:E15"/>
  <sheetViews>
    <sheetView workbookViewId="0">
      <selection activeCell="D10" sqref="D10"/>
    </sheetView>
  </sheetViews>
  <sheetFormatPr defaultRowHeight="15" x14ac:dyDescent="0.25"/>
  <cols>
    <col min="3" max="3" width="30.42578125" bestFit="1" customWidth="1"/>
  </cols>
  <sheetData>
    <row r="6" spans="3:5" ht="18.75" x14ac:dyDescent="0.3">
      <c r="C6" s="3" t="s">
        <v>4692</v>
      </c>
      <c r="D6">
        <f>SUM('Supply Chain'!U2:U1001)</f>
        <v>2484173</v>
      </c>
    </row>
    <row r="10" spans="3:5" ht="18.75" x14ac:dyDescent="0.3">
      <c r="C10" s="3" t="s">
        <v>4693</v>
      </c>
      <c r="D10">
        <f>AVERAGE('Supply Chain'!W2:W1001)</f>
        <v>14.637</v>
      </c>
    </row>
    <row r="12" spans="3:5" ht="18.75" x14ac:dyDescent="0.3">
      <c r="C12" s="3" t="s">
        <v>4694</v>
      </c>
    </row>
    <row r="14" spans="3:5" x14ac:dyDescent="0.25">
      <c r="D14">
        <f>SUM('Supply Chain'!Z2:Z1001)</f>
        <v>1278382.8799999999</v>
      </c>
      <c r="E14">
        <f>SUM('Supply Chain'!U2:U1001)</f>
        <v>2484173</v>
      </c>
    </row>
    <row r="15" spans="3:5" x14ac:dyDescent="0.25">
      <c r="D15">
        <f>D14/E14</f>
        <v>0.51461105164575893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9FB6A-917A-4F24-BB80-2EA79499261C}">
  <dimension ref="C5:E13"/>
  <sheetViews>
    <sheetView workbookViewId="0">
      <selection activeCell="D12" sqref="D12"/>
    </sheetView>
  </sheetViews>
  <sheetFormatPr defaultRowHeight="15" x14ac:dyDescent="0.25"/>
  <cols>
    <col min="3" max="3" width="28.140625" bestFit="1" customWidth="1"/>
  </cols>
  <sheetData>
    <row r="5" spans="3:5" ht="18.75" x14ac:dyDescent="0.3">
      <c r="C5" s="3" t="s">
        <v>4695</v>
      </c>
      <c r="D5">
        <f>SUM('Supply Chain'!X2:X1001)</f>
        <v>1015919.4500000005</v>
      </c>
    </row>
    <row r="7" spans="3:5" ht="18.75" x14ac:dyDescent="0.3">
      <c r="C7" s="3" t="s">
        <v>4696</v>
      </c>
      <c r="D7">
        <f>SUM('Supply Chain'!Y2:Y1001)</f>
        <v>262463.43000000034</v>
      </c>
    </row>
    <row r="9" spans="3:5" ht="18.75" x14ac:dyDescent="0.3">
      <c r="C9" s="3" t="s">
        <v>4697</v>
      </c>
      <c r="D9">
        <f>SUM('Supply Chain'!Z2:Z1001)</f>
        <v>1278382.8799999999</v>
      </c>
    </row>
    <row r="11" spans="3:5" ht="18.75" x14ac:dyDescent="0.3">
      <c r="C11" s="3" t="s">
        <v>4698</v>
      </c>
      <c r="D11" t="s">
        <v>4700</v>
      </c>
      <c r="E11" t="s">
        <v>4699</v>
      </c>
    </row>
    <row r="12" spans="3:5" x14ac:dyDescent="0.25">
      <c r="D12">
        <f>SUM('Supply Chain'!Z2:Z1001)</f>
        <v>1278382.8799999999</v>
      </c>
      <c r="E12">
        <f>SUM('Supply Chain'!N2:N1001)</f>
        <v>49343</v>
      </c>
    </row>
    <row r="13" spans="3:5" x14ac:dyDescent="0.25">
      <c r="D13">
        <f>D12/E12</f>
        <v>25.908089901303121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6BFFB-F798-43D7-8999-4E37A1CCC8E5}">
  <dimension ref="C7:G27"/>
  <sheetViews>
    <sheetView topLeftCell="A4" zoomScale="85" zoomScaleNormal="85" workbookViewId="0">
      <selection activeCell="F27" sqref="F27"/>
    </sheetView>
  </sheetViews>
  <sheetFormatPr defaultRowHeight="15" x14ac:dyDescent="0.25"/>
  <cols>
    <col min="3" max="3" width="32.7109375" bestFit="1" customWidth="1"/>
    <col min="6" max="6" width="13.140625" bestFit="1" customWidth="1"/>
    <col min="7" max="7" width="17.28515625" bestFit="1" customWidth="1"/>
  </cols>
  <sheetData>
    <row r="7" spans="3:7" ht="18.75" x14ac:dyDescent="0.3">
      <c r="C7" s="3" t="s">
        <v>4701</v>
      </c>
      <c r="D7">
        <f>AVERAGE('Supply Chain'!AB2:AB1001)</f>
        <v>0.78900000000000003</v>
      </c>
    </row>
    <row r="9" spans="3:7" ht="18.75" x14ac:dyDescent="0.3">
      <c r="C9" s="3" t="s">
        <v>4702</v>
      </c>
    </row>
    <row r="11" spans="3:7" x14ac:dyDescent="0.25">
      <c r="F11" s="4" t="s">
        <v>4703</v>
      </c>
      <c r="G11" t="s">
        <v>4705</v>
      </c>
    </row>
    <row r="12" spans="3:7" x14ac:dyDescent="0.25">
      <c r="F12" s="5" t="s">
        <v>50</v>
      </c>
      <c r="G12">
        <v>285</v>
      </c>
    </row>
    <row r="13" spans="3:7" x14ac:dyDescent="0.25">
      <c r="F13" s="5" t="s">
        <v>33</v>
      </c>
      <c r="G13">
        <v>88</v>
      </c>
    </row>
    <row r="14" spans="3:7" x14ac:dyDescent="0.25">
      <c r="F14" s="5" t="s">
        <v>66</v>
      </c>
      <c r="G14">
        <v>627</v>
      </c>
    </row>
    <row r="15" spans="3:7" x14ac:dyDescent="0.25">
      <c r="F15" s="5" t="s">
        <v>4704</v>
      </c>
      <c r="G15">
        <v>1000</v>
      </c>
    </row>
    <row r="17" spans="3:7" ht="18.75" x14ac:dyDescent="0.3">
      <c r="C17" s="3" t="s">
        <v>4706</v>
      </c>
    </row>
    <row r="18" spans="3:7" x14ac:dyDescent="0.25">
      <c r="F18" s="4" t="s">
        <v>4703</v>
      </c>
      <c r="G18" t="s">
        <v>4705</v>
      </c>
    </row>
    <row r="19" spans="3:7" x14ac:dyDescent="0.25">
      <c r="F19" s="5" t="s">
        <v>44</v>
      </c>
      <c r="G19">
        <v>254</v>
      </c>
    </row>
    <row r="20" spans="3:7" x14ac:dyDescent="0.25">
      <c r="F20" s="5" t="s">
        <v>88</v>
      </c>
      <c r="G20">
        <v>251</v>
      </c>
    </row>
    <row r="21" spans="3:7" x14ac:dyDescent="0.25">
      <c r="F21" s="5" t="s">
        <v>61</v>
      </c>
      <c r="G21">
        <v>253</v>
      </c>
    </row>
    <row r="22" spans="3:7" x14ac:dyDescent="0.25">
      <c r="F22" s="5" t="s">
        <v>153</v>
      </c>
      <c r="G22">
        <v>242</v>
      </c>
    </row>
    <row r="23" spans="3:7" x14ac:dyDescent="0.25">
      <c r="F23" s="5" t="s">
        <v>4704</v>
      </c>
      <c r="G23">
        <v>1000</v>
      </c>
    </row>
    <row r="25" spans="3:7" ht="18.75" x14ac:dyDescent="0.3">
      <c r="C25" s="3" t="s">
        <v>4707</v>
      </c>
    </row>
    <row r="27" spans="3:7" x14ac:dyDescent="0.25">
      <c r="F27">
        <f>COUNTIF('Supply Chain'!AA2:AA1001,"On-time")/COUNTA('Supply Chain'!AA2:AA1001)</f>
        <v>0.9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4CFE9-77C1-4DD9-B2FB-F919CE36B68C}">
  <dimension ref="B6:C7"/>
  <sheetViews>
    <sheetView workbookViewId="0">
      <selection activeCell="B6" sqref="B6"/>
    </sheetView>
  </sheetViews>
  <sheetFormatPr defaultRowHeight="15" x14ac:dyDescent="0.25"/>
  <cols>
    <col min="2" max="2" width="22.140625" bestFit="1" customWidth="1"/>
  </cols>
  <sheetData>
    <row r="6" spans="2:3" ht="18.75" x14ac:dyDescent="0.3">
      <c r="B6" s="3" t="s">
        <v>4708</v>
      </c>
      <c r="C6">
        <f>ABS('Supply Chain'!AD2:AD1001-'Supply Chain'!AE2:AE1001)/'Supply Chain'!AD2:AD1001</f>
        <v>4.49438202247191E-2</v>
      </c>
    </row>
    <row r="7" spans="2:3" ht="18.75" x14ac:dyDescent="0.3">
      <c r="B7" s="3" t="s">
        <v>4709</v>
      </c>
      <c r="C7">
        <f>AVERAGE('Supply Chain'!AC2:AC1001)</f>
        <v>84.711540000000056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621A3-0EED-4FE2-8FAE-AE091D3101B6}">
  <dimension ref="C4:D14"/>
  <sheetViews>
    <sheetView tabSelected="1" workbookViewId="0">
      <selection activeCell="O5" sqref="O5"/>
    </sheetView>
  </sheetViews>
  <sheetFormatPr defaultRowHeight="15" x14ac:dyDescent="0.25"/>
  <cols>
    <col min="4" max="4" width="17.28515625" bestFit="1" customWidth="1"/>
    <col min="5" max="5" width="0.140625" customWidth="1"/>
  </cols>
  <sheetData>
    <row r="4" spans="3:4" x14ac:dyDescent="0.25">
      <c r="C4" s="4" t="s">
        <v>4703</v>
      </c>
      <c r="D4" t="s">
        <v>4705</v>
      </c>
    </row>
    <row r="5" spans="3:4" x14ac:dyDescent="0.25">
      <c r="C5" s="5" t="s">
        <v>50</v>
      </c>
      <c r="D5">
        <v>285</v>
      </c>
    </row>
    <row r="6" spans="3:4" x14ac:dyDescent="0.25">
      <c r="C6" s="5" t="s">
        <v>33</v>
      </c>
      <c r="D6">
        <v>88</v>
      </c>
    </row>
    <row r="7" spans="3:4" x14ac:dyDescent="0.25">
      <c r="C7" s="5" t="s">
        <v>66</v>
      </c>
      <c r="D7">
        <v>627</v>
      </c>
    </row>
    <row r="8" spans="3:4" x14ac:dyDescent="0.25">
      <c r="C8" s="5" t="s">
        <v>4704</v>
      </c>
      <c r="D8">
        <v>1000</v>
      </c>
    </row>
    <row r="9" spans="3:4" x14ac:dyDescent="0.25">
      <c r="C9" s="4" t="s">
        <v>4703</v>
      </c>
      <c r="D9" t="s">
        <v>4705</v>
      </c>
    </row>
    <row r="10" spans="3:4" x14ac:dyDescent="0.25">
      <c r="C10" s="5" t="s">
        <v>44</v>
      </c>
      <c r="D10">
        <v>254</v>
      </c>
    </row>
    <row r="11" spans="3:4" x14ac:dyDescent="0.25">
      <c r="C11" s="5" t="s">
        <v>88</v>
      </c>
      <c r="D11">
        <v>251</v>
      </c>
    </row>
    <row r="12" spans="3:4" x14ac:dyDescent="0.25">
      <c r="C12" s="5" t="s">
        <v>61</v>
      </c>
      <c r="D12">
        <v>253</v>
      </c>
    </row>
    <row r="13" spans="3:4" x14ac:dyDescent="0.25">
      <c r="C13" s="5" t="s">
        <v>153</v>
      </c>
      <c r="D13">
        <v>242</v>
      </c>
    </row>
    <row r="14" spans="3:4" x14ac:dyDescent="0.25">
      <c r="C14" s="5" t="s">
        <v>4704</v>
      </c>
      <c r="D14">
        <v>1000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Supply Chain</vt:lpstr>
      <vt:lpstr>Order &amp; Sales KPIs</vt:lpstr>
      <vt:lpstr>Inventory &amp; Stock KPIs</vt:lpstr>
      <vt:lpstr>Procurement &amp; Cost KPIs</vt:lpstr>
      <vt:lpstr>Logistics &amp; Delivery KPIs</vt:lpstr>
      <vt:lpstr>Demand &amp; Fulfillment KPIs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Rohit Joshi</cp:lastModifiedBy>
  <dcterms:created xsi:type="dcterms:W3CDTF">2025-09-15T03:49:00Z</dcterms:created>
  <dcterms:modified xsi:type="dcterms:W3CDTF">2025-09-20T04:24:13Z</dcterms:modified>
</cp:coreProperties>
</file>